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kubDrexler\Documents\Kjůba\Florbal\"/>
    </mc:Choice>
  </mc:AlternateContent>
  <xr:revisionPtr revIDLastSave="0" documentId="13_ncr:1_{172160E8-4210-4542-9961-08287B1EEFB3}" xr6:coauthVersionLast="47" xr6:coauthVersionMax="47" xr10:uidLastSave="{00000000-0000-0000-0000-000000000000}"/>
  <bookViews>
    <workbookView xWindow="51615" yWindow="0" windowWidth="28530" windowHeight="20985" tabRatio="652" xr2:uid="{00000000-000D-0000-FFFF-FFFF00000000}"/>
  </bookViews>
  <sheets>
    <sheet name="A" sheetId="1" r:id="rId1"/>
    <sheet name="B" sheetId="2" r:id="rId2"/>
    <sheet name="C" sheetId="15" r:id="rId3"/>
    <sheet name="A+B+C" sheetId="12" r:id="rId4"/>
    <sheet name="Ligy" sheetId="14" r:id="rId5"/>
    <sheet name="A-Z,P,O" sheetId="4" r:id="rId6"/>
    <sheet name="B-Z,P,O" sheetId="5" r:id="rId7"/>
    <sheet name="C-Z,P,O" sheetId="16" r:id="rId8"/>
    <sheet name="Brankáři A" sheetId="8" r:id="rId9"/>
    <sheet name="Brankáři B" sheetId="9" r:id="rId10"/>
    <sheet name="Brankáři C" sheetId="17" r:id="rId11"/>
    <sheet name="Rekordy A" sheetId="21" r:id="rId12"/>
    <sheet name="A-série" sheetId="24" r:id="rId13"/>
    <sheet name="Rekordy B" sheetId="7" r:id="rId14"/>
    <sheet name="B-série" sheetId="26" r:id="rId15"/>
    <sheet name="Rekordy C" sheetId="18" r:id="rId16"/>
    <sheet name="C-série" sheetId="25" r:id="rId17"/>
    <sheet name="Tým. rekordy A" sheetId="22" r:id="rId18"/>
    <sheet name="Tým. rekordy B" sheetId="23" r:id="rId19"/>
    <sheet name="Tým. rekordy C" sheetId="20" r:id="rId20"/>
    <sheet name="Zápasy A" sheetId="10" r:id="rId21"/>
    <sheet name="Haly A" sheetId="28" r:id="rId22"/>
    <sheet name="Zápasy B" sheetId="11" r:id="rId23"/>
    <sheet name="Haly B" sheetId="29" r:id="rId24"/>
    <sheet name="Zápasy C" sheetId="19" r:id="rId25"/>
    <sheet name="Haly C" sheetId="27" r:id="rId26"/>
    <sheet name="Pohár Českého florbalu" sheetId="3" r:id="rId27"/>
    <sheet name="Zápasy Pohár" sheetId="13" r:id="rId2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91" i="2" l="1"/>
  <c r="J91" i="2" s="1"/>
  <c r="L3" i="28"/>
  <c r="Q3" i="28"/>
  <c r="P3" i="28"/>
  <c r="H3" i="28"/>
  <c r="I3" i="28"/>
  <c r="K43" i="10"/>
  <c r="H43" i="10"/>
  <c r="I19" i="8"/>
  <c r="H74" i="1"/>
  <c r="J74" i="1" s="1"/>
  <c r="H87" i="1"/>
  <c r="J87" i="1" s="1"/>
  <c r="L15" i="27"/>
  <c r="H15" i="27"/>
  <c r="I15" i="27"/>
  <c r="H4" i="19"/>
  <c r="K4" i="19"/>
  <c r="K17" i="19"/>
  <c r="H17" i="19"/>
  <c r="I16" i="17"/>
  <c r="H37" i="15"/>
  <c r="J37" i="15" s="1"/>
  <c r="H65" i="15"/>
  <c r="J65" i="15" s="1"/>
  <c r="H72" i="15"/>
  <c r="J72" i="15" s="1"/>
  <c r="L30" i="29"/>
  <c r="Q30" i="29"/>
  <c r="P30" i="29"/>
  <c r="H30" i="29"/>
  <c r="I30" i="29" s="1"/>
  <c r="K85" i="11"/>
  <c r="H85" i="11"/>
  <c r="K82" i="11"/>
  <c r="H82" i="11"/>
  <c r="I12" i="9"/>
  <c r="I23" i="9"/>
  <c r="AA84" i="14"/>
  <c r="AC84" i="14" s="1"/>
  <c r="AA55" i="14"/>
  <c r="AC55" i="14" s="1"/>
  <c r="H70" i="12"/>
  <c r="J70" i="12" s="1"/>
  <c r="H81" i="2"/>
  <c r="J81" i="2" s="1"/>
  <c r="H59" i="2"/>
  <c r="J59" i="2" s="1"/>
  <c r="H105" i="2"/>
  <c r="J105" i="2" s="1"/>
  <c r="H98" i="2"/>
  <c r="J98" i="2" s="1"/>
  <c r="H102" i="2"/>
  <c r="J102" i="2" s="1"/>
  <c r="H92" i="2"/>
  <c r="J92" i="2" s="1"/>
  <c r="H94" i="2"/>
  <c r="J94" i="2" s="1"/>
  <c r="L6" i="27"/>
  <c r="H6" i="27"/>
  <c r="I6" i="27" s="1"/>
  <c r="K22" i="19"/>
  <c r="H22" i="19"/>
  <c r="H2" i="19"/>
  <c r="K2" i="19"/>
  <c r="G21" i="18"/>
  <c r="G20" i="18"/>
  <c r="G13" i="18"/>
  <c r="I8" i="17"/>
  <c r="H61" i="15"/>
  <c r="J61" i="15" s="1"/>
  <c r="K13" i="19"/>
  <c r="H13" i="19"/>
  <c r="H7" i="19"/>
  <c r="K7" i="19"/>
  <c r="AA61" i="14"/>
  <c r="AC61" i="14" s="1"/>
  <c r="AA68" i="14"/>
  <c r="AC68" i="14" s="1"/>
  <c r="H74" i="12"/>
  <c r="J74" i="12" s="1"/>
  <c r="H82" i="12"/>
  <c r="J82" i="12" s="1"/>
  <c r="H31" i="15"/>
  <c r="J31" i="15" s="1"/>
  <c r="H38" i="15"/>
  <c r="J38" i="15" s="1"/>
  <c r="H63" i="15"/>
  <c r="J63" i="15" s="1"/>
  <c r="H64" i="15"/>
  <c r="J64" i="15" s="1"/>
  <c r="H66" i="15"/>
  <c r="J66" i="15" s="1"/>
  <c r="J70" i="14"/>
  <c r="H48" i="14"/>
  <c r="J48" i="14" s="1"/>
  <c r="H75" i="1"/>
  <c r="J75" i="1" s="1"/>
  <c r="H80" i="1"/>
  <c r="J80" i="1" s="1"/>
  <c r="H83" i="1"/>
  <c r="J83" i="1" s="1"/>
  <c r="H87" i="11"/>
  <c r="K87" i="11"/>
  <c r="N21" i="7"/>
  <c r="N28" i="7"/>
  <c r="I22" i="9"/>
  <c r="F11" i="5"/>
  <c r="F9" i="5"/>
  <c r="I7" i="5"/>
  <c r="L7" i="5"/>
  <c r="AA60" i="14"/>
  <c r="AC60" i="14" s="1"/>
  <c r="H73" i="12"/>
  <c r="J73" i="12" s="1"/>
  <c r="H54" i="2"/>
  <c r="J54" i="2" s="1"/>
  <c r="H58" i="2"/>
  <c r="J58" i="2" s="1"/>
  <c r="H95" i="2"/>
  <c r="J95" i="2" s="1"/>
  <c r="H101" i="2"/>
  <c r="J101" i="2" s="1"/>
  <c r="H99" i="2"/>
  <c r="J99" i="2" s="1"/>
  <c r="H97" i="2"/>
  <c r="J97" i="2" s="1"/>
  <c r="H104" i="2"/>
  <c r="J104" i="2" s="1"/>
  <c r="H93" i="2"/>
  <c r="J93" i="2" s="1"/>
  <c r="H90" i="2"/>
  <c r="J90" i="2" s="1"/>
  <c r="H96" i="2"/>
  <c r="J96" i="2" s="1"/>
  <c r="H100" i="2"/>
  <c r="J100" i="2" s="1"/>
  <c r="H103" i="2"/>
  <c r="J103" i="2" s="1"/>
  <c r="K20" i="19"/>
  <c r="H20" i="19"/>
  <c r="K23" i="19"/>
  <c r="H23" i="19"/>
  <c r="I15" i="17"/>
  <c r="G11" i="16"/>
  <c r="G9" i="16"/>
  <c r="M7" i="16"/>
  <c r="J7" i="16"/>
  <c r="AA53" i="14"/>
  <c r="AC53" i="14" s="1"/>
  <c r="AA54" i="14"/>
  <c r="AC54" i="14" s="1"/>
  <c r="AA83" i="14"/>
  <c r="AC83" i="14" s="1"/>
  <c r="AA69" i="14"/>
  <c r="AC69" i="14" s="1"/>
  <c r="AA82" i="14"/>
  <c r="AC82" i="14" s="1"/>
  <c r="H67" i="12"/>
  <c r="J67" i="12" s="1"/>
  <c r="H100" i="12"/>
  <c r="J100" i="12" s="1"/>
  <c r="H83" i="12"/>
  <c r="J83" i="12" s="1"/>
  <c r="H29" i="15"/>
  <c r="J29" i="15" s="1"/>
  <c r="H47" i="15"/>
  <c r="J47" i="15" s="1"/>
  <c r="H46" i="15"/>
  <c r="J46" i="15" s="1"/>
  <c r="H40" i="15"/>
  <c r="J40" i="15" s="1"/>
  <c r="H45" i="15"/>
  <c r="J45" i="15" s="1"/>
  <c r="H58" i="15"/>
  <c r="J58" i="15" s="1"/>
  <c r="H56" i="15"/>
  <c r="J56" i="15" s="1"/>
  <c r="H67" i="15"/>
  <c r="J67" i="15" s="1"/>
  <c r="H62" i="15"/>
  <c r="J62" i="15" s="1"/>
  <c r="H69" i="15"/>
  <c r="J69" i="15" s="1"/>
  <c r="H59" i="15"/>
  <c r="J59" i="15" s="1"/>
  <c r="H68" i="15"/>
  <c r="J68" i="15" s="1"/>
  <c r="H70" i="15"/>
  <c r="J70" i="15" s="1"/>
  <c r="H71" i="15"/>
  <c r="J71" i="15" s="1"/>
  <c r="H60" i="15"/>
  <c r="J60" i="15" s="1"/>
  <c r="H57" i="15"/>
  <c r="J57" i="15" s="1"/>
  <c r="K84" i="10"/>
  <c r="H84" i="10"/>
  <c r="M9" i="8"/>
  <c r="I9" i="8"/>
  <c r="M18" i="8"/>
  <c r="I18" i="8"/>
  <c r="F11" i="4"/>
  <c r="F9" i="4"/>
  <c r="I7" i="4"/>
  <c r="L7" i="4"/>
  <c r="H70" i="14"/>
  <c r="H69" i="14"/>
  <c r="J69" i="14" s="1"/>
  <c r="H99" i="12"/>
  <c r="J99" i="12" s="1"/>
  <c r="H63" i="1"/>
  <c r="J63" i="1" s="1"/>
  <c r="H76" i="1"/>
  <c r="J76" i="1" s="1"/>
  <c r="H81" i="1"/>
  <c r="J81" i="1" s="1"/>
  <c r="H82" i="1"/>
  <c r="J82" i="1" s="1"/>
  <c r="H73" i="1"/>
  <c r="J73" i="1" s="1"/>
  <c r="H72" i="1"/>
  <c r="J72" i="1" s="1"/>
  <c r="H77" i="1"/>
  <c r="J77" i="1" s="1"/>
  <c r="H78" i="1"/>
  <c r="J78" i="1" s="1"/>
  <c r="H85" i="1"/>
  <c r="J85" i="1" s="1"/>
  <c r="H86" i="1"/>
  <c r="J86" i="1" s="1"/>
  <c r="H79" i="1"/>
  <c r="J79" i="1" s="1"/>
  <c r="H84" i="1"/>
  <c r="J84" i="1" s="1"/>
  <c r="Q11" i="16"/>
  <c r="R11" i="16"/>
  <c r="T11" i="16"/>
  <c r="T9" i="16"/>
  <c r="R9" i="16"/>
  <c r="Q9" i="16"/>
  <c r="Y7" i="16"/>
  <c r="X7" i="16"/>
  <c r="V7" i="16"/>
  <c r="U7" i="16"/>
  <c r="S7" i="16"/>
  <c r="R7" i="16"/>
  <c r="Q7" i="16"/>
  <c r="P11" i="5"/>
  <c r="Q11" i="5"/>
  <c r="S11" i="5"/>
  <c r="S9" i="5"/>
  <c r="Q9" i="5"/>
  <c r="P9" i="5"/>
  <c r="X7" i="5"/>
  <c r="W7" i="5"/>
  <c r="U7" i="5"/>
  <c r="T7" i="5"/>
  <c r="R7" i="5"/>
  <c r="Q7" i="5"/>
  <c r="P7" i="5"/>
  <c r="P11" i="4"/>
  <c r="Q11" i="4"/>
  <c r="S11" i="4"/>
  <c r="S9" i="4"/>
  <c r="Q9" i="4"/>
  <c r="P9" i="4"/>
  <c r="X7" i="4"/>
  <c r="W7" i="4"/>
  <c r="U7" i="4"/>
  <c r="T7" i="4"/>
  <c r="S7" i="4"/>
  <c r="R7" i="4"/>
  <c r="Q7" i="4"/>
  <c r="P7" i="4"/>
  <c r="Q3" i="29"/>
  <c r="Q4" i="29"/>
  <c r="Q5" i="29"/>
  <c r="Q6" i="29"/>
  <c r="Q7" i="29"/>
  <c r="Q8" i="29"/>
  <c r="Q9" i="29"/>
  <c r="Q10" i="29"/>
  <c r="Q11" i="29"/>
  <c r="Q12" i="29"/>
  <c r="Q13" i="29"/>
  <c r="Q14" i="29"/>
  <c r="Q15" i="29"/>
  <c r="Q16" i="29"/>
  <c r="Q17" i="29"/>
  <c r="Q18" i="29"/>
  <c r="Q19" i="29"/>
  <c r="Q20" i="29"/>
  <c r="Q21" i="29"/>
  <c r="Q22" i="29"/>
  <c r="Q23" i="29"/>
  <c r="Q24" i="29"/>
  <c r="Q25" i="29"/>
  <c r="Q26" i="29"/>
  <c r="Q27" i="29"/>
  <c r="Q28" i="29"/>
  <c r="Q29" i="29"/>
  <c r="Q2" i="29"/>
  <c r="P3" i="29"/>
  <c r="P4" i="29"/>
  <c r="P5" i="29"/>
  <c r="P6" i="29"/>
  <c r="P7" i="29"/>
  <c r="P8" i="29"/>
  <c r="P9" i="29"/>
  <c r="P10" i="29"/>
  <c r="P11" i="29"/>
  <c r="P12" i="29"/>
  <c r="P13" i="29"/>
  <c r="P14" i="29"/>
  <c r="P15" i="29"/>
  <c r="P16" i="29"/>
  <c r="P17" i="29"/>
  <c r="P18" i="29"/>
  <c r="P19" i="29"/>
  <c r="P20" i="29"/>
  <c r="P21" i="29"/>
  <c r="P22" i="29"/>
  <c r="P23" i="29"/>
  <c r="P24" i="29"/>
  <c r="P25" i="29"/>
  <c r="P26" i="29"/>
  <c r="P27" i="29"/>
  <c r="P28" i="29"/>
  <c r="P29" i="29"/>
  <c r="P2" i="29"/>
  <c r="L29" i="29"/>
  <c r="H29" i="29"/>
  <c r="I29" i="29" s="1"/>
  <c r="L21" i="29"/>
  <c r="H21" i="29"/>
  <c r="I21" i="29" s="1"/>
  <c r="L8" i="29"/>
  <c r="H8" i="29"/>
  <c r="I8" i="29" s="1"/>
  <c r="L6" i="29"/>
  <c r="H6" i="29"/>
  <c r="I6" i="29"/>
  <c r="L28" i="29"/>
  <c r="H28" i="29"/>
  <c r="I28" i="29" s="1"/>
  <c r="L3" i="29"/>
  <c r="H3" i="29"/>
  <c r="I3" i="29" s="1"/>
  <c r="L27" i="29"/>
  <c r="H27" i="29"/>
  <c r="I27" i="29" s="1"/>
  <c r="L9" i="29"/>
  <c r="H9" i="29"/>
  <c r="I9" i="29" s="1"/>
  <c r="L26" i="29"/>
  <c r="H26" i="29"/>
  <c r="I26" i="29"/>
  <c r="L25" i="29"/>
  <c r="H25" i="29"/>
  <c r="I25" i="29" s="1"/>
  <c r="L2" i="29"/>
  <c r="H2" i="29"/>
  <c r="I2" i="29" s="1"/>
  <c r="L12" i="29"/>
  <c r="H12" i="29"/>
  <c r="I12" i="29" s="1"/>
  <c r="L4" i="29"/>
  <c r="H4" i="29"/>
  <c r="I4" i="29" s="1"/>
  <c r="L13" i="29"/>
  <c r="H13" i="29"/>
  <c r="I13" i="29" s="1"/>
  <c r="L23" i="29"/>
  <c r="H23" i="29"/>
  <c r="I23" i="29" s="1"/>
  <c r="L18" i="29"/>
  <c r="H18" i="29"/>
  <c r="I18" i="29" s="1"/>
  <c r="L22" i="29"/>
  <c r="H22" i="29"/>
  <c r="I22" i="29"/>
  <c r="L7" i="29"/>
  <c r="H7" i="29"/>
  <c r="I7" i="29" s="1"/>
  <c r="L15" i="29"/>
  <c r="H15" i="29"/>
  <c r="I15" i="29" s="1"/>
  <c r="L11" i="29"/>
  <c r="H11" i="29"/>
  <c r="I11" i="29" s="1"/>
  <c r="J26" i="14"/>
  <c r="H26" i="14"/>
  <c r="J25" i="14"/>
  <c r="H25" i="14"/>
  <c r="J24" i="14"/>
  <c r="H24" i="14"/>
  <c r="J23" i="14"/>
  <c r="H23" i="14"/>
  <c r="J22" i="14"/>
  <c r="H22" i="14"/>
  <c r="J21" i="14"/>
  <c r="H21" i="14"/>
  <c r="J20" i="14"/>
  <c r="H20" i="14"/>
  <c r="J19" i="14"/>
  <c r="H19" i="14"/>
  <c r="J18" i="14"/>
  <c r="H18" i="14"/>
  <c r="J17" i="14"/>
  <c r="H17" i="14"/>
  <c r="J16" i="14"/>
  <c r="H16" i="14"/>
  <c r="J15" i="14"/>
  <c r="H15" i="14"/>
  <c r="J14" i="14"/>
  <c r="H14" i="14"/>
  <c r="J13" i="14"/>
  <c r="H13" i="14"/>
  <c r="J12" i="14"/>
  <c r="H12" i="14"/>
  <c r="J11" i="14"/>
  <c r="H11" i="14"/>
  <c r="J10" i="14"/>
  <c r="H10" i="14"/>
  <c r="J9" i="14"/>
  <c r="H9" i="14"/>
  <c r="J8" i="14"/>
  <c r="H8" i="14"/>
  <c r="J7" i="14"/>
  <c r="H7" i="14"/>
  <c r="J6" i="14"/>
  <c r="H6" i="14"/>
  <c r="J5" i="14"/>
  <c r="H5" i="14"/>
  <c r="G41" i="7"/>
  <c r="L16" i="29"/>
  <c r="H16" i="29"/>
  <c r="I16" i="29" s="1"/>
  <c r="I29" i="9"/>
  <c r="H129" i="14"/>
  <c r="J129" i="14" s="1"/>
  <c r="H118" i="14"/>
  <c r="J118" i="14" s="1"/>
  <c r="H98" i="12"/>
  <c r="J98" i="12" s="1"/>
  <c r="H80" i="12"/>
  <c r="J80" i="12" s="1"/>
  <c r="H80" i="2"/>
  <c r="J80" i="2" s="1"/>
  <c r="H68" i="2"/>
  <c r="J68" i="2" s="1"/>
  <c r="H137" i="2"/>
  <c r="J137" i="2" s="1"/>
  <c r="H130" i="2"/>
  <c r="J130" i="2" s="1"/>
  <c r="H136" i="2"/>
  <c r="J136" i="2" s="1"/>
  <c r="H128" i="2"/>
  <c r="J128" i="2" s="1"/>
  <c r="N28" i="21"/>
  <c r="H45" i="1"/>
  <c r="J45" i="1" s="1"/>
  <c r="H108" i="1"/>
  <c r="J108" i="1" s="1"/>
  <c r="L5" i="29"/>
  <c r="H5" i="29"/>
  <c r="I5" i="29" s="1"/>
  <c r="H111" i="14"/>
  <c r="J111" i="14" s="1"/>
  <c r="H54" i="12"/>
  <c r="J54" i="12" s="1"/>
  <c r="H56" i="2"/>
  <c r="J56" i="2" s="1"/>
  <c r="H125" i="2"/>
  <c r="J125" i="2" s="1"/>
  <c r="K71" i="10"/>
  <c r="H71" i="10"/>
  <c r="I13" i="8"/>
  <c r="H96" i="1"/>
  <c r="J96" i="1" s="1"/>
  <c r="L17" i="29"/>
  <c r="H17" i="29"/>
  <c r="I17" i="29" s="1"/>
  <c r="L20" i="29"/>
  <c r="H20" i="29"/>
  <c r="I20" i="29" s="1"/>
  <c r="K67" i="11"/>
  <c r="H67" i="11"/>
  <c r="N20" i="7"/>
  <c r="M28" i="9"/>
  <c r="I28" i="9"/>
  <c r="H117" i="2"/>
  <c r="J117" i="2" s="1"/>
  <c r="H135" i="2"/>
  <c r="J135" i="2" s="1"/>
  <c r="H113" i="2"/>
  <c r="J113" i="2" s="1"/>
  <c r="H129" i="2"/>
  <c r="J129" i="2" s="1"/>
  <c r="H119" i="2"/>
  <c r="J119" i="2" s="1"/>
  <c r="H131" i="2"/>
  <c r="J131" i="2" s="1"/>
  <c r="I25" i="8"/>
  <c r="M25" i="8"/>
  <c r="H114" i="1"/>
  <c r="J114" i="1" s="1"/>
  <c r="L24" i="29"/>
  <c r="I24" i="29"/>
  <c r="H24" i="29"/>
  <c r="K63" i="11"/>
  <c r="H63" i="11"/>
  <c r="K8" i="11"/>
  <c r="H8" i="11"/>
  <c r="H117" i="14"/>
  <c r="J117" i="14" s="1"/>
  <c r="H79" i="12"/>
  <c r="J79" i="12" s="1"/>
  <c r="H67" i="2"/>
  <c r="J67" i="2" s="1"/>
  <c r="H134" i="2"/>
  <c r="J134" i="2" s="1"/>
  <c r="H127" i="2"/>
  <c r="J127" i="2" s="1"/>
  <c r="H118" i="2"/>
  <c r="J118" i="2" s="1"/>
  <c r="H4" i="10"/>
  <c r="K4" i="10"/>
  <c r="L14" i="29"/>
  <c r="H14" i="29"/>
  <c r="I14" i="29" s="1"/>
  <c r="I31" i="9"/>
  <c r="H123" i="2"/>
  <c r="J123" i="2" s="1"/>
  <c r="H124" i="2"/>
  <c r="J124" i="2" s="1"/>
  <c r="H10" i="29"/>
  <c r="I10" i="29" s="1"/>
  <c r="H19" i="29"/>
  <c r="L10" i="29"/>
  <c r="H116" i="2"/>
  <c r="J116" i="2" s="1"/>
  <c r="H122" i="2"/>
  <c r="J122" i="2" s="1"/>
  <c r="K99" i="10"/>
  <c r="H99" i="10"/>
  <c r="K96" i="10"/>
  <c r="H96" i="10"/>
  <c r="L31" i="28"/>
  <c r="Q31" i="28"/>
  <c r="P31" i="28"/>
  <c r="H31" i="28"/>
  <c r="I31" i="28" s="1"/>
  <c r="K37" i="10"/>
  <c r="H37" i="10"/>
  <c r="I26" i="8"/>
  <c r="H59" i="1"/>
  <c r="J59" i="1" s="1"/>
  <c r="H113" i="1"/>
  <c r="J113" i="1" s="1"/>
  <c r="H103" i="1"/>
  <c r="J103" i="1" s="1"/>
  <c r="H112" i="1"/>
  <c r="J112" i="1" s="1"/>
  <c r="H111" i="1"/>
  <c r="J111" i="1" s="1"/>
  <c r="L19" i="29"/>
  <c r="I19" i="29"/>
  <c r="K52" i="11"/>
  <c r="H52" i="11"/>
  <c r="M13" i="9"/>
  <c r="I13" i="9"/>
  <c r="M30" i="9"/>
  <c r="I30" i="9"/>
  <c r="H107" i="14"/>
  <c r="J107" i="14" s="1"/>
  <c r="H128" i="14"/>
  <c r="J128" i="14" s="1"/>
  <c r="H127" i="14"/>
  <c r="J127" i="14" s="1"/>
  <c r="H113" i="14"/>
  <c r="J113" i="14" s="1"/>
  <c r="H91" i="12"/>
  <c r="J91" i="12" s="1"/>
  <c r="H64" i="2"/>
  <c r="J64" i="2" s="1"/>
  <c r="H79" i="2"/>
  <c r="J79" i="2" s="1"/>
  <c r="H120" i="2"/>
  <c r="J120" i="2" s="1"/>
  <c r="H121" i="2"/>
  <c r="J121" i="2" s="1"/>
  <c r="H114" i="2"/>
  <c r="J114" i="2" s="1"/>
  <c r="H115" i="2"/>
  <c r="J115" i="2" s="1"/>
  <c r="H111" i="2"/>
  <c r="J111" i="2" s="1"/>
  <c r="H133" i="2"/>
  <c r="J133" i="2" s="1"/>
  <c r="H112" i="2"/>
  <c r="J112" i="2" s="1"/>
  <c r="H126" i="2"/>
  <c r="J126" i="2" s="1"/>
  <c r="H132" i="2"/>
  <c r="J132" i="2" s="1"/>
  <c r="K87" i="10"/>
  <c r="H87" i="10"/>
  <c r="K64" i="10"/>
  <c r="H64" i="10"/>
  <c r="N17" i="21"/>
  <c r="H97" i="1"/>
  <c r="J97" i="1" s="1"/>
  <c r="H100" i="1"/>
  <c r="J100" i="1" s="1"/>
  <c r="H107" i="1"/>
  <c r="J107" i="1" s="1"/>
  <c r="H93" i="1"/>
  <c r="J93" i="1" s="1"/>
  <c r="K9" i="10"/>
  <c r="H9" i="10"/>
  <c r="M24" i="8"/>
  <c r="I24" i="8"/>
  <c r="H69" i="12"/>
  <c r="J69" i="12" s="1"/>
  <c r="H37" i="12"/>
  <c r="J37" i="12" s="1"/>
  <c r="H41" i="1"/>
  <c r="J41" i="1" s="1"/>
  <c r="H24" i="1"/>
  <c r="J24" i="1" s="1"/>
  <c r="H94" i="1"/>
  <c r="J94" i="1" s="1"/>
  <c r="H102" i="1"/>
  <c r="J102" i="1" s="1"/>
  <c r="H106" i="1"/>
  <c r="J106" i="1" s="1"/>
  <c r="H99" i="1"/>
  <c r="J99" i="1" s="1"/>
  <c r="H105" i="1"/>
  <c r="J105" i="1" s="1"/>
  <c r="H101" i="1"/>
  <c r="J101" i="1" s="1"/>
  <c r="H98" i="1"/>
  <c r="J98" i="1" s="1"/>
  <c r="H110" i="1"/>
  <c r="J110" i="1" s="1"/>
  <c r="H109" i="1"/>
  <c r="J109" i="1" s="1"/>
  <c r="H104" i="1"/>
  <c r="J104" i="1" s="1"/>
  <c r="H95" i="1"/>
  <c r="J95" i="1" s="1"/>
  <c r="Q27" i="28"/>
  <c r="Q4" i="28"/>
  <c r="Q5" i="28"/>
  <c r="Q6" i="28"/>
  <c r="Q7" i="28"/>
  <c r="Q8" i="28"/>
  <c r="Q16" i="28"/>
  <c r="Q9" i="28"/>
  <c r="Q10" i="28"/>
  <c r="Q11" i="28"/>
  <c r="Q12" i="28"/>
  <c r="Q13" i="28"/>
  <c r="Q14" i="28"/>
  <c r="Q15" i="28"/>
  <c r="Q21" i="28"/>
  <c r="Q24" i="28"/>
  <c r="Q22" i="28"/>
  <c r="Q23" i="28"/>
  <c r="Q25" i="28"/>
  <c r="Q26" i="28"/>
  <c r="Q18" i="28"/>
  <c r="Q17" i="28"/>
  <c r="Q20" i="28"/>
  <c r="Q19" i="28"/>
  <c r="Q29" i="28"/>
  <c r="Q28" i="28"/>
  <c r="Q30" i="28"/>
  <c r="Q2" i="28"/>
  <c r="P27" i="28"/>
  <c r="P4" i="28"/>
  <c r="P5" i="28"/>
  <c r="P6" i="28"/>
  <c r="P7" i="28"/>
  <c r="P8" i="28"/>
  <c r="P16" i="28"/>
  <c r="P9" i="28"/>
  <c r="P10" i="28"/>
  <c r="P11" i="28"/>
  <c r="P12" i="28"/>
  <c r="P13" i="28"/>
  <c r="P14" i="28"/>
  <c r="P15" i="28"/>
  <c r="P21" i="28"/>
  <c r="P24" i="28"/>
  <c r="P22" i="28"/>
  <c r="P23" i="28"/>
  <c r="P25" i="28"/>
  <c r="P26" i="28"/>
  <c r="P18" i="28"/>
  <c r="P17" i="28"/>
  <c r="P20" i="28"/>
  <c r="P19" i="28"/>
  <c r="P29" i="28"/>
  <c r="P28" i="28"/>
  <c r="P30" i="28"/>
  <c r="P2" i="28"/>
  <c r="L9" i="28"/>
  <c r="H9" i="28"/>
  <c r="I9" i="28" s="1"/>
  <c r="L19" i="28"/>
  <c r="H19" i="28"/>
  <c r="I19" i="28" s="1"/>
  <c r="L5" i="28"/>
  <c r="H5" i="28"/>
  <c r="I5" i="28" s="1"/>
  <c r="L20" i="28"/>
  <c r="H20" i="28"/>
  <c r="I20" i="28" s="1"/>
  <c r="L12" i="28"/>
  <c r="H12" i="28"/>
  <c r="I12" i="28" s="1"/>
  <c r="L27" i="28"/>
  <c r="H27" i="28"/>
  <c r="I27" i="28" s="1"/>
  <c r="L2" i="28"/>
  <c r="H2" i="28"/>
  <c r="I2" i="28" s="1"/>
  <c r="L28" i="28"/>
  <c r="H28" i="28"/>
  <c r="I28" i="28" s="1"/>
  <c r="L29" i="28"/>
  <c r="H29" i="28"/>
  <c r="I29" i="28" s="1"/>
  <c r="L17" i="28"/>
  <c r="H17" i="28"/>
  <c r="I17" i="28" s="1"/>
  <c r="L18" i="28"/>
  <c r="H18" i="28"/>
  <c r="I18" i="28" s="1"/>
  <c r="L7" i="28"/>
  <c r="H7" i="28"/>
  <c r="I7" i="28" s="1"/>
  <c r="L14" i="28"/>
  <c r="H14" i="28"/>
  <c r="I14" i="28" s="1"/>
  <c r="L16" i="28"/>
  <c r="H16" i="28"/>
  <c r="I16" i="28" s="1"/>
  <c r="L26" i="28"/>
  <c r="H26" i="28"/>
  <c r="I26" i="28" s="1"/>
  <c r="L4" i="28"/>
  <c r="H4" i="28"/>
  <c r="I4" i="28" s="1"/>
  <c r="L25" i="28"/>
  <c r="H25" i="28"/>
  <c r="I25" i="28" s="1"/>
  <c r="L23" i="28"/>
  <c r="H23" i="28"/>
  <c r="I23" i="28" s="1"/>
  <c r="L18" i="5"/>
  <c r="I18" i="5"/>
  <c r="F20" i="5"/>
  <c r="F22" i="5"/>
  <c r="L18" i="4"/>
  <c r="I18" i="4"/>
  <c r="F22" i="4"/>
  <c r="F20" i="4"/>
  <c r="I12" i="8"/>
  <c r="I33" i="8"/>
  <c r="H58" i="14"/>
  <c r="J58" i="14" s="1"/>
  <c r="H68" i="14"/>
  <c r="J68" i="14" s="1"/>
  <c r="H67" i="14"/>
  <c r="J67" i="14" s="1"/>
  <c r="H36" i="1"/>
  <c r="J36" i="1" s="1"/>
  <c r="H62" i="1"/>
  <c r="J62" i="1" s="1"/>
  <c r="H57" i="1"/>
  <c r="J57" i="1" s="1"/>
  <c r="H134" i="1"/>
  <c r="J134" i="1" s="1"/>
  <c r="H141" i="1"/>
  <c r="J141" i="1" s="1"/>
  <c r="H140" i="1"/>
  <c r="J140" i="1" s="1"/>
  <c r="H139" i="1"/>
  <c r="J139" i="1" s="1"/>
  <c r="G40" i="7"/>
  <c r="N19" i="7"/>
  <c r="I10" i="9"/>
  <c r="I38" i="9"/>
  <c r="H126" i="14"/>
  <c r="J126" i="14" s="1"/>
  <c r="H95" i="12"/>
  <c r="J95" i="12" s="1"/>
  <c r="H78" i="2"/>
  <c r="J78" i="2" s="1"/>
  <c r="H166" i="2"/>
  <c r="J166" i="2" s="1"/>
  <c r="L14" i="27"/>
  <c r="H14" i="27"/>
  <c r="I14" i="27" s="1"/>
  <c r="H102" i="15"/>
  <c r="J102" i="15" s="1"/>
  <c r="H96" i="15"/>
  <c r="J96" i="15" s="1"/>
  <c r="L24" i="28"/>
  <c r="L21" i="28"/>
  <c r="L10" i="28"/>
  <c r="L15" i="28"/>
  <c r="L11" i="28"/>
  <c r="L22" i="28"/>
  <c r="L6" i="28"/>
  <c r="L30" i="28"/>
  <c r="L8" i="28"/>
  <c r="H24" i="28"/>
  <c r="I24" i="28" s="1"/>
  <c r="H21" i="28"/>
  <c r="I21" i="28" s="1"/>
  <c r="H10" i="28"/>
  <c r="I10" i="28" s="1"/>
  <c r="H15" i="28"/>
  <c r="I15" i="28" s="1"/>
  <c r="H11" i="28"/>
  <c r="I11" i="28" s="1"/>
  <c r="H22" i="28"/>
  <c r="I22" i="28" s="1"/>
  <c r="H6" i="28"/>
  <c r="I6" i="28" s="1"/>
  <c r="H30" i="28"/>
  <c r="I30" i="28" s="1"/>
  <c r="H8" i="28"/>
  <c r="I8" i="28" s="1"/>
  <c r="L13" i="28"/>
  <c r="H13" i="28"/>
  <c r="I13" i="28" s="1"/>
  <c r="H363" i="1"/>
  <c r="J363" i="1" s="1"/>
  <c r="H365" i="1"/>
  <c r="J365" i="1" s="1"/>
  <c r="H368" i="1"/>
  <c r="J368" i="1" s="1"/>
  <c r="H366" i="1"/>
  <c r="J366" i="1" s="1"/>
  <c r="H367" i="1"/>
  <c r="J367" i="1" s="1"/>
  <c r="H369" i="1"/>
  <c r="J369" i="1" s="1"/>
  <c r="H370" i="1"/>
  <c r="J370" i="1" s="1"/>
  <c r="H362" i="1"/>
  <c r="J362" i="1" s="1"/>
  <c r="H364" i="1"/>
  <c r="J364" i="1" s="1"/>
  <c r="H371" i="1"/>
  <c r="J371" i="1" s="1"/>
  <c r="H345" i="1"/>
  <c r="J345" i="1" s="1"/>
  <c r="H347" i="1"/>
  <c r="J347" i="1" s="1"/>
  <c r="H353" i="1"/>
  <c r="J353" i="1" s="1"/>
  <c r="H348" i="1"/>
  <c r="J348" i="1" s="1"/>
  <c r="H346" i="1"/>
  <c r="J346" i="1" s="1"/>
  <c r="H351" i="1"/>
  <c r="J351" i="1" s="1"/>
  <c r="H355" i="1"/>
  <c r="J355" i="1" s="1"/>
  <c r="H343" i="1"/>
  <c r="J343" i="1" s="1"/>
  <c r="H350" i="1"/>
  <c r="J350" i="1" s="1"/>
  <c r="H352" i="1"/>
  <c r="J352" i="1" s="1"/>
  <c r="H376" i="1"/>
  <c r="J376" i="1" s="1"/>
  <c r="H356" i="1"/>
  <c r="J356" i="1" s="1"/>
  <c r="H349" i="1"/>
  <c r="J349" i="1" s="1"/>
  <c r="H374" i="1"/>
  <c r="J374" i="1" s="1"/>
  <c r="H344" i="1"/>
  <c r="J344" i="1" s="1"/>
  <c r="H373" i="1"/>
  <c r="J373" i="1" s="1"/>
  <c r="H372" i="1"/>
  <c r="J372" i="1" s="1"/>
  <c r="H354" i="1"/>
  <c r="J354" i="1" s="1"/>
  <c r="H375" i="1"/>
  <c r="J375" i="1" s="1"/>
  <c r="H440" i="2"/>
  <c r="J440" i="2" s="1"/>
  <c r="H456" i="2"/>
  <c r="J456" i="2" s="1"/>
  <c r="H441" i="2"/>
  <c r="J441" i="2" s="1"/>
  <c r="H448" i="2"/>
  <c r="J448" i="2" s="1"/>
  <c r="H452" i="2"/>
  <c r="J452" i="2" s="1"/>
  <c r="H445" i="2"/>
  <c r="J445" i="2" s="1"/>
  <c r="H447" i="2"/>
  <c r="J447" i="2" s="1"/>
  <c r="H418" i="2"/>
  <c r="J418" i="2" s="1"/>
  <c r="H419" i="2"/>
  <c r="J419" i="2" s="1"/>
  <c r="H430" i="2"/>
  <c r="J430" i="2" s="1"/>
  <c r="H423" i="2"/>
  <c r="J423" i="2" s="1"/>
  <c r="H429" i="2"/>
  <c r="J429" i="2" s="1"/>
  <c r="H420" i="2"/>
  <c r="J420" i="2" s="1"/>
  <c r="H424" i="2"/>
  <c r="J424" i="2" s="1"/>
  <c r="H416" i="2"/>
  <c r="J416" i="2" s="1"/>
  <c r="H413" i="2"/>
  <c r="J413" i="2" s="1"/>
  <c r="H428" i="2"/>
  <c r="J428" i="2" s="1"/>
  <c r="H421" i="2"/>
  <c r="J421" i="2" s="1"/>
  <c r="H415" i="2"/>
  <c r="J415" i="2" s="1"/>
  <c r="H455" i="2"/>
  <c r="J455" i="2" s="1"/>
  <c r="H431" i="2"/>
  <c r="J431" i="2" s="1"/>
  <c r="H444" i="2"/>
  <c r="J444" i="2" s="1"/>
  <c r="H414" i="2"/>
  <c r="J414" i="2" s="1"/>
  <c r="H446" i="2"/>
  <c r="J446" i="2" s="1"/>
  <c r="H450" i="2"/>
  <c r="J450" i="2" s="1"/>
  <c r="H427" i="2"/>
  <c r="J427" i="2" s="1"/>
  <c r="H425" i="2"/>
  <c r="J425" i="2" s="1"/>
  <c r="H449" i="2"/>
  <c r="J449" i="2" s="1"/>
  <c r="H460" i="2"/>
  <c r="J460" i="2" s="1"/>
  <c r="H422" i="2"/>
  <c r="J422" i="2" s="1"/>
  <c r="H443" i="2"/>
  <c r="J443" i="2" s="1"/>
  <c r="H426" i="2"/>
  <c r="J426" i="2" s="1"/>
  <c r="H454" i="2"/>
  <c r="J454" i="2" s="1"/>
  <c r="H434" i="2"/>
  <c r="J434" i="2" s="1"/>
  <c r="H451" i="2"/>
  <c r="J451" i="2" s="1"/>
  <c r="H417" i="2"/>
  <c r="J417" i="2" s="1"/>
  <c r="H453" i="2"/>
  <c r="J453" i="2" s="1"/>
  <c r="H433" i="2"/>
  <c r="J433" i="2" s="1"/>
  <c r="H457" i="2"/>
  <c r="J457" i="2" s="1"/>
  <c r="H458" i="2"/>
  <c r="J458" i="2" s="1"/>
  <c r="H459" i="2"/>
  <c r="J459" i="2" s="1"/>
  <c r="H432" i="2"/>
  <c r="J432" i="2" s="1"/>
  <c r="H442" i="2"/>
  <c r="J442" i="2" s="1"/>
  <c r="H383" i="1"/>
  <c r="J383" i="1" s="1"/>
  <c r="H384" i="1"/>
  <c r="J384" i="1" s="1"/>
  <c r="H385" i="1"/>
  <c r="J385" i="1" s="1"/>
  <c r="H386" i="1"/>
  <c r="J386" i="1" s="1"/>
  <c r="H387" i="1"/>
  <c r="J387" i="1" s="1"/>
  <c r="H388" i="1"/>
  <c r="J388" i="1" s="1"/>
  <c r="H389" i="1"/>
  <c r="J389" i="1" s="1"/>
  <c r="H390" i="1"/>
  <c r="J390" i="1" s="1"/>
  <c r="H391" i="1"/>
  <c r="J391" i="1" s="1"/>
  <c r="H392" i="1"/>
  <c r="J392" i="1" s="1"/>
  <c r="H393" i="1"/>
  <c r="J393" i="1" s="1"/>
  <c r="H394" i="1"/>
  <c r="J394" i="1" s="1"/>
  <c r="H395" i="1"/>
  <c r="J395" i="1" s="1"/>
  <c r="H396" i="1"/>
  <c r="J396" i="1" s="1"/>
  <c r="H382" i="1"/>
  <c r="J382" i="1" s="1"/>
  <c r="I5" i="27"/>
  <c r="L13" i="27"/>
  <c r="H13" i="27"/>
  <c r="I13" i="27" s="1"/>
  <c r="L12" i="27"/>
  <c r="H12" i="27"/>
  <c r="I12" i="27" s="1"/>
  <c r="L9" i="27"/>
  <c r="H9" i="27"/>
  <c r="I9" i="27" s="1"/>
  <c r="L8" i="27"/>
  <c r="H8" i="27"/>
  <c r="I8" i="27" s="1"/>
  <c r="L10" i="27"/>
  <c r="L7" i="27"/>
  <c r="L11" i="27"/>
  <c r="L4" i="27"/>
  <c r="L2" i="27"/>
  <c r="L5" i="27"/>
  <c r="H10" i="27"/>
  <c r="I10" i="27" s="1"/>
  <c r="H7" i="27"/>
  <c r="I7" i="27" s="1"/>
  <c r="H11" i="27"/>
  <c r="I11" i="27" s="1"/>
  <c r="H4" i="27"/>
  <c r="I4" i="27" s="1"/>
  <c r="H2" i="27"/>
  <c r="I2" i="27" s="1"/>
  <c r="H5" i="27"/>
  <c r="L3" i="27"/>
  <c r="H3" i="27"/>
  <c r="I3" i="27" s="1"/>
  <c r="N14" i="21"/>
  <c r="G20" i="21"/>
  <c r="H101" i="15"/>
  <c r="J101" i="15" s="1"/>
  <c r="G27" i="7"/>
  <c r="H153" i="2"/>
  <c r="J153" i="2" s="1"/>
  <c r="G19" i="18"/>
  <c r="H94" i="15"/>
  <c r="J94" i="15" s="1"/>
  <c r="V50" i="21"/>
  <c r="G40" i="18"/>
  <c r="N11" i="18"/>
  <c r="G18" i="18"/>
  <c r="G7" i="18"/>
  <c r="G9" i="18"/>
  <c r="I10" i="17"/>
  <c r="I22" i="17"/>
  <c r="H36" i="15"/>
  <c r="J36" i="15" s="1"/>
  <c r="H97" i="15"/>
  <c r="J97" i="15" s="1"/>
  <c r="H112" i="14"/>
  <c r="J112" i="14" s="1"/>
  <c r="H55" i="2"/>
  <c r="J55" i="2" s="1"/>
  <c r="H159" i="2"/>
  <c r="J159" i="2" s="1"/>
  <c r="H53" i="14"/>
  <c r="J53" i="14" s="1"/>
  <c r="H29" i="1"/>
  <c r="J29" i="1" s="1"/>
  <c r="H133" i="1"/>
  <c r="J133" i="1" s="1"/>
  <c r="K12" i="11"/>
  <c r="H12" i="11"/>
  <c r="N18" i="7"/>
  <c r="G54" i="21"/>
  <c r="N13" i="21"/>
  <c r="M31" i="8"/>
  <c r="K21" i="19"/>
  <c r="H21" i="19"/>
  <c r="H100" i="15"/>
  <c r="J100" i="15" s="1"/>
  <c r="K25" i="19"/>
  <c r="H25" i="19"/>
  <c r="V35" i="18"/>
  <c r="G46" i="18"/>
  <c r="H91" i="15"/>
  <c r="J91" i="15" s="1"/>
  <c r="H154" i="2"/>
  <c r="J154" i="2" s="1"/>
  <c r="H158" i="2"/>
  <c r="J158" i="2" s="1"/>
  <c r="K12" i="10"/>
  <c r="H12" i="10"/>
  <c r="H41" i="14"/>
  <c r="J41" i="14" s="1"/>
  <c r="H21" i="1"/>
  <c r="J21" i="1" s="1"/>
  <c r="H125" i="1"/>
  <c r="J125" i="1" s="1"/>
  <c r="K16" i="19"/>
  <c r="H16" i="19"/>
  <c r="K11" i="19"/>
  <c r="H11" i="19"/>
  <c r="K14" i="19"/>
  <c r="H14" i="19"/>
  <c r="G17" i="18"/>
  <c r="AA47" i="14"/>
  <c r="AC47" i="14" s="1"/>
  <c r="AA46" i="14"/>
  <c r="AC46" i="14" s="1"/>
  <c r="AA38" i="14"/>
  <c r="AC38" i="14" s="1"/>
  <c r="AA22" i="14"/>
  <c r="AC22" i="14" s="1"/>
  <c r="H58" i="12"/>
  <c r="J58" i="12" s="1"/>
  <c r="H56" i="12"/>
  <c r="J56" i="12" s="1"/>
  <c r="H27" i="15"/>
  <c r="J27" i="15" s="1"/>
  <c r="H23" i="15"/>
  <c r="J23" i="15" s="1"/>
  <c r="H19" i="15"/>
  <c r="J19" i="15" s="1"/>
  <c r="H13" i="15"/>
  <c r="J13" i="15" s="1"/>
  <c r="H92" i="15"/>
  <c r="J92" i="15" s="1"/>
  <c r="H81" i="15"/>
  <c r="J81" i="15" s="1"/>
  <c r="H88" i="15"/>
  <c r="J88" i="15" s="1"/>
  <c r="H87" i="15"/>
  <c r="J87" i="15" s="1"/>
  <c r="H86" i="15"/>
  <c r="J86" i="15" s="1"/>
  <c r="H89" i="15"/>
  <c r="J89" i="15" s="1"/>
  <c r="H80" i="15"/>
  <c r="J80" i="15" s="1"/>
  <c r="K40" i="11"/>
  <c r="K35" i="11"/>
  <c r="K36" i="11"/>
  <c r="K37" i="11"/>
  <c r="K38" i="11"/>
  <c r="K39" i="11"/>
  <c r="H40" i="11"/>
  <c r="G37" i="7"/>
  <c r="H101" i="14"/>
  <c r="J101" i="14" s="1"/>
  <c r="H95" i="14"/>
  <c r="J95" i="14" s="1"/>
  <c r="H42" i="12"/>
  <c r="J42" i="12" s="1"/>
  <c r="H43" i="2"/>
  <c r="J43" i="2" s="1"/>
  <c r="H37" i="2"/>
  <c r="J37" i="2" s="1"/>
  <c r="H164" i="2"/>
  <c r="J164" i="2" s="1"/>
  <c r="H152" i="2"/>
  <c r="J152" i="2" s="1"/>
  <c r="K83" i="11"/>
  <c r="H83" i="11"/>
  <c r="G16" i="7"/>
  <c r="G36" i="7"/>
  <c r="M36" i="9"/>
  <c r="H99" i="14"/>
  <c r="J99" i="14" s="1"/>
  <c r="H36" i="12"/>
  <c r="J36" i="12" s="1"/>
  <c r="H40" i="2"/>
  <c r="J40" i="2" s="1"/>
  <c r="H161" i="2"/>
  <c r="J161" i="2" s="1"/>
  <c r="H162" i="2"/>
  <c r="J162" i="2" s="1"/>
  <c r="H151" i="2"/>
  <c r="J151" i="2" s="1"/>
  <c r="K28" i="10"/>
  <c r="H28" i="10"/>
  <c r="H5" i="10"/>
  <c r="K5" i="10"/>
  <c r="I31" i="8"/>
  <c r="H138" i="1"/>
  <c r="J138" i="1" s="1"/>
  <c r="H132" i="1"/>
  <c r="J132" i="1" s="1"/>
  <c r="H135" i="1"/>
  <c r="J135" i="1" s="1"/>
  <c r="K10" i="19"/>
  <c r="H10" i="19"/>
  <c r="H24" i="19"/>
  <c r="K24" i="19"/>
  <c r="G52" i="18"/>
  <c r="I7" i="17"/>
  <c r="M7" i="17"/>
  <c r="M21" i="17"/>
  <c r="I21" i="17"/>
  <c r="G20" i="16"/>
  <c r="G22" i="16"/>
  <c r="M18" i="16"/>
  <c r="J18" i="16"/>
  <c r="AA34" i="14"/>
  <c r="AC34" i="14" s="1"/>
  <c r="AA16" i="14"/>
  <c r="AC16" i="14" s="1"/>
  <c r="AA81" i="14"/>
  <c r="AC81" i="14" s="1"/>
  <c r="H40" i="12"/>
  <c r="J40" i="12" s="1"/>
  <c r="H89" i="12"/>
  <c r="J89" i="12" s="1"/>
  <c r="H16" i="15"/>
  <c r="J16" i="15" s="1"/>
  <c r="H7" i="15"/>
  <c r="J7" i="15" s="1"/>
  <c r="H44" i="15"/>
  <c r="J44" i="15" s="1"/>
  <c r="H83" i="15"/>
  <c r="J83" i="15" s="1"/>
  <c r="H78" i="15"/>
  <c r="J78" i="15" s="1"/>
  <c r="H95" i="15"/>
  <c r="J95" i="15" s="1"/>
  <c r="H82" i="15"/>
  <c r="J82" i="15" s="1"/>
  <c r="H79" i="15"/>
  <c r="J79" i="15" s="1"/>
  <c r="H84" i="15"/>
  <c r="J84" i="15" s="1"/>
  <c r="H90" i="15"/>
  <c r="J90" i="15" s="1"/>
  <c r="H98" i="15"/>
  <c r="J98" i="15" s="1"/>
  <c r="H85" i="15"/>
  <c r="J85" i="15" s="1"/>
  <c r="H93" i="15"/>
  <c r="J93" i="15" s="1"/>
  <c r="H99" i="15"/>
  <c r="J99" i="15" s="1"/>
  <c r="K88" i="11"/>
  <c r="H88" i="11"/>
  <c r="M7" i="9"/>
  <c r="M37" i="9"/>
  <c r="I37" i="9"/>
  <c r="H90" i="14"/>
  <c r="J90" i="14" s="1"/>
  <c r="H20" i="12"/>
  <c r="J20" i="12" s="1"/>
  <c r="H24" i="2"/>
  <c r="J24" i="2" s="1"/>
  <c r="H155" i="2"/>
  <c r="J155" i="2" s="1"/>
  <c r="H143" i="2"/>
  <c r="J143" i="2" s="1"/>
  <c r="H163" i="2"/>
  <c r="J163" i="2" s="1"/>
  <c r="H150" i="2"/>
  <c r="J150" i="2" s="1"/>
  <c r="K51" i="11"/>
  <c r="K53" i="11"/>
  <c r="H51" i="11"/>
  <c r="I36" i="9"/>
  <c r="F33" i="5"/>
  <c r="F31" i="5"/>
  <c r="I29" i="5"/>
  <c r="L29" i="5"/>
  <c r="H148" i="2"/>
  <c r="J148" i="2" s="1"/>
  <c r="H157" i="2"/>
  <c r="J157" i="2" s="1"/>
  <c r="H146" i="2"/>
  <c r="J146" i="2" s="1"/>
  <c r="H160" i="2"/>
  <c r="J160" i="2" s="1"/>
  <c r="H149" i="2"/>
  <c r="J149" i="2" s="1"/>
  <c r="H144" i="2"/>
  <c r="J144" i="2" s="1"/>
  <c r="H147" i="2"/>
  <c r="J147" i="2" s="1"/>
  <c r="H145" i="2"/>
  <c r="J145" i="2" s="1"/>
  <c r="H156" i="2"/>
  <c r="J156" i="2" s="1"/>
  <c r="H165" i="2"/>
  <c r="J165" i="2" s="1"/>
  <c r="K65" i="10"/>
  <c r="H65" i="10"/>
  <c r="K68" i="10"/>
  <c r="H68" i="10"/>
  <c r="G65" i="21"/>
  <c r="N19" i="21"/>
  <c r="M32" i="8"/>
  <c r="I32" i="8"/>
  <c r="H137" i="1"/>
  <c r="J137" i="1" s="1"/>
  <c r="H127" i="1"/>
  <c r="J127" i="1" s="1"/>
  <c r="H124" i="1"/>
  <c r="J124" i="1" s="1"/>
  <c r="H131" i="1"/>
  <c r="J131" i="1" s="1"/>
  <c r="H130" i="1"/>
  <c r="J130" i="1" s="1"/>
  <c r="H123" i="1"/>
  <c r="J123" i="1" s="1"/>
  <c r="H120" i="1"/>
  <c r="J120" i="1" s="1"/>
  <c r="H121" i="1"/>
  <c r="J121" i="1" s="1"/>
  <c r="H129" i="1"/>
  <c r="J129" i="1" s="1"/>
  <c r="H126" i="1"/>
  <c r="J126" i="1" s="1"/>
  <c r="H128" i="1"/>
  <c r="J128" i="1" s="1"/>
  <c r="H122" i="1"/>
  <c r="J122" i="1" s="1"/>
  <c r="H136" i="1"/>
  <c r="J136" i="1" s="1"/>
  <c r="M28" i="17"/>
  <c r="I28" i="17"/>
  <c r="I27" i="17"/>
  <c r="I29" i="4"/>
  <c r="L29" i="4"/>
  <c r="F33" i="4"/>
  <c r="F31" i="4"/>
  <c r="G64" i="21"/>
  <c r="H188" i="2"/>
  <c r="J188" i="2" s="1"/>
  <c r="K59" i="10"/>
  <c r="H59" i="10"/>
  <c r="G18" i="21"/>
  <c r="G19" i="21"/>
  <c r="G59" i="21"/>
  <c r="G68" i="21"/>
  <c r="V37" i="18"/>
  <c r="V39" i="18"/>
  <c r="V41" i="18"/>
  <c r="V40" i="18"/>
  <c r="V38" i="18"/>
  <c r="V36" i="18"/>
  <c r="V34" i="18"/>
  <c r="V33" i="18"/>
  <c r="V32" i="18"/>
  <c r="G51" i="18"/>
  <c r="G33" i="18"/>
  <c r="G41" i="18"/>
  <c r="AA135" i="14"/>
  <c r="AC135" i="14" s="1"/>
  <c r="H43" i="15"/>
  <c r="J43" i="15" s="1"/>
  <c r="H30" i="15"/>
  <c r="J30" i="15" s="1"/>
  <c r="H42" i="15"/>
  <c r="J42" i="15" s="1"/>
  <c r="H41" i="15"/>
  <c r="J41" i="15" s="1"/>
  <c r="H17" i="15"/>
  <c r="J17" i="15" s="1"/>
  <c r="H39" i="15"/>
  <c r="J39" i="15" s="1"/>
  <c r="H35" i="15"/>
  <c r="J35" i="15" s="1"/>
  <c r="H34" i="15"/>
  <c r="J34" i="15" s="1"/>
  <c r="H33" i="15"/>
  <c r="J33" i="15" s="1"/>
  <c r="H32" i="15"/>
  <c r="J32" i="15" s="1"/>
  <c r="H28" i="15"/>
  <c r="J28" i="15" s="1"/>
  <c r="H24" i="15"/>
  <c r="J24" i="15" s="1"/>
  <c r="H18" i="15"/>
  <c r="J18" i="15" s="1"/>
  <c r="H26" i="15"/>
  <c r="J26" i="15" s="1"/>
  <c r="H21" i="15"/>
  <c r="J21" i="15" s="1"/>
  <c r="H25" i="15"/>
  <c r="J25" i="15" s="1"/>
  <c r="H22" i="15"/>
  <c r="J22" i="15" s="1"/>
  <c r="H20" i="15"/>
  <c r="J20" i="15" s="1"/>
  <c r="H12" i="15"/>
  <c r="J12" i="15" s="1"/>
  <c r="H15" i="15"/>
  <c r="J15" i="15" s="1"/>
  <c r="H14" i="15"/>
  <c r="J14" i="15" s="1"/>
  <c r="H8" i="15"/>
  <c r="J8" i="15" s="1"/>
  <c r="H9" i="15"/>
  <c r="J9" i="15" s="1"/>
  <c r="H6" i="15"/>
  <c r="J6" i="15" s="1"/>
  <c r="H11" i="15"/>
  <c r="J11" i="15" s="1"/>
  <c r="H10" i="15"/>
  <c r="J10" i="15" s="1"/>
  <c r="H5" i="15"/>
  <c r="J5" i="15" s="1"/>
  <c r="H134" i="15"/>
  <c r="J134" i="15" s="1"/>
  <c r="G42" i="18"/>
  <c r="G39" i="18"/>
  <c r="G38" i="18"/>
  <c r="G50" i="18"/>
  <c r="N10" i="18"/>
  <c r="N8" i="18"/>
  <c r="G12" i="18"/>
  <c r="M9" i="17"/>
  <c r="I9" i="17"/>
  <c r="I6" i="17"/>
  <c r="AA124" i="14"/>
  <c r="AC124" i="14" s="1"/>
  <c r="H118" i="15"/>
  <c r="J118" i="15" s="1"/>
  <c r="H129" i="15"/>
  <c r="J129" i="15" s="1"/>
  <c r="G59" i="7"/>
  <c r="G35" i="7"/>
  <c r="G22" i="7"/>
  <c r="H98" i="14"/>
  <c r="J98" i="14" s="1"/>
  <c r="H106" i="14"/>
  <c r="J106" i="14" s="1"/>
  <c r="H185" i="2"/>
  <c r="J185" i="2" s="1"/>
  <c r="H193" i="2"/>
  <c r="J193" i="2" s="1"/>
  <c r="K52" i="10"/>
  <c r="H52" i="10"/>
  <c r="M39" i="8"/>
  <c r="I39" i="8"/>
  <c r="H46" i="14"/>
  <c r="J46" i="14" s="1"/>
  <c r="H66" i="14"/>
  <c r="J66" i="14" s="1"/>
  <c r="H27" i="1"/>
  <c r="J27" i="1" s="1"/>
  <c r="H160" i="1"/>
  <c r="J160" i="1" s="1"/>
  <c r="H164" i="1"/>
  <c r="J164" i="1" s="1"/>
  <c r="H5" i="19"/>
  <c r="K5" i="19"/>
  <c r="G35" i="18"/>
  <c r="G45" i="18"/>
  <c r="G49" i="18"/>
  <c r="G44" i="18"/>
  <c r="G16" i="18"/>
  <c r="G11" i="18"/>
  <c r="G6" i="18"/>
  <c r="H121" i="15"/>
  <c r="J121" i="15" s="1"/>
  <c r="G67" i="21"/>
  <c r="K72" i="11"/>
  <c r="H72" i="11"/>
  <c r="V58" i="7"/>
  <c r="K9" i="19"/>
  <c r="H9" i="19"/>
  <c r="G37" i="18"/>
  <c r="N7" i="18"/>
  <c r="N5" i="18"/>
  <c r="G8" i="18"/>
  <c r="K44" i="10"/>
  <c r="H44" i="10"/>
  <c r="H50" i="14"/>
  <c r="J50" i="14" s="1"/>
  <c r="H31" i="1"/>
  <c r="J31" i="1" s="1"/>
  <c r="H162" i="1"/>
  <c r="J162" i="1" s="1"/>
  <c r="K92" i="10"/>
  <c r="H92" i="10"/>
  <c r="K60" i="11"/>
  <c r="K62" i="11"/>
  <c r="H62" i="11"/>
  <c r="N27" i="7"/>
  <c r="N10" i="7"/>
  <c r="G13" i="7"/>
  <c r="H180" i="2"/>
  <c r="J180" i="2" s="1"/>
  <c r="H3" i="19"/>
  <c r="K3" i="19"/>
  <c r="K26" i="19"/>
  <c r="H26" i="19"/>
  <c r="H130" i="15"/>
  <c r="J130" i="15" s="1"/>
  <c r="H128" i="15"/>
  <c r="J128" i="15" s="1"/>
  <c r="H97" i="12"/>
  <c r="J97" i="12" s="1"/>
  <c r="H77" i="2"/>
  <c r="J77" i="2" s="1"/>
  <c r="H351" i="2"/>
  <c r="J351" i="2" s="1"/>
  <c r="H350" i="2"/>
  <c r="J350" i="2" s="1"/>
  <c r="H349" i="2"/>
  <c r="J349" i="2" s="1"/>
  <c r="H381" i="2"/>
  <c r="J381" i="2" s="1"/>
  <c r="H380" i="2"/>
  <c r="J380" i="2" s="1"/>
  <c r="H407" i="2"/>
  <c r="J407" i="2" s="1"/>
  <c r="H406" i="2"/>
  <c r="J406" i="2" s="1"/>
  <c r="H295" i="1"/>
  <c r="J295" i="1" s="1"/>
  <c r="H294" i="1"/>
  <c r="J294" i="1" s="1"/>
  <c r="H315" i="1"/>
  <c r="J315" i="1" s="1"/>
  <c r="H337" i="1"/>
  <c r="J337" i="1" s="1"/>
  <c r="H19" i="19"/>
  <c r="K19" i="19"/>
  <c r="H12" i="19"/>
  <c r="K12" i="19"/>
  <c r="G43" i="18"/>
  <c r="N9" i="18"/>
  <c r="N6" i="18"/>
  <c r="G5" i="18"/>
  <c r="G14" i="18"/>
  <c r="G15" i="18"/>
  <c r="G10" i="18"/>
  <c r="AA134" i="14"/>
  <c r="AC134" i="14" s="1"/>
  <c r="H133" i="15"/>
  <c r="J133" i="15" s="1"/>
  <c r="H117" i="15"/>
  <c r="J117" i="15" s="1"/>
  <c r="H124" i="15"/>
  <c r="J124" i="15" s="1"/>
  <c r="K73" i="10"/>
  <c r="H73" i="10"/>
  <c r="K59" i="11"/>
  <c r="H59" i="11"/>
  <c r="K43" i="11"/>
  <c r="H43" i="11"/>
  <c r="H178" i="2"/>
  <c r="J178" i="2" s="1"/>
  <c r="K40" i="10"/>
  <c r="H40" i="10"/>
  <c r="K24" i="10"/>
  <c r="H24" i="10"/>
  <c r="H161" i="1"/>
  <c r="J161" i="1" s="1"/>
  <c r="K8" i="19"/>
  <c r="H8" i="19"/>
  <c r="K18" i="19"/>
  <c r="H18" i="19"/>
  <c r="G47" i="18"/>
  <c r="G36" i="18"/>
  <c r="H109" i="15"/>
  <c r="J109" i="15" s="1"/>
  <c r="H120" i="15"/>
  <c r="J120" i="15" s="1"/>
  <c r="H125" i="15"/>
  <c r="J125" i="15" s="1"/>
  <c r="AA115" i="14"/>
  <c r="AC115" i="14" s="1"/>
  <c r="AA133" i="14"/>
  <c r="AC133" i="14" s="1"/>
  <c r="H113" i="15"/>
  <c r="J113" i="15" s="1"/>
  <c r="H132" i="15"/>
  <c r="J132" i="15" s="1"/>
  <c r="H127" i="15"/>
  <c r="J127" i="15" s="1"/>
  <c r="H115" i="15"/>
  <c r="J115" i="15" s="1"/>
  <c r="G63" i="7"/>
  <c r="G8" i="7"/>
  <c r="H125" i="14"/>
  <c r="J125" i="14" s="1"/>
  <c r="H192" i="2"/>
  <c r="J192" i="2" s="1"/>
  <c r="H181" i="2"/>
  <c r="J181" i="2" s="1"/>
  <c r="H174" i="2"/>
  <c r="J174" i="2" s="1"/>
  <c r="H184" i="2"/>
  <c r="J184" i="2" s="1"/>
  <c r="H182" i="2"/>
  <c r="J182" i="2" s="1"/>
  <c r="K72" i="10"/>
  <c r="H72" i="10"/>
  <c r="G63" i="21"/>
  <c r="M38" i="8"/>
  <c r="H38" i="14"/>
  <c r="J38" i="14" s="1"/>
  <c r="H157" i="1"/>
  <c r="J157" i="1" s="1"/>
  <c r="H154" i="1"/>
  <c r="J154" i="1" s="1"/>
  <c r="H150" i="1"/>
  <c r="J150" i="1" s="1"/>
  <c r="K15" i="19"/>
  <c r="H15" i="19"/>
  <c r="H6" i="19"/>
  <c r="K6" i="19"/>
  <c r="G48" i="18"/>
  <c r="G34" i="18"/>
  <c r="G32" i="18"/>
  <c r="G33" i="16"/>
  <c r="G31" i="16"/>
  <c r="N29" i="16"/>
  <c r="K29" i="16"/>
  <c r="AA116" i="14"/>
  <c r="AC116" i="14" s="1"/>
  <c r="AA129" i="14"/>
  <c r="AC129" i="14" s="1"/>
  <c r="H84" i="12"/>
  <c r="J84" i="12" s="1"/>
  <c r="H112" i="15"/>
  <c r="J112" i="15" s="1"/>
  <c r="H122" i="15"/>
  <c r="J122" i="15" s="1"/>
  <c r="H119" i="15"/>
  <c r="J119" i="15" s="1"/>
  <c r="H108" i="15"/>
  <c r="J108" i="15" s="1"/>
  <c r="H116" i="15"/>
  <c r="J116" i="15" s="1"/>
  <c r="H123" i="15"/>
  <c r="J123" i="15" s="1"/>
  <c r="H111" i="15"/>
  <c r="J111" i="15" s="1"/>
  <c r="H110" i="15"/>
  <c r="J110" i="15" s="1"/>
  <c r="H126" i="15"/>
  <c r="J126" i="15" s="1"/>
  <c r="H114" i="15"/>
  <c r="J114" i="15" s="1"/>
  <c r="H131" i="15"/>
  <c r="J131" i="15" s="1"/>
  <c r="K41" i="11"/>
  <c r="H41" i="11"/>
  <c r="M43" i="9"/>
  <c r="I43" i="9"/>
  <c r="F44" i="5"/>
  <c r="F42" i="5"/>
  <c r="M40" i="5"/>
  <c r="J40" i="5"/>
  <c r="H92" i="14"/>
  <c r="J92" i="14" s="1"/>
  <c r="H86" i="14"/>
  <c r="J86" i="14" s="1"/>
  <c r="H110" i="14"/>
  <c r="J110" i="14" s="1"/>
  <c r="H93" i="14"/>
  <c r="J93" i="14" s="1"/>
  <c r="H190" i="2"/>
  <c r="J190" i="2" s="1"/>
  <c r="H183" i="2"/>
  <c r="J183" i="2" s="1"/>
  <c r="H191" i="2"/>
  <c r="J191" i="2" s="1"/>
  <c r="H186" i="2"/>
  <c r="J186" i="2" s="1"/>
  <c r="H187" i="2"/>
  <c r="J187" i="2" s="1"/>
  <c r="H173" i="2"/>
  <c r="J173" i="2" s="1"/>
  <c r="H189" i="2"/>
  <c r="J189" i="2" s="1"/>
  <c r="H175" i="2"/>
  <c r="J175" i="2" s="1"/>
  <c r="H179" i="2"/>
  <c r="J179" i="2" s="1"/>
  <c r="H177" i="2"/>
  <c r="J177" i="2" s="1"/>
  <c r="H172" i="2"/>
  <c r="J172" i="2" s="1"/>
  <c r="H176" i="2"/>
  <c r="J176" i="2" s="1"/>
  <c r="K6" i="10"/>
  <c r="H6" i="10"/>
  <c r="K22" i="10"/>
  <c r="H22" i="10"/>
  <c r="I38" i="8"/>
  <c r="F44" i="4"/>
  <c r="F42" i="4"/>
  <c r="J40" i="4"/>
  <c r="M40" i="4"/>
  <c r="H42" i="14"/>
  <c r="J42" i="14" s="1"/>
  <c r="H34" i="14"/>
  <c r="J34" i="14" s="1"/>
  <c r="H149" i="1"/>
  <c r="J149" i="1" s="1"/>
  <c r="H151" i="1"/>
  <c r="J151" i="1" s="1"/>
  <c r="H156" i="1"/>
  <c r="J156" i="1" s="1"/>
  <c r="H148" i="1"/>
  <c r="J148" i="1" s="1"/>
  <c r="H152" i="1"/>
  <c r="J152" i="1" s="1"/>
  <c r="H153" i="1"/>
  <c r="J153" i="1" s="1"/>
  <c r="H155" i="1"/>
  <c r="J155" i="1" s="1"/>
  <c r="H159" i="1"/>
  <c r="J159" i="1" s="1"/>
  <c r="H158" i="1"/>
  <c r="J158" i="1" s="1"/>
  <c r="H163" i="1"/>
  <c r="J163" i="1" s="1"/>
  <c r="H147" i="1"/>
  <c r="J147" i="1" s="1"/>
  <c r="H42" i="3"/>
  <c r="J42" i="3" s="1"/>
  <c r="H51" i="3"/>
  <c r="J51" i="3" s="1"/>
  <c r="K5" i="13"/>
  <c r="H5" i="13"/>
  <c r="H23" i="3"/>
  <c r="J23" i="3" s="1"/>
  <c r="H20" i="3"/>
  <c r="J20" i="3" s="1"/>
  <c r="H14" i="3"/>
  <c r="J14" i="3" s="1"/>
  <c r="H38" i="3"/>
  <c r="J38" i="3" s="1"/>
  <c r="H41" i="3"/>
  <c r="J41" i="3" s="1"/>
  <c r="H40" i="3"/>
  <c r="J40" i="3" s="1"/>
  <c r="H37" i="3"/>
  <c r="J37" i="3" s="1"/>
  <c r="H39" i="3"/>
  <c r="J39" i="3" s="1"/>
  <c r="H36" i="3"/>
  <c r="J36" i="3" s="1"/>
  <c r="H43" i="3"/>
  <c r="J43" i="3" s="1"/>
  <c r="H46" i="3"/>
  <c r="J46" i="3" s="1"/>
  <c r="H47" i="3"/>
  <c r="J47" i="3" s="1"/>
  <c r="H45" i="3"/>
  <c r="J45" i="3" s="1"/>
  <c r="H48" i="3"/>
  <c r="J48" i="3" s="1"/>
  <c r="H49" i="3"/>
  <c r="J49" i="3" s="1"/>
  <c r="H44" i="3"/>
  <c r="J44" i="3" s="1"/>
  <c r="H50" i="3"/>
  <c r="J50" i="3" s="1"/>
  <c r="H35" i="3"/>
  <c r="J35" i="3" s="1"/>
  <c r="K6" i="13"/>
  <c r="H6" i="13"/>
  <c r="K11" i="13"/>
  <c r="H11" i="13"/>
  <c r="K14" i="13"/>
  <c r="H14" i="13"/>
  <c r="K12" i="13"/>
  <c r="H12" i="13"/>
  <c r="V56" i="21"/>
  <c r="V58" i="21"/>
  <c r="V55" i="21"/>
  <c r="V53" i="21"/>
  <c r="V52" i="21"/>
  <c r="V51" i="21"/>
  <c r="V49" i="21"/>
  <c r="G66" i="21"/>
  <c r="G62" i="21"/>
  <c r="G61" i="21"/>
  <c r="G60" i="21"/>
  <c r="G58" i="21"/>
  <c r="G57" i="21"/>
  <c r="G56" i="21"/>
  <c r="G55" i="21"/>
  <c r="G53" i="21"/>
  <c r="G52" i="21"/>
  <c r="G51" i="21"/>
  <c r="G50" i="21"/>
  <c r="G49" i="21"/>
  <c r="N27" i="21"/>
  <c r="N26" i="21"/>
  <c r="N25" i="21"/>
  <c r="N24" i="21"/>
  <c r="N23" i="21"/>
  <c r="N22" i="21"/>
  <c r="N21" i="21"/>
  <c r="N20" i="21"/>
  <c r="N18" i="21"/>
  <c r="N16" i="21"/>
  <c r="N12" i="21"/>
  <c r="N15" i="21"/>
  <c r="N11" i="21"/>
  <c r="N10" i="21"/>
  <c r="N8" i="21"/>
  <c r="N9" i="21"/>
  <c r="N6" i="21"/>
  <c r="N7" i="21"/>
  <c r="N5" i="21"/>
  <c r="G23" i="21"/>
  <c r="G30" i="21"/>
  <c r="G29" i="21"/>
  <c r="G28" i="21"/>
  <c r="G27" i="21"/>
  <c r="G26" i="21"/>
  <c r="G25" i="21"/>
  <c r="G24" i="21"/>
  <c r="G22" i="21"/>
  <c r="G21" i="21"/>
  <c r="G13" i="21"/>
  <c r="G15" i="21"/>
  <c r="G17" i="21"/>
  <c r="G16" i="21"/>
  <c r="G14" i="21"/>
  <c r="G11" i="21"/>
  <c r="G12" i="21"/>
  <c r="G10" i="21"/>
  <c r="G7" i="21"/>
  <c r="G8" i="21"/>
  <c r="G9" i="21"/>
  <c r="G6" i="21"/>
  <c r="G5" i="21"/>
  <c r="V59" i="7"/>
  <c r="V63" i="7"/>
  <c r="V65" i="7"/>
  <c r="V62" i="7"/>
  <c r="V60" i="7"/>
  <c r="V67" i="7"/>
  <c r="V64" i="7"/>
  <c r="V66" i="7"/>
  <c r="V61" i="7"/>
  <c r="T7" i="16"/>
  <c r="S7" i="5"/>
  <c r="H84" i="3"/>
  <c r="J84" i="3" s="1"/>
  <c r="G10" i="7"/>
  <c r="H120" i="14"/>
  <c r="J120" i="14" s="1"/>
  <c r="H52" i="1"/>
  <c r="J52" i="1" s="1"/>
  <c r="H184" i="1"/>
  <c r="J184" i="1" s="1"/>
  <c r="H185" i="1"/>
  <c r="J185" i="1" s="1"/>
  <c r="M45" i="8"/>
  <c r="I45" i="8"/>
  <c r="M7" i="8"/>
  <c r="I7" i="8"/>
  <c r="H212" i="2"/>
  <c r="J212" i="2" s="1"/>
  <c r="K51" i="10"/>
  <c r="H51" i="10"/>
  <c r="H39" i="11"/>
  <c r="AA45" i="14"/>
  <c r="AC45" i="14" s="1"/>
  <c r="H46" i="12"/>
  <c r="J46" i="12" s="1"/>
  <c r="H52" i="2"/>
  <c r="J52" i="2" s="1"/>
  <c r="H209" i="2"/>
  <c r="J209" i="2" s="1"/>
  <c r="H216" i="2"/>
  <c r="J216" i="2" s="1"/>
  <c r="H181" i="1"/>
  <c r="J181" i="1" s="1"/>
  <c r="N26" i="7"/>
  <c r="H206" i="2"/>
  <c r="J206" i="2" s="1"/>
  <c r="H214" i="2"/>
  <c r="J214" i="2" s="1"/>
  <c r="K36" i="10"/>
  <c r="H36" i="10"/>
  <c r="AA132" i="14"/>
  <c r="AC132" i="14" s="1"/>
  <c r="AA131" i="14"/>
  <c r="AC131" i="14" s="1"/>
  <c r="AA130" i="14"/>
  <c r="AC130" i="14" s="1"/>
  <c r="AA128" i="14"/>
  <c r="AC128" i="14" s="1"/>
  <c r="AA127" i="14"/>
  <c r="AC127" i="14" s="1"/>
  <c r="AA119" i="14"/>
  <c r="AC119" i="14" s="1"/>
  <c r="AA126" i="14"/>
  <c r="AC126" i="14" s="1"/>
  <c r="AA125" i="14"/>
  <c r="AC125" i="14" s="1"/>
  <c r="AA122" i="14"/>
  <c r="AC122" i="14" s="1"/>
  <c r="AA123" i="14"/>
  <c r="AC123" i="14" s="1"/>
  <c r="AA121" i="14"/>
  <c r="AC121" i="14" s="1"/>
  <c r="AA117" i="14"/>
  <c r="AC117" i="14" s="1"/>
  <c r="AA120" i="14"/>
  <c r="AC120" i="14" s="1"/>
  <c r="AA118" i="14"/>
  <c r="AC118" i="14" s="1"/>
  <c r="AA101" i="14"/>
  <c r="AC101" i="14" s="1"/>
  <c r="AA112" i="14"/>
  <c r="AC112" i="14" s="1"/>
  <c r="AA114" i="14"/>
  <c r="AC114" i="14" s="1"/>
  <c r="AA113" i="14"/>
  <c r="AC113" i="14" s="1"/>
  <c r="AA107" i="14"/>
  <c r="AC107" i="14" s="1"/>
  <c r="AA110" i="14"/>
  <c r="AC110" i="14" s="1"/>
  <c r="AA111" i="14"/>
  <c r="AC111" i="14" s="1"/>
  <c r="AA109" i="14"/>
  <c r="AC109" i="14" s="1"/>
  <c r="AA104" i="14"/>
  <c r="AC104" i="14" s="1"/>
  <c r="AA92" i="14"/>
  <c r="AC92" i="14" s="1"/>
  <c r="AA108" i="14"/>
  <c r="AC108" i="14" s="1"/>
  <c r="AA99" i="14"/>
  <c r="AC99" i="14" s="1"/>
  <c r="AA103" i="14"/>
  <c r="AC103" i="14" s="1"/>
  <c r="AA106" i="14"/>
  <c r="AC106" i="14" s="1"/>
  <c r="AA105" i="14"/>
  <c r="AC105" i="14" s="1"/>
  <c r="AA102" i="14"/>
  <c r="AC102" i="14" s="1"/>
  <c r="AA100" i="14"/>
  <c r="AC100" i="14" s="1"/>
  <c r="AA97" i="14"/>
  <c r="AC97" i="14" s="1"/>
  <c r="AA98" i="14"/>
  <c r="AC98" i="14" s="1"/>
  <c r="AA93" i="14"/>
  <c r="AC93" i="14" s="1"/>
  <c r="AA96" i="14"/>
  <c r="AC96" i="14" s="1"/>
  <c r="AA95" i="14"/>
  <c r="AC95" i="14" s="1"/>
  <c r="AA94" i="14"/>
  <c r="AC94" i="14" s="1"/>
  <c r="AA91" i="14"/>
  <c r="AC91" i="14" s="1"/>
  <c r="AA90" i="14"/>
  <c r="AC90" i="14" s="1"/>
  <c r="AA89" i="14"/>
  <c r="AC89" i="14" s="1"/>
  <c r="AA72" i="14"/>
  <c r="AC72" i="14" s="1"/>
  <c r="AA71" i="14"/>
  <c r="AC71" i="14" s="1"/>
  <c r="AA41" i="14"/>
  <c r="AC41" i="14" s="1"/>
  <c r="AA78" i="14"/>
  <c r="AC78" i="14" s="1"/>
  <c r="AA74" i="14"/>
  <c r="AC74" i="14" s="1"/>
  <c r="AA75" i="14"/>
  <c r="AC75" i="14" s="1"/>
  <c r="AA80" i="14"/>
  <c r="AC80" i="14" s="1"/>
  <c r="AA76" i="14"/>
  <c r="AC76" i="14" s="1"/>
  <c r="AA73" i="14"/>
  <c r="AC73" i="14" s="1"/>
  <c r="AA77" i="14"/>
  <c r="AC77" i="14" s="1"/>
  <c r="AA79" i="14"/>
  <c r="AC79" i="14" s="1"/>
  <c r="AA56" i="14"/>
  <c r="AC56" i="14" s="1"/>
  <c r="AA70" i="14"/>
  <c r="AC70" i="14" s="1"/>
  <c r="AA17" i="14"/>
  <c r="AC17" i="14" s="1"/>
  <c r="AA66" i="14"/>
  <c r="AC66" i="14" s="1"/>
  <c r="AA67" i="14"/>
  <c r="AC67" i="14" s="1"/>
  <c r="AA65" i="14"/>
  <c r="AC65" i="14" s="1"/>
  <c r="AA42" i="14"/>
  <c r="AC42" i="14" s="1"/>
  <c r="AA64" i="14"/>
  <c r="AC64" i="14" s="1"/>
  <c r="AA63" i="14"/>
  <c r="AC63" i="14" s="1"/>
  <c r="AA62" i="14"/>
  <c r="AC62" i="14" s="1"/>
  <c r="AA59" i="14"/>
  <c r="AC59" i="14" s="1"/>
  <c r="AA58" i="14"/>
  <c r="AC58" i="14" s="1"/>
  <c r="AA57" i="14"/>
  <c r="AC57" i="14" s="1"/>
  <c r="AA31" i="14"/>
  <c r="AC31" i="14" s="1"/>
  <c r="AA12" i="14"/>
  <c r="AC12" i="14" s="1"/>
  <c r="AA52" i="14"/>
  <c r="AC52" i="14" s="1"/>
  <c r="AA51" i="14"/>
  <c r="AC51" i="14" s="1"/>
  <c r="AA50" i="14"/>
  <c r="AC50" i="14" s="1"/>
  <c r="AA49" i="14"/>
  <c r="AC49" i="14" s="1"/>
  <c r="AA48" i="14"/>
  <c r="AC48" i="14" s="1"/>
  <c r="AA44" i="14"/>
  <c r="AC44" i="14" s="1"/>
  <c r="AA43" i="14"/>
  <c r="AC43" i="14" s="1"/>
  <c r="AA36" i="14"/>
  <c r="AC36" i="14" s="1"/>
  <c r="AA40" i="14"/>
  <c r="AC40" i="14" s="1"/>
  <c r="AA33" i="14"/>
  <c r="AC33" i="14" s="1"/>
  <c r="AA39" i="14"/>
  <c r="AC39" i="14" s="1"/>
  <c r="AA37" i="14"/>
  <c r="AC37" i="14" s="1"/>
  <c r="AA35" i="14"/>
  <c r="AC35" i="14" s="1"/>
  <c r="AA26" i="14"/>
  <c r="AC26" i="14" s="1"/>
  <c r="AA15" i="14"/>
  <c r="AC15" i="14" s="1"/>
  <c r="AA32" i="14"/>
  <c r="AC32" i="14" s="1"/>
  <c r="AA21" i="14"/>
  <c r="AC21" i="14" s="1"/>
  <c r="AA30" i="14"/>
  <c r="AC30" i="14" s="1"/>
  <c r="AA28" i="14"/>
  <c r="AC28" i="14" s="1"/>
  <c r="AA29" i="14"/>
  <c r="AC29" i="14" s="1"/>
  <c r="AA27" i="14"/>
  <c r="AC27" i="14" s="1"/>
  <c r="AA25" i="14"/>
  <c r="AC25" i="14" s="1"/>
  <c r="AA24" i="14"/>
  <c r="AC24" i="14" s="1"/>
  <c r="AA23" i="14"/>
  <c r="AC23" i="14" s="1"/>
  <c r="AA19" i="14"/>
  <c r="AC19" i="14" s="1"/>
  <c r="AA14" i="14"/>
  <c r="AC14" i="14" s="1"/>
  <c r="AA20" i="14"/>
  <c r="AC20" i="14" s="1"/>
  <c r="AA18" i="14"/>
  <c r="AC18" i="14" s="1"/>
  <c r="AA8" i="14"/>
  <c r="AC8" i="14" s="1"/>
  <c r="AA13" i="14"/>
  <c r="AC13" i="14" s="1"/>
  <c r="AA11" i="14"/>
  <c r="AC11" i="14" s="1"/>
  <c r="AA10" i="14"/>
  <c r="AC10" i="14" s="1"/>
  <c r="AA9" i="14"/>
  <c r="AC9" i="14" s="1"/>
  <c r="AA7" i="14"/>
  <c r="AC7" i="14" s="1"/>
  <c r="AA6" i="14"/>
  <c r="AC6" i="14" s="1"/>
  <c r="AA5" i="14"/>
  <c r="AC5" i="14" s="1"/>
  <c r="H124" i="14"/>
  <c r="J124" i="14" s="1"/>
  <c r="H108" i="14"/>
  <c r="J108" i="14" s="1"/>
  <c r="H88" i="14"/>
  <c r="J88" i="14" s="1"/>
  <c r="H123" i="14"/>
  <c r="J123" i="14" s="1"/>
  <c r="H91" i="14"/>
  <c r="J91" i="14" s="1"/>
  <c r="H122" i="14"/>
  <c r="J122" i="14" s="1"/>
  <c r="H121" i="14"/>
  <c r="J121" i="14" s="1"/>
  <c r="H119" i="14"/>
  <c r="J119" i="14" s="1"/>
  <c r="H94" i="14"/>
  <c r="J94" i="14" s="1"/>
  <c r="H116" i="14"/>
  <c r="J116" i="14" s="1"/>
  <c r="H115" i="14"/>
  <c r="J115" i="14" s="1"/>
  <c r="H114" i="14"/>
  <c r="J114" i="14" s="1"/>
  <c r="H82" i="14"/>
  <c r="J82" i="14" s="1"/>
  <c r="H103" i="14"/>
  <c r="J103" i="14" s="1"/>
  <c r="H109" i="14"/>
  <c r="J109" i="14" s="1"/>
  <c r="H105" i="14"/>
  <c r="J105" i="14" s="1"/>
  <c r="H104" i="14"/>
  <c r="J104" i="14" s="1"/>
  <c r="H102" i="14"/>
  <c r="J102" i="14" s="1"/>
  <c r="H100" i="14"/>
  <c r="J100" i="14" s="1"/>
  <c r="H97" i="14"/>
  <c r="J97" i="14" s="1"/>
  <c r="H96" i="14"/>
  <c r="J96" i="14" s="1"/>
  <c r="H89" i="14"/>
  <c r="J89" i="14" s="1"/>
  <c r="H87" i="14"/>
  <c r="J87" i="14" s="1"/>
  <c r="H85" i="14"/>
  <c r="J85" i="14" s="1"/>
  <c r="H84" i="14"/>
  <c r="J84" i="14" s="1"/>
  <c r="H83" i="14"/>
  <c r="J83" i="14" s="1"/>
  <c r="H80" i="14"/>
  <c r="J80" i="14" s="1"/>
  <c r="H81" i="14"/>
  <c r="J81" i="14" s="1"/>
  <c r="H79" i="14"/>
  <c r="J79" i="14" s="1"/>
  <c r="H76" i="14"/>
  <c r="J76" i="14" s="1"/>
  <c r="H78" i="14"/>
  <c r="J78" i="14" s="1"/>
  <c r="H77" i="14"/>
  <c r="J77" i="14" s="1"/>
  <c r="H75" i="14"/>
  <c r="J75" i="14" s="1"/>
  <c r="H65" i="14"/>
  <c r="J65" i="14" s="1"/>
  <c r="H64" i="14"/>
  <c r="J64" i="14" s="1"/>
  <c r="H63" i="14"/>
  <c r="J63" i="14" s="1"/>
  <c r="H62" i="14"/>
  <c r="J62" i="14" s="1"/>
  <c r="H61" i="14"/>
  <c r="J61" i="14" s="1"/>
  <c r="H60" i="14"/>
  <c r="J60" i="14" s="1"/>
  <c r="H59" i="14"/>
  <c r="J59" i="14" s="1"/>
  <c r="H57" i="14"/>
  <c r="J57" i="14" s="1"/>
  <c r="H56" i="14"/>
  <c r="J56" i="14" s="1"/>
  <c r="H54" i="14"/>
  <c r="J54" i="14" s="1"/>
  <c r="H55" i="14"/>
  <c r="J55" i="14" s="1"/>
  <c r="H52" i="14"/>
  <c r="J52" i="14" s="1"/>
  <c r="H51" i="14"/>
  <c r="J51" i="14" s="1"/>
  <c r="H49" i="14"/>
  <c r="J49" i="14" s="1"/>
  <c r="H47" i="14"/>
  <c r="J47" i="14" s="1"/>
  <c r="H45" i="14"/>
  <c r="J45" i="14" s="1"/>
  <c r="H43" i="14"/>
  <c r="J43" i="14" s="1"/>
  <c r="H39" i="14"/>
  <c r="J39" i="14" s="1"/>
  <c r="H44" i="14"/>
  <c r="J44" i="14" s="1"/>
  <c r="H40" i="14"/>
  <c r="J40" i="14" s="1"/>
  <c r="H37" i="14"/>
  <c r="J37" i="14" s="1"/>
  <c r="H35" i="14"/>
  <c r="J35" i="14" s="1"/>
  <c r="H36" i="14"/>
  <c r="J36" i="14" s="1"/>
  <c r="H33" i="14"/>
  <c r="J33" i="14" s="1"/>
  <c r="H32" i="14"/>
  <c r="J32" i="14" s="1"/>
  <c r="H31" i="14"/>
  <c r="J31" i="14" s="1"/>
  <c r="H225" i="2"/>
  <c r="J225" i="2" s="1"/>
  <c r="G24" i="7"/>
  <c r="H38" i="11"/>
  <c r="H29" i="12"/>
  <c r="J29" i="12" s="1"/>
  <c r="H59" i="12"/>
  <c r="J59" i="12" s="1"/>
  <c r="H71" i="12"/>
  <c r="J71" i="12" s="1"/>
  <c r="H23" i="2"/>
  <c r="J23" i="2" s="1"/>
  <c r="H47" i="2"/>
  <c r="J47" i="2" s="1"/>
  <c r="H76" i="2"/>
  <c r="J76" i="2" s="1"/>
  <c r="H200" i="2"/>
  <c r="J200" i="2" s="1"/>
  <c r="H208" i="2"/>
  <c r="J208" i="2" s="1"/>
  <c r="H226" i="2"/>
  <c r="J226" i="2" s="1"/>
  <c r="H11" i="11"/>
  <c r="H219" i="2"/>
  <c r="J219" i="2" s="1"/>
  <c r="H210" i="2"/>
  <c r="J210" i="2" s="1"/>
  <c r="H217" i="2"/>
  <c r="J217" i="2" s="1"/>
  <c r="H211" i="2"/>
  <c r="J211" i="2" s="1"/>
  <c r="H221" i="2"/>
  <c r="J221" i="2" s="1"/>
  <c r="K20" i="10"/>
  <c r="H20" i="10"/>
  <c r="M44" i="8"/>
  <c r="H182" i="1"/>
  <c r="J182" i="1" s="1"/>
  <c r="H173" i="1"/>
  <c r="J173" i="1" s="1"/>
  <c r="I44" i="8"/>
  <c r="F55" i="4"/>
  <c r="F53" i="4"/>
  <c r="M51" i="4"/>
  <c r="J51" i="4"/>
  <c r="H22" i="1"/>
  <c r="J22" i="1" s="1"/>
  <c r="H15" i="1"/>
  <c r="J15" i="1" s="1"/>
  <c r="H172" i="1"/>
  <c r="J172" i="1" s="1"/>
  <c r="H170" i="1"/>
  <c r="J170" i="1" s="1"/>
  <c r="H174" i="1"/>
  <c r="J174" i="1" s="1"/>
  <c r="H175" i="1"/>
  <c r="J175" i="1" s="1"/>
  <c r="H176" i="1"/>
  <c r="J176" i="1" s="1"/>
  <c r="H180" i="1"/>
  <c r="J180" i="1" s="1"/>
  <c r="H177" i="1"/>
  <c r="J177" i="1" s="1"/>
  <c r="H178" i="1"/>
  <c r="J178" i="1" s="1"/>
  <c r="H179" i="1"/>
  <c r="J179" i="1" s="1"/>
  <c r="H183" i="1"/>
  <c r="J183" i="1" s="1"/>
  <c r="H171" i="1"/>
  <c r="J171" i="1" s="1"/>
  <c r="S9" i="16" l="1"/>
  <c r="Z7" i="16"/>
  <c r="S11" i="16"/>
  <c r="W7" i="16"/>
  <c r="V7" i="4"/>
  <c r="K11" i="11"/>
  <c r="K13" i="11"/>
  <c r="K14" i="11"/>
  <c r="K15" i="11"/>
  <c r="K16" i="11"/>
  <c r="K17" i="11"/>
  <c r="K18" i="11"/>
  <c r="K19" i="11"/>
  <c r="K49" i="11"/>
  <c r="K50" i="11"/>
  <c r="K20" i="11"/>
  <c r="K21" i="11"/>
  <c r="K22" i="11"/>
  <c r="K23" i="11"/>
  <c r="K24" i="11"/>
  <c r="K25" i="11"/>
  <c r="K29" i="11"/>
  <c r="K30" i="11"/>
  <c r="K31" i="11"/>
  <c r="K32" i="11"/>
  <c r="K33" i="11"/>
  <c r="K34" i="11"/>
  <c r="K42" i="11"/>
  <c r="K44" i="11"/>
  <c r="K45" i="11"/>
  <c r="K7" i="11"/>
  <c r="K46" i="11"/>
  <c r="K47" i="11"/>
  <c r="K48" i="11"/>
  <c r="K9" i="11"/>
  <c r="K54" i="11"/>
  <c r="K55" i="11"/>
  <c r="K56" i="11"/>
  <c r="K57" i="11"/>
  <c r="K58" i="11"/>
  <c r="K64" i="11"/>
  <c r="K65" i="11"/>
  <c r="K66" i="11"/>
  <c r="K68" i="11"/>
  <c r="K69" i="11"/>
  <c r="K28" i="11"/>
  <c r="K70" i="11"/>
  <c r="K71" i="11"/>
  <c r="K73" i="11"/>
  <c r="K74" i="11"/>
  <c r="K75" i="11"/>
  <c r="K76" i="11"/>
  <c r="K77" i="11"/>
  <c r="K79" i="11"/>
  <c r="K80" i="11"/>
  <c r="K81" i="11"/>
  <c r="K78" i="11"/>
  <c r="K26" i="11"/>
  <c r="K27" i="11"/>
  <c r="K84" i="11"/>
  <c r="K86" i="11"/>
  <c r="K89" i="11"/>
  <c r="H46" i="11"/>
  <c r="K3" i="11"/>
  <c r="H3" i="11"/>
  <c r="M6" i="9"/>
  <c r="I6" i="9"/>
  <c r="M48" i="9"/>
  <c r="I49" i="9"/>
  <c r="I48" i="9"/>
  <c r="F55" i="5"/>
  <c r="F53" i="5"/>
  <c r="M51" i="5"/>
  <c r="J51" i="5"/>
  <c r="H78" i="12"/>
  <c r="J78" i="12" s="1"/>
  <c r="H18" i="12"/>
  <c r="J18" i="12" s="1"/>
  <c r="H66" i="2"/>
  <c r="J66" i="2" s="1"/>
  <c r="H10" i="2"/>
  <c r="J10" i="2" s="1"/>
  <c r="H203" i="2"/>
  <c r="J203" i="2" s="1"/>
  <c r="H215" i="2"/>
  <c r="J215" i="2" s="1"/>
  <c r="H199" i="2"/>
  <c r="J199" i="2" s="1"/>
  <c r="H205" i="2"/>
  <c r="J205" i="2" s="1"/>
  <c r="H207" i="2"/>
  <c r="J207" i="2" s="1"/>
  <c r="H201" i="2"/>
  <c r="J201" i="2" s="1"/>
  <c r="H220" i="2"/>
  <c r="J220" i="2" s="1"/>
  <c r="H218" i="2"/>
  <c r="J218" i="2" s="1"/>
  <c r="H213" i="2"/>
  <c r="J213" i="2" s="1"/>
  <c r="H202" i="2"/>
  <c r="J202" i="2" s="1"/>
  <c r="H222" i="2"/>
  <c r="J222" i="2" s="1"/>
  <c r="H204" i="2"/>
  <c r="J204" i="2" s="1"/>
  <c r="H223" i="2"/>
  <c r="J223" i="2" s="1"/>
  <c r="H224" i="2"/>
  <c r="J224" i="2" s="1"/>
  <c r="H27" i="3"/>
  <c r="J27" i="3" s="1"/>
  <c r="H70" i="3"/>
  <c r="J70" i="3" s="1"/>
  <c r="K9" i="13"/>
  <c r="H9" i="13"/>
  <c r="K16" i="13"/>
  <c r="H16" i="13"/>
  <c r="K15" i="13"/>
  <c r="K8" i="13"/>
  <c r="K4" i="13"/>
  <c r="K10" i="13"/>
  <c r="K7" i="13"/>
  <c r="K3" i="13"/>
  <c r="K2" i="13"/>
  <c r="H15" i="13"/>
  <c r="H8" i="13"/>
  <c r="H4" i="13"/>
  <c r="H10" i="13"/>
  <c r="H7" i="13"/>
  <c r="H3" i="13"/>
  <c r="H2" i="13"/>
  <c r="H13" i="13"/>
  <c r="K13" i="13"/>
  <c r="H21" i="3"/>
  <c r="J21" i="3" s="1"/>
  <c r="H17" i="3"/>
  <c r="J17" i="3" s="1"/>
  <c r="H18" i="3"/>
  <c r="J18" i="3" s="1"/>
  <c r="H24" i="3"/>
  <c r="J24" i="3" s="1"/>
  <c r="H15" i="3"/>
  <c r="J15" i="3" s="1"/>
  <c r="H16" i="3"/>
  <c r="J16" i="3" s="1"/>
  <c r="H13" i="3"/>
  <c r="J13" i="3" s="1"/>
  <c r="H11" i="3"/>
  <c r="J11" i="3" s="1"/>
  <c r="H10" i="3"/>
  <c r="J10" i="3" s="1"/>
  <c r="H57" i="3"/>
  <c r="J57" i="3" s="1"/>
  <c r="H58" i="3"/>
  <c r="J58" i="3" s="1"/>
  <c r="H60" i="3"/>
  <c r="J60" i="3" s="1"/>
  <c r="H62" i="3"/>
  <c r="J62" i="3" s="1"/>
  <c r="H61" i="3"/>
  <c r="J61" i="3" s="1"/>
  <c r="H63" i="3"/>
  <c r="J63" i="3" s="1"/>
  <c r="H67" i="3"/>
  <c r="J67" i="3" s="1"/>
  <c r="H65" i="3"/>
  <c r="J65" i="3" s="1"/>
  <c r="H66" i="3"/>
  <c r="J66" i="3" s="1"/>
  <c r="H64" i="3"/>
  <c r="J64" i="3" s="1"/>
  <c r="H69" i="3"/>
  <c r="J69" i="3" s="1"/>
  <c r="H68" i="3"/>
  <c r="J68" i="3" s="1"/>
  <c r="H59" i="3"/>
  <c r="J59" i="3" s="1"/>
  <c r="H83" i="3"/>
  <c r="J83" i="3" s="1"/>
  <c r="H82" i="3"/>
  <c r="J82" i="3" s="1"/>
  <c r="H81" i="3"/>
  <c r="J81" i="3" s="1"/>
  <c r="H80" i="3"/>
  <c r="J80" i="3" s="1"/>
  <c r="H79" i="3"/>
  <c r="J79" i="3" s="1"/>
  <c r="H78" i="3"/>
  <c r="J78" i="3" s="1"/>
  <c r="H77" i="3"/>
  <c r="J77" i="3" s="1"/>
  <c r="H76" i="3"/>
  <c r="J76" i="3" s="1"/>
  <c r="H77" i="12"/>
  <c r="J77" i="12" s="1"/>
  <c r="H66" i="12"/>
  <c r="J66" i="12" s="1"/>
  <c r="H46" i="1"/>
  <c r="J46" i="1" s="1"/>
  <c r="H39" i="1"/>
  <c r="J39" i="1" s="1"/>
  <c r="H192" i="1"/>
  <c r="J192" i="1" s="1"/>
  <c r="H201" i="1"/>
  <c r="J201" i="1" s="1"/>
  <c r="H195" i="1"/>
  <c r="J195" i="1" s="1"/>
  <c r="H35" i="11" l="1"/>
  <c r="H235" i="2"/>
  <c r="J235" i="2" s="1"/>
  <c r="H239" i="2"/>
  <c r="J239" i="2" s="1"/>
  <c r="H246" i="2"/>
  <c r="J246" i="2" s="1"/>
  <c r="H196" i="1" l="1"/>
  <c r="J196" i="1" s="1"/>
  <c r="H200" i="1"/>
  <c r="J200" i="1" s="1"/>
  <c r="H202" i="1"/>
  <c r="J202" i="1" s="1"/>
  <c r="H199" i="1"/>
  <c r="J199" i="1" s="1"/>
  <c r="H193" i="1"/>
  <c r="J193" i="1" s="1"/>
  <c r="H197" i="1"/>
  <c r="J197" i="1" s="1"/>
  <c r="H194" i="1"/>
  <c r="J194" i="1" s="1"/>
  <c r="H198" i="1"/>
  <c r="J198" i="1" s="1"/>
  <c r="H203" i="1"/>
  <c r="J203" i="1" s="1"/>
  <c r="H191" i="1"/>
  <c r="J191" i="1" s="1"/>
  <c r="K57" i="10"/>
  <c r="H57" i="10"/>
  <c r="M50" i="8"/>
  <c r="I50" i="8"/>
  <c r="F66" i="4"/>
  <c r="F64" i="4"/>
  <c r="M62" i="4"/>
  <c r="J62" i="4"/>
  <c r="H78" i="11" l="1"/>
  <c r="H4" i="11"/>
  <c r="H5" i="11"/>
  <c r="H6" i="11"/>
  <c r="H10" i="11"/>
  <c r="H13" i="11"/>
  <c r="H14" i="11"/>
  <c r="H15" i="11"/>
  <c r="H16" i="11"/>
  <c r="H17" i="11"/>
  <c r="H18" i="11"/>
  <c r="H19" i="11"/>
  <c r="H49" i="11"/>
  <c r="H50" i="11"/>
  <c r="H20" i="11"/>
  <c r="H21" i="11"/>
  <c r="H22" i="11"/>
  <c r="H23" i="11"/>
  <c r="H24" i="11"/>
  <c r="H25" i="11"/>
  <c r="H29" i="11"/>
  <c r="H30" i="11"/>
  <c r="H31" i="11"/>
  <c r="H33" i="11"/>
  <c r="H34" i="11"/>
  <c r="H36" i="11"/>
  <c r="H37" i="11"/>
  <c r="H32" i="11"/>
  <c r="H42" i="11"/>
  <c r="H44" i="11"/>
  <c r="H45" i="11"/>
  <c r="H7" i="11"/>
  <c r="H47" i="11"/>
  <c r="H48" i="11"/>
  <c r="H9" i="11"/>
  <c r="H53" i="11"/>
  <c r="H54" i="11"/>
  <c r="H55" i="11"/>
  <c r="H56" i="11"/>
  <c r="H57" i="11"/>
  <c r="H58" i="11"/>
  <c r="H60" i="11"/>
  <c r="H89" i="11"/>
  <c r="H64" i="11"/>
  <c r="H65" i="11"/>
  <c r="H66" i="11"/>
  <c r="H68" i="11"/>
  <c r="H69" i="11"/>
  <c r="H28" i="11"/>
  <c r="H70" i="11"/>
  <c r="H71" i="11"/>
  <c r="H73" i="11"/>
  <c r="H74" i="11"/>
  <c r="H75" i="11"/>
  <c r="H76" i="11"/>
  <c r="H77" i="11"/>
  <c r="H79" i="11"/>
  <c r="H80" i="11"/>
  <c r="H81" i="11"/>
  <c r="H26" i="11"/>
  <c r="H27" i="11"/>
  <c r="H84" i="11"/>
  <c r="H86" i="11"/>
  <c r="H2" i="11"/>
  <c r="G34" i="7"/>
  <c r="M54" i="9"/>
  <c r="I54" i="9"/>
  <c r="H234" i="2"/>
  <c r="J234" i="2" s="1"/>
  <c r="H232" i="2"/>
  <c r="J232" i="2" s="1"/>
  <c r="H240" i="2"/>
  <c r="J240" i="2" s="1"/>
  <c r="H242" i="2"/>
  <c r="J242" i="2" s="1"/>
  <c r="H237" i="2"/>
  <c r="J237" i="2" s="1"/>
  <c r="H243" i="2"/>
  <c r="J243" i="2" s="1"/>
  <c r="H233" i="2"/>
  <c r="J233" i="2" s="1"/>
  <c r="H244" i="2"/>
  <c r="J244" i="2" s="1"/>
  <c r="H245" i="2"/>
  <c r="J245" i="2" s="1"/>
  <c r="H238" i="2"/>
  <c r="J238" i="2" s="1"/>
  <c r="H236" i="2"/>
  <c r="J236" i="2" s="1"/>
  <c r="H241" i="2"/>
  <c r="J241" i="2" s="1"/>
  <c r="F66" i="5"/>
  <c r="F64" i="5"/>
  <c r="M62" i="5"/>
  <c r="J62" i="5"/>
  <c r="G70" i="7" l="1"/>
  <c r="N25" i="7"/>
  <c r="N9" i="7"/>
  <c r="H42" i="2"/>
  <c r="J42" i="2" s="1"/>
  <c r="H267" i="2"/>
  <c r="J267" i="2" s="1"/>
  <c r="H266" i="2"/>
  <c r="J266" i="2" s="1"/>
  <c r="H263" i="2"/>
  <c r="J263" i="2" s="1"/>
  <c r="H259" i="2"/>
  <c r="J259" i="2" s="1"/>
  <c r="V7" i="5"/>
  <c r="R11" i="4" l="1"/>
  <c r="R9" i="4"/>
  <c r="H6" i="1"/>
  <c r="K17" i="10" l="1"/>
  <c r="H17" i="10"/>
  <c r="H255" i="2" l="1"/>
  <c r="J255" i="2" s="1"/>
  <c r="H219" i="1" l="1"/>
  <c r="J219" i="1" s="1"/>
  <c r="K55" i="10"/>
  <c r="H55" i="10"/>
  <c r="K48" i="10"/>
  <c r="H48" i="10"/>
  <c r="H216" i="1" l="1"/>
  <c r="J216" i="1" s="1"/>
  <c r="H23" i="12"/>
  <c r="J23" i="12" s="1"/>
  <c r="H269" i="2"/>
  <c r="J269" i="2" s="1"/>
  <c r="H268" i="2"/>
  <c r="J268" i="2" s="1"/>
  <c r="H258" i="2"/>
  <c r="J258" i="2" s="1"/>
  <c r="M59" i="9" l="1"/>
  <c r="I59" i="9"/>
  <c r="F75" i="5"/>
  <c r="F77" i="5"/>
  <c r="K73" i="5"/>
  <c r="H73" i="5"/>
  <c r="H15" i="2"/>
  <c r="J15" i="2" s="1"/>
  <c r="H260" i="2"/>
  <c r="J260" i="2" s="1"/>
  <c r="H264" i="2"/>
  <c r="J264" i="2" s="1"/>
  <c r="H254" i="2"/>
  <c r="J254" i="2" s="1"/>
  <c r="H261" i="2"/>
  <c r="J261" i="2" s="1"/>
  <c r="H270" i="2"/>
  <c r="J270" i="2" s="1"/>
  <c r="H252" i="2"/>
  <c r="J252" i="2" s="1"/>
  <c r="H253" i="2"/>
  <c r="J253" i="2" s="1"/>
  <c r="H257" i="2"/>
  <c r="J257" i="2" s="1"/>
  <c r="H265" i="2"/>
  <c r="J265" i="2" s="1"/>
  <c r="H256" i="2"/>
  <c r="J256" i="2" s="1"/>
  <c r="H262" i="2"/>
  <c r="J262" i="2" s="1"/>
  <c r="H271" i="2"/>
  <c r="J271" i="2" s="1"/>
  <c r="K90" i="10"/>
  <c r="H90" i="10"/>
  <c r="M55" i="8"/>
  <c r="I55" i="8"/>
  <c r="F77" i="4"/>
  <c r="F75" i="4"/>
  <c r="K73" i="4"/>
  <c r="H73" i="4"/>
  <c r="H15" i="12"/>
  <c r="J15" i="12" s="1"/>
  <c r="H13" i="1"/>
  <c r="J13" i="1" s="1"/>
  <c r="H213" i="1"/>
  <c r="J213" i="1" s="1"/>
  <c r="H214" i="1"/>
  <c r="J214" i="1" s="1"/>
  <c r="H209" i="1"/>
  <c r="J209" i="1" s="1"/>
  <c r="H212" i="1"/>
  <c r="J212" i="1" s="1"/>
  <c r="H211" i="1"/>
  <c r="J211" i="1" s="1"/>
  <c r="H218" i="1"/>
  <c r="J218" i="1" s="1"/>
  <c r="H221" i="1"/>
  <c r="J221" i="1" s="1"/>
  <c r="H217" i="1"/>
  <c r="J217" i="1" s="1"/>
  <c r="H215" i="1"/>
  <c r="J215" i="1" s="1"/>
  <c r="H220" i="1"/>
  <c r="J220" i="1" s="1"/>
  <c r="H222" i="1"/>
  <c r="J222" i="1" s="1"/>
  <c r="H210" i="1"/>
  <c r="J210" i="1" s="1"/>
  <c r="G69" i="7" l="1"/>
  <c r="H295" i="2" l="1"/>
  <c r="J295" i="2" s="1"/>
  <c r="H283" i="2"/>
  <c r="J283" i="2" s="1"/>
  <c r="H239" i="1"/>
  <c r="J239" i="1" s="1"/>
  <c r="H14" i="12" l="1"/>
  <c r="G68" i="7" l="1"/>
  <c r="G66" i="7"/>
  <c r="H238" i="1" l="1"/>
  <c r="J238" i="1" s="1"/>
  <c r="H10" i="12" l="1"/>
  <c r="J10" i="12" s="1"/>
  <c r="H7" i="2"/>
  <c r="J7" i="2" s="1"/>
  <c r="H292" i="2"/>
  <c r="J292" i="2" s="1"/>
  <c r="H240" i="1" l="1"/>
  <c r="J240" i="1" s="1"/>
  <c r="K2" i="10"/>
  <c r="H2" i="10"/>
  <c r="H299" i="2" l="1"/>
  <c r="J299" i="2" s="1"/>
  <c r="H298" i="2"/>
  <c r="J298" i="2" s="1"/>
  <c r="H289" i="2"/>
  <c r="J289" i="2" s="1"/>
  <c r="H61" i="1" l="1"/>
  <c r="J61" i="1" s="1"/>
  <c r="H246" i="1"/>
  <c r="J246" i="1" s="1"/>
  <c r="H245" i="1"/>
  <c r="J245" i="1" s="1"/>
  <c r="K98" i="10"/>
  <c r="H98" i="10"/>
  <c r="M8" i="9" l="1"/>
  <c r="M64" i="9"/>
  <c r="K56" i="10" l="1"/>
  <c r="H56" i="10"/>
  <c r="H84" i="4"/>
  <c r="H60" i="1"/>
  <c r="J60" i="1" s="1"/>
  <c r="H244" i="1"/>
  <c r="J244" i="1" s="1"/>
  <c r="H232" i="1"/>
  <c r="J232" i="1" s="1"/>
  <c r="H7" i="12" l="1"/>
  <c r="J7" i="12" s="1"/>
  <c r="H8" i="12"/>
  <c r="J8" i="12" s="1"/>
  <c r="H27" i="12"/>
  <c r="J27" i="12" s="1"/>
  <c r="H19" i="12"/>
  <c r="J19" i="12" s="1"/>
  <c r="H21" i="12"/>
  <c r="J21" i="12" s="1"/>
  <c r="H11" i="12"/>
  <c r="J11" i="12" s="1"/>
  <c r="H38" i="12"/>
  <c r="J38" i="12" s="1"/>
  <c r="H26" i="12"/>
  <c r="J26" i="12" s="1"/>
  <c r="H16" i="12"/>
  <c r="J16" i="12" s="1"/>
  <c r="H32" i="12"/>
  <c r="J32" i="12" s="1"/>
  <c r="H39" i="12"/>
  <c r="J39" i="12" s="1"/>
  <c r="H44" i="12"/>
  <c r="J44" i="12" s="1"/>
  <c r="H31" i="12"/>
  <c r="J31" i="12" s="1"/>
  <c r="H22" i="12"/>
  <c r="J22" i="12" s="1"/>
  <c r="H47" i="12"/>
  <c r="J47" i="12" s="1"/>
  <c r="H34" i="12"/>
  <c r="J34" i="12" s="1"/>
  <c r="H45" i="12"/>
  <c r="J45" i="12" s="1"/>
  <c r="H12" i="12"/>
  <c r="J12" i="12" s="1"/>
  <c r="H49" i="12"/>
  <c r="J49" i="12" s="1"/>
  <c r="H9" i="12"/>
  <c r="J9" i="12" s="1"/>
  <c r="J14" i="12"/>
  <c r="H33" i="12"/>
  <c r="J33" i="12" s="1"/>
  <c r="H17" i="12"/>
  <c r="J17" i="12" s="1"/>
  <c r="H41" i="12"/>
  <c r="J41" i="12" s="1"/>
  <c r="H52" i="12"/>
  <c r="J52" i="12" s="1"/>
  <c r="H13" i="12"/>
  <c r="J13" i="12" s="1"/>
  <c r="H30" i="12"/>
  <c r="J30" i="12" s="1"/>
  <c r="H57" i="12"/>
  <c r="J57" i="12" s="1"/>
  <c r="H35" i="12"/>
  <c r="J35" i="12" s="1"/>
  <c r="H25" i="12"/>
  <c r="J25" i="12" s="1"/>
  <c r="H62" i="12"/>
  <c r="J62" i="12" s="1"/>
  <c r="H63" i="12"/>
  <c r="J63" i="12" s="1"/>
  <c r="H64" i="12"/>
  <c r="J64" i="12" s="1"/>
  <c r="H51" i="12"/>
  <c r="J51" i="12" s="1"/>
  <c r="H55" i="12"/>
  <c r="J55" i="12" s="1"/>
  <c r="H68" i="12"/>
  <c r="J68" i="12" s="1"/>
  <c r="H75" i="12"/>
  <c r="J75" i="12" s="1"/>
  <c r="H28" i="12"/>
  <c r="J28" i="12" s="1"/>
  <c r="H53" i="12"/>
  <c r="J53" i="12" s="1"/>
  <c r="H76" i="12"/>
  <c r="J76" i="12" s="1"/>
  <c r="H61" i="12"/>
  <c r="J61" i="12" s="1"/>
  <c r="H96" i="12"/>
  <c r="J96" i="12" s="1"/>
  <c r="H92" i="12"/>
  <c r="J92" i="12" s="1"/>
  <c r="H87" i="12"/>
  <c r="J87" i="12" s="1"/>
  <c r="H90" i="12"/>
  <c r="J90" i="12" s="1"/>
  <c r="H50" i="12"/>
  <c r="J50" i="12" s="1"/>
  <c r="H94" i="12"/>
  <c r="J94" i="12" s="1"/>
  <c r="H85" i="12"/>
  <c r="J85" i="12" s="1"/>
  <c r="H43" i="12"/>
  <c r="J43" i="12" s="1"/>
  <c r="H24" i="12"/>
  <c r="J24" i="12" s="1"/>
  <c r="H48" i="12"/>
  <c r="J48" i="12" s="1"/>
  <c r="H60" i="12"/>
  <c r="J60" i="12" s="1"/>
  <c r="H65" i="12"/>
  <c r="J65" i="12" s="1"/>
  <c r="H72" i="12"/>
  <c r="J72" i="12" s="1"/>
  <c r="H81" i="12"/>
  <c r="J81" i="12" s="1"/>
  <c r="H88" i="12"/>
  <c r="J88" i="12" s="1"/>
  <c r="H93" i="12"/>
  <c r="J93" i="12" s="1"/>
  <c r="H86" i="12"/>
  <c r="J86" i="12" s="1"/>
  <c r="H6" i="12"/>
  <c r="J6" i="12" s="1"/>
  <c r="H75" i="2"/>
  <c r="J75" i="2" s="1"/>
  <c r="H38" i="2"/>
  <c r="J38" i="2" s="1"/>
  <c r="H280" i="2"/>
  <c r="J280" i="2" s="1"/>
  <c r="H291" i="2"/>
  <c r="J291" i="2" s="1"/>
  <c r="H290" i="2"/>
  <c r="J290" i="2" s="1"/>
  <c r="H294" i="2"/>
  <c r="J294" i="2" s="1"/>
  <c r="H230" i="1" l="1"/>
  <c r="J230" i="1" s="1"/>
  <c r="K95" i="10"/>
  <c r="H95" i="10"/>
  <c r="K70" i="10"/>
  <c r="H70" i="10"/>
  <c r="H69" i="2" l="1"/>
  <c r="J69" i="2" s="1"/>
  <c r="H285" i="2"/>
  <c r="J285" i="2" s="1"/>
  <c r="H279" i="2"/>
  <c r="J279" i="2" s="1"/>
  <c r="H297" i="2"/>
  <c r="J297" i="2" s="1"/>
  <c r="I8" i="9"/>
  <c r="G62" i="7"/>
  <c r="I64" i="9"/>
  <c r="I65" i="9" l="1"/>
  <c r="F88" i="5"/>
  <c r="F86" i="5"/>
  <c r="K84" i="5"/>
  <c r="H84" i="5"/>
  <c r="H281" i="2"/>
  <c r="J281" i="2" s="1"/>
  <c r="H286" i="2"/>
  <c r="J286" i="2" s="1"/>
  <c r="H287" i="2"/>
  <c r="J287" i="2" s="1"/>
  <c r="H278" i="2"/>
  <c r="J278" i="2" s="1"/>
  <c r="H288" i="2"/>
  <c r="J288" i="2" s="1"/>
  <c r="H296" i="2"/>
  <c r="J296" i="2" s="1"/>
  <c r="H284" i="2"/>
  <c r="J284" i="2" s="1"/>
  <c r="H293" i="2"/>
  <c r="J293" i="2" s="1"/>
  <c r="H282" i="2"/>
  <c r="J282" i="2" s="1"/>
  <c r="H277" i="2"/>
  <c r="J277" i="2" s="1"/>
  <c r="K27" i="10"/>
  <c r="H27" i="10"/>
  <c r="M60" i="8"/>
  <c r="M65" i="8"/>
  <c r="I60" i="8"/>
  <c r="F88" i="4"/>
  <c r="F86" i="4"/>
  <c r="K84" i="4"/>
  <c r="H242" i="1"/>
  <c r="J242" i="1" s="1"/>
  <c r="H243" i="1"/>
  <c r="J243" i="1" s="1"/>
  <c r="H241" i="1"/>
  <c r="J241" i="1" s="1"/>
  <c r="H234" i="1"/>
  <c r="J234" i="1" s="1"/>
  <c r="H237" i="1"/>
  <c r="J237" i="1" s="1"/>
  <c r="H235" i="1"/>
  <c r="J235" i="1" s="1"/>
  <c r="H233" i="1"/>
  <c r="J233" i="1" s="1"/>
  <c r="H231" i="1"/>
  <c r="J231" i="1" s="1"/>
  <c r="H229" i="1"/>
  <c r="J229" i="1" s="1"/>
  <c r="H236" i="1"/>
  <c r="J236" i="1" s="1"/>
  <c r="H228" i="1"/>
  <c r="J228" i="1" s="1"/>
  <c r="H317" i="2" l="1"/>
  <c r="J317" i="2" s="1"/>
  <c r="H271" i="1" l="1"/>
  <c r="J271" i="1" s="1"/>
  <c r="H54" i="1"/>
  <c r="J54" i="1" s="1"/>
  <c r="H270" i="1"/>
  <c r="J270" i="1" s="1"/>
  <c r="M8" i="8"/>
  <c r="I8" i="8"/>
  <c r="M66" i="8"/>
  <c r="I66" i="8"/>
  <c r="I17" i="9"/>
  <c r="H74" i="2"/>
  <c r="J74" i="2" s="1"/>
  <c r="H326" i="2"/>
  <c r="J326" i="2" s="1"/>
  <c r="I73" i="9"/>
  <c r="H28" i="1" l="1"/>
  <c r="J28" i="1" s="1"/>
  <c r="H50" i="1"/>
  <c r="J50" i="1" s="1"/>
  <c r="H44" i="1"/>
  <c r="J44" i="1" s="1"/>
  <c r="H269" i="1"/>
  <c r="J269" i="1" s="1"/>
  <c r="H262" i="1"/>
  <c r="J262" i="1" s="1"/>
  <c r="H266" i="1"/>
  <c r="J266" i="1" s="1"/>
  <c r="H7" i="10"/>
  <c r="H8" i="10"/>
  <c r="H11" i="10"/>
  <c r="H13" i="10"/>
  <c r="H14" i="10"/>
  <c r="H15" i="10"/>
  <c r="H16" i="10"/>
  <c r="H18" i="10"/>
  <c r="H58" i="10"/>
  <c r="H19" i="10"/>
  <c r="H66" i="10"/>
  <c r="H67" i="10"/>
  <c r="H69" i="10"/>
  <c r="H21" i="10"/>
  <c r="H23" i="10"/>
  <c r="H25" i="10"/>
  <c r="H26" i="10"/>
  <c r="H29" i="10"/>
  <c r="H30" i="10"/>
  <c r="H31" i="10"/>
  <c r="H32" i="10"/>
  <c r="H33" i="10"/>
  <c r="H34" i="10"/>
  <c r="H35" i="10"/>
  <c r="H38" i="10"/>
  <c r="H39" i="10"/>
  <c r="H41" i="10"/>
  <c r="H42" i="10"/>
  <c r="H45" i="10"/>
  <c r="H46" i="10"/>
  <c r="H47" i="10"/>
  <c r="H49" i="10"/>
  <c r="H50" i="10"/>
  <c r="H53" i="10"/>
  <c r="H54" i="10"/>
  <c r="H60" i="10"/>
  <c r="H62" i="10"/>
  <c r="H63" i="10"/>
  <c r="H74" i="10"/>
  <c r="H75" i="10"/>
  <c r="H76" i="10"/>
  <c r="H77" i="10"/>
  <c r="H78" i="10"/>
  <c r="H79" i="10"/>
  <c r="H80" i="10"/>
  <c r="H81" i="10"/>
  <c r="H82" i="10"/>
  <c r="H85" i="10"/>
  <c r="H86" i="10"/>
  <c r="H88" i="10"/>
  <c r="H83" i="10"/>
  <c r="H89" i="10"/>
  <c r="H91" i="10"/>
  <c r="H93" i="10"/>
  <c r="H94" i="10"/>
  <c r="H10" i="10"/>
  <c r="H97" i="10"/>
  <c r="H100" i="10"/>
  <c r="H3" i="10"/>
  <c r="I95" i="4"/>
  <c r="G33" i="7"/>
  <c r="I70" i="9"/>
  <c r="H65" i="2"/>
  <c r="J65" i="2" s="1"/>
  <c r="H325" i="2"/>
  <c r="J325" i="2" s="1"/>
  <c r="H319" i="2"/>
  <c r="J319" i="2" s="1"/>
  <c r="N24" i="7" l="1"/>
  <c r="M14" i="9"/>
  <c r="I72" i="9"/>
  <c r="M71" i="9"/>
  <c r="M86" i="9"/>
  <c r="H324" i="2"/>
  <c r="J324" i="2" s="1"/>
  <c r="H311" i="2"/>
  <c r="J311" i="2" s="1"/>
  <c r="H308" i="2"/>
  <c r="J308" i="2" s="1"/>
  <c r="H305" i="2"/>
  <c r="J305" i="2" s="1"/>
  <c r="K49" i="10"/>
  <c r="H268" i="1"/>
  <c r="J268" i="1" s="1"/>
  <c r="K26" i="10" l="1"/>
  <c r="K38" i="10"/>
  <c r="H254" i="1"/>
  <c r="J254" i="1" s="1"/>
  <c r="K2" i="11" l="1"/>
  <c r="G19" i="7"/>
  <c r="K30" i="10"/>
  <c r="K91" i="10"/>
  <c r="H323" i="2" l="1"/>
  <c r="J323" i="2" s="1"/>
  <c r="H312" i="2"/>
  <c r="J312" i="2" s="1"/>
  <c r="H16" i="1"/>
  <c r="H260" i="1"/>
  <c r="J260" i="1" s="1"/>
  <c r="H267" i="1"/>
  <c r="J267" i="1" s="1"/>
  <c r="K19" i="10"/>
  <c r="I65" i="8" l="1"/>
  <c r="F99" i="4"/>
  <c r="F97" i="4"/>
  <c r="L95" i="4"/>
  <c r="I14" i="9" l="1"/>
  <c r="I71" i="9"/>
  <c r="F99" i="5"/>
  <c r="F97" i="5"/>
  <c r="H322" i="2"/>
  <c r="J322" i="2" s="1"/>
  <c r="H73" i="2"/>
  <c r="J73" i="2" s="1"/>
  <c r="K95" i="5"/>
  <c r="H95" i="5"/>
  <c r="H45" i="2"/>
  <c r="J45" i="2" s="1"/>
  <c r="H48" i="2"/>
  <c r="J48" i="2" s="1"/>
  <c r="H13" i="2"/>
  <c r="J13" i="2" s="1"/>
  <c r="H309" i="2"/>
  <c r="J309" i="2" s="1"/>
  <c r="H307" i="2"/>
  <c r="J307" i="2" s="1"/>
  <c r="H316" i="2"/>
  <c r="J316" i="2" s="1"/>
  <c r="H310" i="2"/>
  <c r="J310" i="2" s="1"/>
  <c r="H320" i="2"/>
  <c r="J320" i="2" s="1"/>
  <c r="H321" i="2"/>
  <c r="J321" i="2" s="1"/>
  <c r="H313" i="2"/>
  <c r="J313" i="2" s="1"/>
  <c r="H306" i="2"/>
  <c r="J306" i="2" s="1"/>
  <c r="H318" i="2"/>
  <c r="J318" i="2" s="1"/>
  <c r="H315" i="2"/>
  <c r="J315" i="2" s="1"/>
  <c r="H314" i="2"/>
  <c r="J314" i="2" s="1"/>
  <c r="H258" i="1" l="1"/>
  <c r="J258" i="1" s="1"/>
  <c r="H263" i="1"/>
  <c r="J263" i="1" s="1"/>
  <c r="H265" i="1"/>
  <c r="J265" i="1" s="1"/>
  <c r="H264" i="1"/>
  <c r="J264" i="1" s="1"/>
  <c r="H256" i="1"/>
  <c r="J256" i="1" s="1"/>
  <c r="H261" i="1"/>
  <c r="J261" i="1" s="1"/>
  <c r="H257" i="1"/>
  <c r="J257" i="1" s="1"/>
  <c r="H255" i="1"/>
  <c r="J255" i="1" s="1"/>
  <c r="H259" i="1"/>
  <c r="J259" i="1" s="1"/>
  <c r="H252" i="1"/>
  <c r="J252" i="1" s="1"/>
  <c r="H253" i="1"/>
  <c r="J253" i="1" s="1"/>
  <c r="H293" i="1"/>
  <c r="J293" i="1" s="1"/>
  <c r="H291" i="1"/>
  <c r="J291" i="1" s="1"/>
  <c r="I16" i="9" l="1"/>
  <c r="I15" i="9"/>
  <c r="I80" i="9"/>
  <c r="I81" i="9"/>
  <c r="G72" i="7"/>
  <c r="G65" i="7"/>
  <c r="H292" i="1" l="1"/>
  <c r="J292" i="1" s="1"/>
  <c r="N17" i="7" l="1"/>
  <c r="G11" i="7"/>
  <c r="H17" i="2"/>
  <c r="J17" i="2" s="1"/>
  <c r="H335" i="2"/>
  <c r="J335" i="2" s="1"/>
  <c r="H339" i="2"/>
  <c r="J339" i="2" s="1"/>
  <c r="H20" i="1" l="1"/>
  <c r="J20" i="1" s="1"/>
  <c r="H289" i="1"/>
  <c r="J289" i="1" s="1"/>
  <c r="I11" i="8" l="1"/>
  <c r="I72" i="8"/>
  <c r="I73" i="8"/>
  <c r="H53" i="1"/>
  <c r="H49" i="1"/>
  <c r="J49" i="1" s="1"/>
  <c r="H56" i="1"/>
  <c r="J56" i="1" s="1"/>
  <c r="H33" i="1"/>
  <c r="J33" i="1" s="1"/>
  <c r="H287" i="1"/>
  <c r="J287" i="1" s="1"/>
  <c r="K89" i="10" l="1"/>
  <c r="K60" i="10" l="1"/>
  <c r="K86" i="10" l="1"/>
  <c r="I78" i="9"/>
  <c r="H16" i="2"/>
  <c r="J16" i="2" s="1"/>
  <c r="H337" i="2"/>
  <c r="J337" i="2" s="1"/>
  <c r="K47" i="10" l="1"/>
  <c r="K100" i="10"/>
  <c r="J53" i="1" l="1"/>
  <c r="K85" i="10"/>
  <c r="K10" i="10"/>
  <c r="H285" i="1"/>
  <c r="J285" i="1" s="1"/>
  <c r="H345" i="2" l="1"/>
  <c r="J345" i="2" s="1"/>
  <c r="H342" i="2"/>
  <c r="J342" i="2" s="1"/>
  <c r="H332" i="2"/>
  <c r="J332" i="2" s="1"/>
  <c r="H333" i="2"/>
  <c r="J333" i="2" s="1"/>
  <c r="H290" i="1" l="1"/>
  <c r="J290" i="1" s="1"/>
  <c r="H278" i="1"/>
  <c r="J278" i="1" s="1"/>
  <c r="K66" i="10" l="1"/>
  <c r="M72" i="8"/>
  <c r="G15" i="7" l="1"/>
  <c r="I79" i="9"/>
  <c r="F110" i="5"/>
  <c r="F108" i="5"/>
  <c r="K106" i="5"/>
  <c r="H106" i="5"/>
  <c r="H18" i="2"/>
  <c r="J18" i="2" s="1"/>
  <c r="H51" i="2"/>
  <c r="J51" i="2" s="1"/>
  <c r="H72" i="2"/>
  <c r="J72" i="2" s="1"/>
  <c r="H29" i="2"/>
  <c r="J29" i="2" s="1"/>
  <c r="H19" i="2"/>
  <c r="J19" i="2" s="1"/>
  <c r="H341" i="2"/>
  <c r="J341" i="2" s="1"/>
  <c r="H348" i="2"/>
  <c r="J348" i="2" s="1"/>
  <c r="H347" i="2"/>
  <c r="J347" i="2" s="1"/>
  <c r="H346" i="2"/>
  <c r="J346" i="2" s="1"/>
  <c r="H334" i="2"/>
  <c r="J334" i="2" s="1"/>
  <c r="H340" i="2"/>
  <c r="J340" i="2" s="1"/>
  <c r="H343" i="2"/>
  <c r="J343" i="2" s="1"/>
  <c r="H338" i="2"/>
  <c r="J338" i="2" s="1"/>
  <c r="H336" i="2"/>
  <c r="J336" i="2" s="1"/>
  <c r="H344" i="2"/>
  <c r="J344" i="2" s="1"/>
  <c r="K42" i="10" l="1"/>
  <c r="K32" i="10"/>
  <c r="M71" i="8"/>
  <c r="I71" i="8"/>
  <c r="K106" i="4"/>
  <c r="H106" i="4"/>
  <c r="F110" i="4"/>
  <c r="F108" i="4"/>
  <c r="H282" i="1" l="1"/>
  <c r="J282" i="1" s="1"/>
  <c r="H280" i="1"/>
  <c r="J280" i="1" s="1"/>
  <c r="H281" i="1"/>
  <c r="J281" i="1" s="1"/>
  <c r="H279" i="1"/>
  <c r="J279" i="1" s="1"/>
  <c r="H283" i="1"/>
  <c r="J283" i="1" s="1"/>
  <c r="H286" i="1"/>
  <c r="J286" i="1" s="1"/>
  <c r="H284" i="1"/>
  <c r="J284" i="1" s="1"/>
  <c r="H288" i="1"/>
  <c r="J288" i="1" s="1"/>
  <c r="H277" i="1"/>
  <c r="J277" i="1" s="1"/>
  <c r="G61" i="7" l="1"/>
  <c r="G58" i="7"/>
  <c r="G60" i="7"/>
  <c r="G64" i="7"/>
  <c r="G71" i="7"/>
  <c r="G67" i="7"/>
  <c r="H370" i="2" l="1"/>
  <c r="J370" i="2" s="1"/>
  <c r="H377" i="2" l="1"/>
  <c r="J377" i="2" s="1"/>
  <c r="G12" i="7"/>
  <c r="H313" i="1" l="1"/>
  <c r="J313" i="1" s="1"/>
  <c r="M78" i="8"/>
  <c r="K67" i="10"/>
  <c r="K7" i="10"/>
  <c r="G26" i="7" l="1"/>
  <c r="I88" i="9" l="1"/>
  <c r="H372" i="2"/>
  <c r="J372" i="2" s="1"/>
  <c r="H360" i="2"/>
  <c r="J360" i="2" s="1"/>
  <c r="H60" i="2"/>
  <c r="J60" i="2" s="1"/>
  <c r="H32" i="2"/>
  <c r="J32" i="2" s="1"/>
  <c r="K6" i="11" l="1"/>
  <c r="K5" i="11" l="1"/>
  <c r="K10" i="11"/>
  <c r="K4" i="11"/>
  <c r="K97" i="10"/>
  <c r="K94" i="10"/>
  <c r="K93" i="10"/>
  <c r="K83" i="10"/>
  <c r="K88" i="10"/>
  <c r="K82" i="10"/>
  <c r="K81" i="10"/>
  <c r="K80" i="10"/>
  <c r="K79" i="10"/>
  <c r="K78" i="10"/>
  <c r="K76" i="10"/>
  <c r="K75" i="10"/>
  <c r="K74" i="10"/>
  <c r="K63" i="10"/>
  <c r="K62" i="10"/>
  <c r="K54" i="10"/>
  <c r="K53" i="10"/>
  <c r="K50" i="10"/>
  <c r="K46" i="10"/>
  <c r="K45" i="10"/>
  <c r="K41" i="10"/>
  <c r="K39" i="10"/>
  <c r="K35" i="10"/>
  <c r="K34" i="10"/>
  <c r="K33" i="10"/>
  <c r="K31" i="10"/>
  <c r="K29" i="10"/>
  <c r="K25" i="10"/>
  <c r="K23" i="10"/>
  <c r="K21" i="10"/>
  <c r="K69" i="10"/>
  <c r="K58" i="10"/>
  <c r="K18" i="10"/>
  <c r="K16" i="10"/>
  <c r="K15" i="10"/>
  <c r="K14" i="10"/>
  <c r="K13" i="10"/>
  <c r="K11" i="10"/>
  <c r="K8" i="10"/>
  <c r="K77" i="10"/>
  <c r="K3" i="10"/>
  <c r="H376" i="2" l="1"/>
  <c r="J376" i="2" s="1"/>
  <c r="H379" i="2" l="1"/>
  <c r="J379" i="2" s="1"/>
  <c r="H374" i="2" l="1"/>
  <c r="J374" i="2" s="1"/>
  <c r="H369" i="2"/>
  <c r="J369" i="2" s="1"/>
  <c r="H368" i="2"/>
  <c r="J368" i="2" s="1"/>
  <c r="H42" i="1" l="1"/>
  <c r="J42" i="1" s="1"/>
  <c r="H314" i="1"/>
  <c r="J314" i="1" s="1"/>
  <c r="I78" i="8"/>
  <c r="M9" i="9" l="1"/>
  <c r="H367" i="2"/>
  <c r="J367" i="2" s="1"/>
  <c r="H359" i="2"/>
  <c r="J359" i="2" s="1"/>
  <c r="H19" i="1"/>
  <c r="H12" i="1"/>
  <c r="H17" i="1"/>
  <c r="H11" i="1"/>
  <c r="H25" i="1"/>
  <c r="H303" i="1"/>
  <c r="J303" i="1" s="1"/>
  <c r="H312" i="1"/>
  <c r="J312" i="1" s="1"/>
  <c r="H57" i="2"/>
  <c r="J57" i="2" s="1"/>
  <c r="M11" i="9" l="1"/>
  <c r="M87" i="9"/>
  <c r="M6" i="8"/>
  <c r="M10" i="8"/>
  <c r="M79" i="8"/>
  <c r="M84" i="8"/>
  <c r="I86" i="9" l="1"/>
  <c r="H63" i="2"/>
  <c r="J63" i="2" s="1"/>
  <c r="H71" i="2"/>
  <c r="J71" i="2" s="1"/>
  <c r="H50" i="2"/>
  <c r="J50" i="2" s="1"/>
  <c r="H378" i="2"/>
  <c r="J378" i="2" s="1"/>
  <c r="H365" i="2"/>
  <c r="J365" i="2" s="1"/>
  <c r="H373" i="2"/>
  <c r="J373" i="2" s="1"/>
  <c r="H30" i="1" l="1"/>
  <c r="J30" i="1" s="1"/>
  <c r="I7" i="9"/>
  <c r="I9" i="9"/>
  <c r="I94" i="9"/>
  <c r="I93" i="9"/>
  <c r="I84" i="8"/>
  <c r="I79" i="8"/>
  <c r="I89" i="8"/>
  <c r="I100" i="9"/>
  <c r="I99" i="9"/>
  <c r="I11" i="9"/>
  <c r="I87" i="9"/>
  <c r="I106" i="9"/>
  <c r="I105" i="9"/>
  <c r="I94" i="8"/>
  <c r="I99" i="8"/>
  <c r="I10" i="8"/>
  <c r="I6" i="8"/>
  <c r="H41" i="2" l="1"/>
  <c r="J41" i="2" s="1"/>
  <c r="H31" i="2"/>
  <c r="J31" i="2" s="1"/>
  <c r="G32" i="7"/>
  <c r="F121" i="5"/>
  <c r="F119" i="5"/>
  <c r="K117" i="5"/>
  <c r="H117" i="5"/>
  <c r="F121" i="4"/>
  <c r="F119" i="4"/>
  <c r="K117" i="4"/>
  <c r="H117" i="4"/>
  <c r="H357" i="2"/>
  <c r="J357" i="2" s="1"/>
  <c r="H362" i="2"/>
  <c r="J362" i="2" s="1"/>
  <c r="H371" i="2"/>
  <c r="J371" i="2" s="1"/>
  <c r="H366" i="2"/>
  <c r="J366" i="2" s="1"/>
  <c r="H375" i="2"/>
  <c r="J375" i="2" s="1"/>
  <c r="H361" i="2"/>
  <c r="J361" i="2" s="1"/>
  <c r="H364" i="2"/>
  <c r="J364" i="2" s="1"/>
  <c r="H363" i="2"/>
  <c r="J363" i="2" s="1"/>
  <c r="H358" i="2"/>
  <c r="J358" i="2" s="1"/>
  <c r="H309" i="1"/>
  <c r="J309" i="1" s="1"/>
  <c r="H311" i="1"/>
  <c r="J311" i="1" s="1"/>
  <c r="H304" i="1"/>
  <c r="J304" i="1" s="1"/>
  <c r="H310" i="1"/>
  <c r="J310" i="1" s="1"/>
  <c r="H306" i="1"/>
  <c r="J306" i="1" s="1"/>
  <c r="H305" i="1"/>
  <c r="J305" i="1" s="1"/>
  <c r="H307" i="1"/>
  <c r="J307" i="1" s="1"/>
  <c r="H308" i="1"/>
  <c r="J308" i="1" s="1"/>
  <c r="H302" i="1"/>
  <c r="J302" i="1" s="1"/>
  <c r="H301" i="1"/>
  <c r="J301" i="1" s="1"/>
  <c r="H336" i="1" l="1"/>
  <c r="J336" i="1" s="1"/>
  <c r="H397" i="2" l="1"/>
  <c r="J397" i="2" s="1"/>
  <c r="G31" i="7" l="1"/>
  <c r="G5" i="7" l="1"/>
  <c r="N7" i="7" l="1"/>
  <c r="N13" i="7"/>
  <c r="N22" i="7"/>
  <c r="N14" i="7"/>
  <c r="N11" i="7"/>
  <c r="N23" i="7"/>
  <c r="N15" i="7"/>
  <c r="N6" i="7"/>
  <c r="N12" i="7"/>
  <c r="N8" i="7"/>
  <c r="N16" i="7"/>
  <c r="N5" i="7"/>
  <c r="G9" i="7"/>
  <c r="G17" i="7"/>
  <c r="G28" i="7"/>
  <c r="G21" i="7"/>
  <c r="G25" i="7"/>
  <c r="G29" i="7"/>
  <c r="G38" i="7"/>
  <c r="G7" i="7"/>
  <c r="G23" i="7"/>
  <c r="G20" i="7"/>
  <c r="G39" i="7"/>
  <c r="G14" i="7"/>
  <c r="G18" i="7"/>
  <c r="G30" i="7"/>
  <c r="G6" i="7"/>
  <c r="H399" i="2" l="1"/>
  <c r="J399" i="2" s="1"/>
  <c r="F132" i="5"/>
  <c r="H329" i="1" l="1"/>
  <c r="J329" i="1" s="1"/>
  <c r="H23" i="1"/>
  <c r="J23" i="1" s="1"/>
  <c r="H28" i="2" l="1"/>
  <c r="J28" i="2" s="1"/>
  <c r="H400" i="2"/>
  <c r="J400" i="2" s="1"/>
  <c r="H388" i="2"/>
  <c r="J388" i="2" s="1"/>
  <c r="H396" i="2"/>
  <c r="J396" i="2" s="1"/>
  <c r="H405" i="2"/>
  <c r="J405" i="2" s="1"/>
  <c r="H334" i="1" l="1"/>
  <c r="J334" i="1" s="1"/>
  <c r="H328" i="1"/>
  <c r="H333" i="1"/>
  <c r="H332" i="1"/>
  <c r="V9" i="3" l="1"/>
  <c r="V11" i="3"/>
  <c r="AA7" i="3"/>
  <c r="X7" i="3"/>
  <c r="H323" i="1" l="1"/>
  <c r="F165" i="4"/>
  <c r="R11" i="5" l="1"/>
  <c r="R9" i="5"/>
  <c r="Y7" i="5"/>
  <c r="Y7" i="4"/>
  <c r="J333" i="1" l="1"/>
  <c r="J332" i="1"/>
  <c r="H335" i="1"/>
  <c r="J335" i="1" s="1"/>
  <c r="H9" i="1"/>
  <c r="J9" i="1" s="1"/>
  <c r="F143" i="4" l="1"/>
  <c r="F141" i="4"/>
  <c r="F143" i="5"/>
  <c r="F141" i="5"/>
  <c r="F132" i="4"/>
  <c r="H128" i="4"/>
  <c r="F154" i="5"/>
  <c r="F152" i="5"/>
  <c r="F154" i="4"/>
  <c r="F152" i="4"/>
  <c r="H128" i="5"/>
  <c r="F130" i="5"/>
  <c r="K128" i="5"/>
  <c r="F130" i="4"/>
  <c r="K128" i="4"/>
  <c r="F163" i="4"/>
  <c r="J323" i="1" l="1"/>
  <c r="H322" i="1"/>
  <c r="J322" i="1" s="1"/>
  <c r="H324" i="1"/>
  <c r="J324" i="1" s="1"/>
  <c r="H331" i="1"/>
  <c r="J331" i="1" s="1"/>
  <c r="H327" i="1"/>
  <c r="J327" i="1" s="1"/>
  <c r="H326" i="1"/>
  <c r="J326" i="1" s="1"/>
  <c r="H330" i="1"/>
  <c r="J330" i="1" s="1"/>
  <c r="J328" i="1"/>
  <c r="H325" i="1"/>
  <c r="J325" i="1" s="1"/>
  <c r="H321" i="1"/>
  <c r="J321" i="1" s="1"/>
  <c r="H392" i="2" l="1"/>
  <c r="J392" i="2" s="1"/>
  <c r="H391" i="2"/>
  <c r="J391" i="2" s="1"/>
  <c r="H389" i="2"/>
  <c r="J389" i="2" s="1"/>
  <c r="H404" i="2"/>
  <c r="J404" i="2" s="1"/>
  <c r="H398" i="2"/>
  <c r="J398" i="2" s="1"/>
  <c r="H402" i="2"/>
  <c r="J402" i="2" s="1"/>
  <c r="H401" i="2"/>
  <c r="J401" i="2" s="1"/>
  <c r="H403" i="2"/>
  <c r="J403" i="2" s="1"/>
  <c r="H395" i="2"/>
  <c r="J395" i="2" s="1"/>
  <c r="H394" i="2"/>
  <c r="J394" i="2" s="1"/>
  <c r="H393" i="2"/>
  <c r="J393" i="2" s="1"/>
  <c r="H390" i="2"/>
  <c r="J390" i="2" s="1"/>
  <c r="H387" i="2"/>
  <c r="J387" i="2" s="1"/>
  <c r="J11" i="1" l="1"/>
  <c r="H21" i="2" l="1"/>
  <c r="J21" i="2" s="1"/>
  <c r="H7" i="3" l="1"/>
  <c r="J7" i="3" s="1"/>
  <c r="H9" i="3"/>
  <c r="J9" i="3" s="1"/>
  <c r="H19" i="3"/>
  <c r="J19" i="3" s="1"/>
  <c r="H12" i="3"/>
  <c r="J12" i="3" s="1"/>
  <c r="H25" i="3"/>
  <c r="J25" i="3" s="1"/>
  <c r="H26" i="3"/>
  <c r="J26" i="3" s="1"/>
  <c r="H22" i="3"/>
  <c r="J22" i="3" s="1"/>
  <c r="H8" i="3"/>
  <c r="J8" i="3" s="1"/>
  <c r="H9" i="2" l="1"/>
  <c r="J9" i="2" s="1"/>
  <c r="H26" i="2"/>
  <c r="J26" i="2" s="1"/>
  <c r="H20" i="2"/>
  <c r="J20" i="2" s="1"/>
  <c r="H33" i="2"/>
  <c r="J33" i="2" s="1"/>
  <c r="H61" i="2"/>
  <c r="J61" i="2" s="1"/>
  <c r="H34" i="2"/>
  <c r="J34" i="2" s="1"/>
  <c r="H6" i="2"/>
  <c r="J6" i="2" s="1"/>
  <c r="H30" i="2"/>
  <c r="J30" i="2" s="1"/>
  <c r="H25" i="2"/>
  <c r="J25" i="2" s="1"/>
  <c r="H44" i="2"/>
  <c r="J44" i="2" s="1"/>
  <c r="H22" i="2"/>
  <c r="J22" i="2" s="1"/>
  <c r="H36" i="2"/>
  <c r="J36" i="2" s="1"/>
  <c r="H12" i="2"/>
  <c r="J12" i="2" s="1"/>
  <c r="H14" i="2"/>
  <c r="J14" i="2" s="1"/>
  <c r="H27" i="2"/>
  <c r="J27" i="2" s="1"/>
  <c r="H8" i="2"/>
  <c r="J8" i="2" s="1"/>
  <c r="H70" i="2"/>
  <c r="J70" i="2" s="1"/>
  <c r="H11" i="2"/>
  <c r="J11" i="2" s="1"/>
  <c r="H49" i="2"/>
  <c r="J49" i="2" s="1"/>
  <c r="H46" i="2"/>
  <c r="J46" i="2" s="1"/>
  <c r="H39" i="2"/>
  <c r="J39" i="2" s="1"/>
  <c r="H62" i="2"/>
  <c r="J62" i="2" s="1"/>
  <c r="H35" i="2"/>
  <c r="J35" i="2" s="1"/>
  <c r="H53" i="2"/>
  <c r="J53" i="2" s="1"/>
  <c r="H5" i="2"/>
  <c r="J5" i="2" s="1"/>
  <c r="H55" i="1"/>
  <c r="J55" i="1" s="1"/>
  <c r="H51" i="1"/>
  <c r="J51" i="1" s="1"/>
  <c r="H48" i="1"/>
  <c r="J48" i="1" s="1"/>
  <c r="H43" i="1"/>
  <c r="J43" i="1" s="1"/>
  <c r="H37" i="1"/>
  <c r="J37" i="1" s="1"/>
  <c r="H35" i="1"/>
  <c r="J35" i="1" s="1"/>
  <c r="H32" i="1"/>
  <c r="J32" i="1" s="1"/>
  <c r="H47" i="1"/>
  <c r="J47" i="1" s="1"/>
  <c r="H58" i="1"/>
  <c r="J58" i="1" s="1"/>
  <c r="H34" i="1"/>
  <c r="J34" i="1" s="1"/>
  <c r="H38" i="1"/>
  <c r="J38" i="1" s="1"/>
  <c r="H7" i="1"/>
  <c r="J7" i="1" s="1"/>
  <c r="H8" i="1"/>
  <c r="J8" i="1" s="1"/>
  <c r="H14" i="1"/>
  <c r="J14" i="1" s="1"/>
  <c r="H10" i="1"/>
  <c r="J10" i="1" s="1"/>
  <c r="J19" i="1"/>
  <c r="J17" i="1"/>
  <c r="J6" i="1"/>
  <c r="J12" i="1"/>
  <c r="J25" i="1"/>
  <c r="J16" i="1"/>
  <c r="H26" i="1"/>
  <c r="J26" i="1" s="1"/>
  <c r="H40" i="1"/>
  <c r="J40" i="1" s="1"/>
  <c r="H18" i="1"/>
  <c r="J18" i="1" s="1"/>
</calcChain>
</file>

<file path=xl/sharedStrings.xml><?xml version="1.0" encoding="utf-8"?>
<sst xmlns="http://schemas.openxmlformats.org/spreadsheetml/2006/main" count="40508" uniqueCount="1768">
  <si>
    <t>Jméno</t>
  </si>
  <si>
    <t>Z</t>
  </si>
  <si>
    <t>G</t>
  </si>
  <si>
    <t>A</t>
  </si>
  <si>
    <t>B</t>
  </si>
  <si>
    <t>TM</t>
  </si>
  <si>
    <t>Robert Hahn</t>
  </si>
  <si>
    <t>Jiří Polívka</t>
  </si>
  <si>
    <t>Tomáš Pichner</t>
  </si>
  <si>
    <t>Filip Švojgr</t>
  </si>
  <si>
    <t>Jakub Hříbal</t>
  </si>
  <si>
    <t>Lukáš Koubek</t>
  </si>
  <si>
    <t>František Štiller</t>
  </si>
  <si>
    <t>Stanislav Prokop</t>
  </si>
  <si>
    <t>Pavel Pulec</t>
  </si>
  <si>
    <t>Stanislav Bořek</t>
  </si>
  <si>
    <t>Jiří Leisch</t>
  </si>
  <si>
    <t>Michal Čermák</t>
  </si>
  <si>
    <t>Jakub Strnad</t>
  </si>
  <si>
    <t>Petr Heller</t>
  </si>
  <si>
    <t>Marek Vesecký</t>
  </si>
  <si>
    <t>Petr Boháč</t>
  </si>
  <si>
    <t>Tomáš Dlouhý</t>
  </si>
  <si>
    <t>Miroslav Příhoda</t>
  </si>
  <si>
    <t>Tomáš Meisner</t>
  </si>
  <si>
    <t>Jan Čulík</t>
  </si>
  <si>
    <t>Michal Matějovič</t>
  </si>
  <si>
    <t>Martin Kott</t>
  </si>
  <si>
    <t>Miroslav Král</t>
  </si>
  <si>
    <t>Patrik Lahoda</t>
  </si>
  <si>
    <t>Jakub Drexler</t>
  </si>
  <si>
    <t>Miloslav Náprstek</t>
  </si>
  <si>
    <t>Tomáš Hruška</t>
  </si>
  <si>
    <t>Lukáš Kopecký</t>
  </si>
  <si>
    <t>Štěpán Janžura</t>
  </si>
  <si>
    <t>Jiří Kindl</t>
  </si>
  <si>
    <t>Lukáš Müller</t>
  </si>
  <si>
    <t>Antonín Karlík</t>
  </si>
  <si>
    <t>Pr. B/Z</t>
  </si>
  <si>
    <t>Jaroslav Macík</t>
  </si>
  <si>
    <t>2014/2015</t>
  </si>
  <si>
    <t>PPG</t>
  </si>
  <si>
    <t>SHG</t>
  </si>
  <si>
    <t>ENG</t>
  </si>
  <si>
    <t>PSG</t>
  </si>
  <si>
    <t>GWG</t>
  </si>
  <si>
    <t>GTG</t>
  </si>
  <si>
    <t>PPG….Gól z přesilovky          SHG….Gól v oslabení         GWG….Vítězný gól           GTG….Vyrovnávací gól          PSG….Gól z nájezdu           ENG….Gól do prázdné brány</t>
  </si>
  <si>
    <t>PPG….Gól z přesilovky            SHG….Gól v oslabení         GWG….Vítězný gól        GTG….Vyrovnávací gól        PSG….Gól z nájezdu              ENG….Gól do prázdné brány</t>
  </si>
  <si>
    <t>2011/2012</t>
  </si>
  <si>
    <t>Zápasy</t>
  </si>
  <si>
    <t>Přesilovky</t>
  </si>
  <si>
    <t>Oslabení</t>
  </si>
  <si>
    <t>V</t>
  </si>
  <si>
    <t>R</t>
  </si>
  <si>
    <t>P</t>
  </si>
  <si>
    <t>BV</t>
  </si>
  <si>
    <t>BO</t>
  </si>
  <si>
    <t>BR</t>
  </si>
  <si>
    <t>2012/2013</t>
  </si>
  <si>
    <t>2013/2014</t>
  </si>
  <si>
    <t>Počet přesilovek</t>
  </si>
  <si>
    <t xml:space="preserve">Góly </t>
  </si>
  <si>
    <t>% Využití</t>
  </si>
  <si>
    <t>Inkasované góly</t>
  </si>
  <si>
    <t>Počet oslabení</t>
  </si>
  <si>
    <t>% Ubráněná oslabení</t>
  </si>
  <si>
    <t>Góly v oslabení</t>
  </si>
  <si>
    <t>Góly</t>
  </si>
  <si>
    <t>Celkově</t>
  </si>
  <si>
    <t>100. vstřelený gól - Lukáš Koubek, 5.1.2013 proti IBK Kubánský Klan B (10:1)</t>
  </si>
  <si>
    <t>200. vstřelený gól - Tomáš Pichner, 1.12.2013 proti SK B.U.H. Praha B (11:2)</t>
  </si>
  <si>
    <t>100. vstřelený gól - Antonín Karlík, 5.1.2014 proti Athletics Praha D (4:10)</t>
  </si>
  <si>
    <t>300. vstřelený gól - Jaroslav Macík, 2.11.2014 proti Desperados (5:8)</t>
  </si>
  <si>
    <t>Body v přesilovkách</t>
  </si>
  <si>
    <t>Lukáš Zbránek</t>
  </si>
  <si>
    <t>Body v oslabení</t>
  </si>
  <si>
    <t>Kamil Bašta</t>
  </si>
  <si>
    <t xml:space="preserve">Kamil Bašta </t>
  </si>
  <si>
    <t>200. vstřelený gól - Kamil Bašta, 7.2.2015 proti FBC Violets Prague (6:6)</t>
  </si>
  <si>
    <t>2015/2016</t>
  </si>
  <si>
    <t>2016/2017</t>
  </si>
  <si>
    <t>Michal Jelínek</t>
  </si>
  <si>
    <t>Ondřej Titz</t>
  </si>
  <si>
    <t>FBC Blue Horses Žehrovice A</t>
  </si>
  <si>
    <t>ČK</t>
  </si>
  <si>
    <t>Min</t>
  </si>
  <si>
    <t>Michal Šnobl</t>
  </si>
  <si>
    <t>OB</t>
  </si>
  <si>
    <t>B/Z</t>
  </si>
  <si>
    <t>FBC Blue Horses Žehrovice B</t>
  </si>
  <si>
    <t>Tomáš Šebesta</t>
  </si>
  <si>
    <t>Vítek Burda</t>
  </si>
  <si>
    <t>Daniel Kulhánek</t>
  </si>
  <si>
    <t>Jan Rokos</t>
  </si>
  <si>
    <t>Góly z náj.</t>
  </si>
  <si>
    <t>400. vstřelený gól - Tomáš Pichner, 11.10.2015 proti FBC Kanonýři Kladno C (4:4)</t>
  </si>
  <si>
    <t>Hattricky</t>
  </si>
  <si>
    <t>Počet</t>
  </si>
  <si>
    <t>4 góly v zápase</t>
  </si>
  <si>
    <t>5 gólů v zápase</t>
  </si>
  <si>
    <t>Skóre</t>
  </si>
  <si>
    <t>Výsledky</t>
  </si>
  <si>
    <t>Athletics Praha C</t>
  </si>
  <si>
    <t>7:5, 2:7</t>
  </si>
  <si>
    <t>F.C. Vorms Praha</t>
  </si>
  <si>
    <t>Fbc Barracudas Slaný</t>
  </si>
  <si>
    <t>Fbc Engineers</t>
  </si>
  <si>
    <t xml:space="preserve">FBC Falcons Žižkov </t>
  </si>
  <si>
    <t>FBC Falcons Žižkov B</t>
  </si>
  <si>
    <t>4:5, 3:3</t>
  </si>
  <si>
    <t>FBC Hamsters Vysočany</t>
  </si>
  <si>
    <t>FBC Jeleni Unhošť B</t>
  </si>
  <si>
    <t>3:3, 4:2</t>
  </si>
  <si>
    <t>4:6, 5:2</t>
  </si>
  <si>
    <t>FBC Pitbulls Kolín B</t>
  </si>
  <si>
    <t>5:7, 4:5</t>
  </si>
  <si>
    <t>FBC Ressler Boys</t>
  </si>
  <si>
    <t>4:0, 10:2</t>
  </si>
  <si>
    <t>FBC Vokovický Šavle</t>
  </si>
  <si>
    <t>10:2, 10:4</t>
  </si>
  <si>
    <t>FBC Žraloci Příbram B</t>
  </si>
  <si>
    <t>4:3, 6:1</t>
  </si>
  <si>
    <t>FBK Kolovraty</t>
  </si>
  <si>
    <t>3:7, 5:9</t>
  </si>
  <si>
    <t>FBK Seals Kladno</t>
  </si>
  <si>
    <t>5:9, 2:12</t>
  </si>
  <si>
    <t>Fbk Sokol Bubeneč</t>
  </si>
  <si>
    <t>4:9, 3:3</t>
  </si>
  <si>
    <t>FBK Sokol Dobřichovice</t>
  </si>
  <si>
    <t>6:4, 11:0</t>
  </si>
  <si>
    <t>FK Spartak Praha B</t>
  </si>
  <si>
    <t>5:13, 2:4, 2:0, 6:2</t>
  </si>
  <si>
    <t>FLK Zdar Bar</t>
  </si>
  <si>
    <t>3:6, 0:5</t>
  </si>
  <si>
    <t>Florbal Praha</t>
  </si>
  <si>
    <t>FT Sokol Břevnov B</t>
  </si>
  <si>
    <t>0:20, 5:7</t>
  </si>
  <si>
    <t>IBK Kubánský Klan B</t>
  </si>
  <si>
    <t>IBK Kuřata Kladno</t>
  </si>
  <si>
    <t>4:11, 6:11, 5:9, 5:1</t>
  </si>
  <si>
    <t>Lisboa 99</t>
  </si>
  <si>
    <t>8:0, 7:5</t>
  </si>
  <si>
    <t>Noxa Ruzyně</t>
  </si>
  <si>
    <t>3:7, 5:2</t>
  </si>
  <si>
    <t xml:space="preserve">SK B.U.H. Praha </t>
  </si>
  <si>
    <t>SK B.U.H. Praha B</t>
  </si>
  <si>
    <t>11:2, 6:4</t>
  </si>
  <si>
    <t>SK Black Dragons</t>
  </si>
  <si>
    <t>SK Kladno Raisins</t>
  </si>
  <si>
    <t>SK Lators</t>
  </si>
  <si>
    <t>7:2, 11:0</t>
  </si>
  <si>
    <t>SK Lvi Praha - Banko</t>
  </si>
  <si>
    <t>6:1, 7:0</t>
  </si>
  <si>
    <t>SK Panthers Příbram</t>
  </si>
  <si>
    <t>9:0k, 9:4</t>
  </si>
  <si>
    <t>SKP Olympia Kutná Hora C</t>
  </si>
  <si>
    <t>5:6, 6:4</t>
  </si>
  <si>
    <t>Starý Páky Kladno</t>
  </si>
  <si>
    <t>4:7, 1:8</t>
  </si>
  <si>
    <t>Šneci z Pěšin</t>
  </si>
  <si>
    <t>TBC Horoměřice B</t>
  </si>
  <si>
    <t>12:4, 5:2</t>
  </si>
  <si>
    <t>TJ Jiskra Zruč nad Sázavou</t>
  </si>
  <si>
    <t>1:3, 3:4</t>
  </si>
  <si>
    <t>Soupeř</t>
  </si>
  <si>
    <t>7:4, 8:1</t>
  </si>
  <si>
    <t>Sokol Rudná</t>
  </si>
  <si>
    <t>9:2, 6:1</t>
  </si>
  <si>
    <t>FBC Kladno D</t>
  </si>
  <si>
    <t>FBC Kralupy n/V C</t>
  </si>
  <si>
    <t>FBC Cavallino Rampante</t>
  </si>
  <si>
    <t>7:5, 5:3</t>
  </si>
  <si>
    <t>Sport Eden Beroun B</t>
  </si>
  <si>
    <t>1:0, 0:6</t>
  </si>
  <si>
    <t>B.B.B. Horoměřice</t>
  </si>
  <si>
    <t>FBC Xichties</t>
  </si>
  <si>
    <t>1:3, 4:9</t>
  </si>
  <si>
    <t>5:14, 2:17</t>
  </si>
  <si>
    <t>4:3, 6:4</t>
  </si>
  <si>
    <t>0:3, 3:3, 2:5, 1:6</t>
  </si>
  <si>
    <t>IBK Svatý Hole Kladno B</t>
  </si>
  <si>
    <t>FBC Atomovky</t>
  </si>
  <si>
    <t>8:4, 9:1</t>
  </si>
  <si>
    <t>Athletics Praha D</t>
  </si>
  <si>
    <t>4:10, 5:2</t>
  </si>
  <si>
    <t>Starý Páky Kladno B</t>
  </si>
  <si>
    <t>2:7, 3:3</t>
  </si>
  <si>
    <t>1:5, 1:6, 2:12, 4:7</t>
  </si>
  <si>
    <t>FBC Lynx</t>
  </si>
  <si>
    <t>5:4, 0:5k</t>
  </si>
  <si>
    <t>5:5, 2:6</t>
  </si>
  <si>
    <t>FBC Hornets Praha</t>
  </si>
  <si>
    <t>4:2, 2:2</t>
  </si>
  <si>
    <t>FBC Hamsters Vysočany B</t>
  </si>
  <si>
    <t>FBC Violets Prague</t>
  </si>
  <si>
    <t>6:6, 4:7</t>
  </si>
  <si>
    <t>FBC Engineers</t>
  </si>
  <si>
    <t>4:3, 1:4</t>
  </si>
  <si>
    <t>Black Angels C</t>
  </si>
  <si>
    <t>Prague Vikings B</t>
  </si>
  <si>
    <t>4:8, 3:1</t>
  </si>
  <si>
    <t>FbŠ Bohemians D</t>
  </si>
  <si>
    <t>Jakub Kameš</t>
  </si>
  <si>
    <t>Václav Klír</t>
  </si>
  <si>
    <t>Body v 1 zápase</t>
  </si>
  <si>
    <t>Sezóna</t>
  </si>
  <si>
    <t>Body v sezóně</t>
  </si>
  <si>
    <t>5:10, 3:8</t>
  </si>
  <si>
    <t>ELITE Praha</t>
  </si>
  <si>
    <t>7:1, 6:1, 2:1, 9:3</t>
  </si>
  <si>
    <t>9:4, 18:2</t>
  </si>
  <si>
    <t>1:2, 5:0, 5:3, 7:7, 5:5, 6:1</t>
  </si>
  <si>
    <t>300. vstřelený gól - Stanislav Prokop, 5.3.2015 proti FbŠ Bohemians D (18:2)</t>
  </si>
  <si>
    <t>9:4, 11:3</t>
  </si>
  <si>
    <t>7:1, 6:1</t>
  </si>
  <si>
    <t>5:7, 4:9</t>
  </si>
  <si>
    <t>500. vstřelený gól - Stanislav Prokop, 9.4.2016 proti FBC Hamsters Vysočany (8:5)</t>
  </si>
  <si>
    <t>4:4, 2:3, 5:4, 3:11</t>
  </si>
  <si>
    <t>10:4, 6:4</t>
  </si>
  <si>
    <t>2017/2018</t>
  </si>
  <si>
    <t>FBK Olymp Praha B</t>
  </si>
  <si>
    <t>Floorball Club Falcon</t>
  </si>
  <si>
    <t>Lukáš Pichner</t>
  </si>
  <si>
    <t>Jakub Leisch</t>
  </si>
  <si>
    <t>Jan Mikolášek</t>
  </si>
  <si>
    <t>Petr Hejda</t>
  </si>
  <si>
    <t>Václav Müller</t>
  </si>
  <si>
    <t>IBK Kubánský Klan C</t>
  </si>
  <si>
    <t>TJ Sokol Královské Vinohrady D</t>
  </si>
  <si>
    <t>Sparta Praha B</t>
  </si>
  <si>
    <t xml:space="preserve">Michal Šnobl </t>
  </si>
  <si>
    <t>Stanislav Lepič</t>
  </si>
  <si>
    <t>FbK Wildcats Praha B</t>
  </si>
  <si>
    <t>SK Alien Nation Černošice</t>
  </si>
  <si>
    <t>Sport Eden Beroun</t>
  </si>
  <si>
    <t xml:space="preserve">Las Plantas </t>
  </si>
  <si>
    <t>600. vstřelený gól - Jiří Polívka, 15.1.2017 proti Sport Eden Beroun (11:5)</t>
  </si>
  <si>
    <t>David Ondrejička</t>
  </si>
  <si>
    <t>Gladiátor Team Beroun</t>
  </si>
  <si>
    <t>6:6, 2:4</t>
  </si>
  <si>
    <t>FBC Slavia Praha B</t>
  </si>
  <si>
    <t>3:6, 1:12, 6:6, 2:5</t>
  </si>
  <si>
    <t>FBC Penguins</t>
  </si>
  <si>
    <t>1:6, 5:6</t>
  </si>
  <si>
    <t>3:13, 3:9</t>
  </si>
  <si>
    <t>3:9, 6:5</t>
  </si>
  <si>
    <t>4:5, 6:8</t>
  </si>
  <si>
    <t>1:7, 6:6</t>
  </si>
  <si>
    <t>2:12, 3:4</t>
  </si>
  <si>
    <t>Denis Kadlec</t>
  </si>
  <si>
    <t>2:2, 7:4, 2:1, 9:1, 1:4, 3:10</t>
  </si>
  <si>
    <t>4:6, 4:8</t>
  </si>
  <si>
    <t xml:space="preserve">Jan Mikolášek </t>
  </si>
  <si>
    <t>Tomáš Kaleta</t>
  </si>
  <si>
    <t>Daniel Bradáč</t>
  </si>
  <si>
    <t>Ondřej Jícha</t>
  </si>
  <si>
    <t>Ondřej Havelka</t>
  </si>
  <si>
    <t xml:space="preserve">Ondřej Havelka </t>
  </si>
  <si>
    <t>400. vstřelený gól - Tomáš Dlouhý, 17.9.2017 proti FBC Ressler Boys (4:2)</t>
  </si>
  <si>
    <t>SK Desperados</t>
  </si>
  <si>
    <t xml:space="preserve">700. vstřelený gól - Stanislav Prokop, 8.10.2017 proti FBC Kralupy nad Vltavou (9:5) </t>
  </si>
  <si>
    <t>FBC Kralupy n/V</t>
  </si>
  <si>
    <t>SK Lators (11:0)</t>
  </si>
  <si>
    <t>SK B.U.H. Praha B (11:2)</t>
  </si>
  <si>
    <t>Sport Eden Beroun (12:2)</t>
  </si>
  <si>
    <t>Čas</t>
  </si>
  <si>
    <t>Datum</t>
  </si>
  <si>
    <t>Tatran Střešovice B</t>
  </si>
  <si>
    <t>FBK Fat Pipe Vosy Praha</t>
  </si>
  <si>
    <t>AIK Steel Kladno</t>
  </si>
  <si>
    <t>Sport Eden Beroun (11:5)</t>
  </si>
  <si>
    <t>6 gólů v zápase</t>
  </si>
  <si>
    <t>FbŠ Bohemians C (7:9)</t>
  </si>
  <si>
    <t>FbŠ Boheminas C</t>
  </si>
  <si>
    <t>FBC VŠTJ Ekonom Praha</t>
  </si>
  <si>
    <t>7:9, 2:6</t>
  </si>
  <si>
    <t>FT Sokol Břevnov</t>
  </si>
  <si>
    <t>FKMP Praha</t>
  </si>
  <si>
    <t>Game Over Praha</t>
  </si>
  <si>
    <t>SK Desperados B</t>
  </si>
  <si>
    <t xml:space="preserve">3:6, 4:4 </t>
  </si>
  <si>
    <t>0:8, 5:6</t>
  </si>
  <si>
    <t>3:3, 1:6, 4:2, 4:2</t>
  </si>
  <si>
    <t>2:3, 3:2</t>
  </si>
  <si>
    <t>1:7, 4:2, 0:10, 2:3</t>
  </si>
  <si>
    <t>0:5, 0:4</t>
  </si>
  <si>
    <t>VP</t>
  </si>
  <si>
    <t>PP</t>
  </si>
  <si>
    <t>800. vstřelený gól - Stanislav Prokop, 11.3.2018 proti SK B.U.H. Praha (8:7n)</t>
  </si>
  <si>
    <t>David Homér</t>
  </si>
  <si>
    <t>2:6, 4:9, 9:3, 8:7n</t>
  </si>
  <si>
    <t>5:4, 3:1, 3:3, 9:3, 7:9, 2:5</t>
  </si>
  <si>
    <t>Karel Pokorný</t>
  </si>
  <si>
    <t>Václav Liebezeit</t>
  </si>
  <si>
    <t>5:8, 2:4, 11:3, 5:9</t>
  </si>
  <si>
    <t>2:5, 8:3</t>
  </si>
  <si>
    <t>3:9, 1:4</t>
  </si>
  <si>
    <t>9:5, 5:6</t>
  </si>
  <si>
    <t>5:4, 2:12</t>
  </si>
  <si>
    <t>7:5, 8:6</t>
  </si>
  <si>
    <t>FBC YOUNG BOYS</t>
  </si>
  <si>
    <t>IBK Tajula</t>
  </si>
  <si>
    <t>Kanonýři Kladno C</t>
  </si>
  <si>
    <t>Poison TJ JUNIOR PRAHA</t>
  </si>
  <si>
    <t>TJ Lokomotiva Rakovník A</t>
  </si>
  <si>
    <t>VŠSK MFF Praha</t>
  </si>
  <si>
    <t>FBC Hornets Praha B</t>
  </si>
  <si>
    <t>FBC Majklar</t>
  </si>
  <si>
    <t>FBC Mobydick Praha</t>
  </si>
  <si>
    <t>FBC Slavia Praha C</t>
  </si>
  <si>
    <t>FBK Vosy Praha DDM P2 C</t>
  </si>
  <si>
    <t>FKMP Praha B</t>
  </si>
  <si>
    <t>FLORBAL RIDERS</t>
  </si>
  <si>
    <t>Prague Tigers E</t>
  </si>
  <si>
    <t>SK Bruisers Dejvice</t>
  </si>
  <si>
    <t>TJ Sokol Dobříš B</t>
  </si>
  <si>
    <t>Panthers Praha D</t>
  </si>
  <si>
    <t>Panthers Praha F</t>
  </si>
  <si>
    <t>2018/2019</t>
  </si>
  <si>
    <t>Jan Sedláček</t>
  </si>
  <si>
    <t>7:1, 6:4</t>
  </si>
  <si>
    <t>1:4, 5:10</t>
  </si>
  <si>
    <t>Kanonýři Kladno C (6:8)</t>
  </si>
  <si>
    <t>Zdeněk Husák</t>
  </si>
  <si>
    <t>500. vstřelený gól - Štepán Janžura, 19.2.2019 proti Lhokamo Panthers Praha F (7:5)</t>
  </si>
  <si>
    <t>4:3, 7:5</t>
  </si>
  <si>
    <t>FBC Vokovický Šavle (10:2)</t>
  </si>
  <si>
    <t>TBC Horoměřice B (12:4)</t>
  </si>
  <si>
    <t>IBK Kubánský Klan B (10:8)</t>
  </si>
  <si>
    <t>IBK Kubánský Klan B (15:3)</t>
  </si>
  <si>
    <t>Šneci z Pěšin (9:4)</t>
  </si>
  <si>
    <t>FBC Falcons Žižkov (12:5)</t>
  </si>
  <si>
    <t>FBC Slavia Praha C (10:4)</t>
  </si>
  <si>
    <t>FbŠ Bohemians D (18:2)</t>
  </si>
  <si>
    <t>FBC Jeleni Unhošť (10:8)</t>
  </si>
  <si>
    <t>SK Bruisers Dejvice (8:4)</t>
  </si>
  <si>
    <t>SK Alien Nation Černošice (6:6)</t>
  </si>
  <si>
    <t>IBK Svatý hole Kladno B (9:1)</t>
  </si>
  <si>
    <t>FbŠ Bohemians D (9:4)</t>
  </si>
  <si>
    <t>4:5, 10:4</t>
  </si>
  <si>
    <t>3:6, 5:4</t>
  </si>
  <si>
    <t>900. vstřelený gól - Jakub Drexler, 17.3.2019 proti FBC Young Boys (8:2)</t>
  </si>
  <si>
    <t>2:4, 8:2</t>
  </si>
  <si>
    <t>1:4, 7:6</t>
  </si>
  <si>
    <t>3:7, 2:7</t>
  </si>
  <si>
    <t>0:3, 2:3</t>
  </si>
  <si>
    <t>1:5, 2:10</t>
  </si>
  <si>
    <t>SK Bruisers Dejvice (6:2)</t>
  </si>
  <si>
    <t>2019/2020</t>
  </si>
  <si>
    <t>FBC Jeleni Unhošť</t>
  </si>
  <si>
    <t>Florbal TJ Kobylisy C</t>
  </si>
  <si>
    <t>Florbal TJ Kobylisy B</t>
  </si>
  <si>
    <t>FBC YOUNG BOYS B</t>
  </si>
  <si>
    <t>Florbal Pro Beroun</t>
  </si>
  <si>
    <t>SK Alien Nation Černošice B</t>
  </si>
  <si>
    <t>Tomáš Leipner</t>
  </si>
  <si>
    <t>T.B.C. Králův Dvůr (10:3)</t>
  </si>
  <si>
    <t>Tomáš Husarik</t>
  </si>
  <si>
    <t xml:space="preserve">Lukáš Müller </t>
  </si>
  <si>
    <t>4:6, 12:2, 12:3</t>
  </si>
  <si>
    <t>Florbal Praha (11:3)</t>
  </si>
  <si>
    <t>IBK Svatý Hole Kladno</t>
  </si>
  <si>
    <t>8:7, 4:10</t>
  </si>
  <si>
    <t>7:2, 4:8, 7:9, 5:6n</t>
  </si>
  <si>
    <t>1:2</t>
  </si>
  <si>
    <t>4:4, 8:2, 11:3</t>
  </si>
  <si>
    <t>4:4, 7:1, 4:5, 6:8</t>
  </si>
  <si>
    <t>7:3, 7:3, 5:2, 12:5</t>
  </si>
  <si>
    <t>10:3, 5:3</t>
  </si>
  <si>
    <t>12:2, 11:5, 8:2</t>
  </si>
  <si>
    <t>5:8, 2:3</t>
  </si>
  <si>
    <t>5:3, 1:3, 2:1</t>
  </si>
  <si>
    <t>7:2</t>
  </si>
  <si>
    <t>8:4, 6:2, 3:1, 5:1</t>
  </si>
  <si>
    <t>1000. vstřelený gól - Tomáš Leipner, 18.1.2020 proti SK Kladno Raisins (3:1)</t>
  </si>
  <si>
    <t>3:4, 2:4</t>
  </si>
  <si>
    <t>4:5, 9:9, 4:9, 3:8</t>
  </si>
  <si>
    <t>2020/2021</t>
  </si>
  <si>
    <t>FBC Engineers (14:1)</t>
  </si>
  <si>
    <t>Nájezdy</t>
  </si>
  <si>
    <t>Úspěšnost (%)</t>
  </si>
  <si>
    <t>600. vstřelený gól - Lukáš Müller, 26.1.2020 proti Prague Tigers E (5:8)</t>
  </si>
  <si>
    <t>8:7, 7:6, 3:0, 9:4</t>
  </si>
  <si>
    <t>0:6, 5:6, 6:4, 5:8</t>
  </si>
  <si>
    <t>15:0</t>
  </si>
  <si>
    <t>Florbal Pro Beroun (15:0)</t>
  </si>
  <si>
    <t xml:space="preserve">Ondřej Jícha </t>
  </si>
  <si>
    <t>7:9, 1:9, 4:6</t>
  </si>
  <si>
    <t>4</t>
  </si>
  <si>
    <t>AIK Steel Kladno B</t>
  </si>
  <si>
    <t>Fbk Buldoci Radotín B</t>
  </si>
  <si>
    <t>FBC Vokurky</t>
  </si>
  <si>
    <t>FBC Dynamis B</t>
  </si>
  <si>
    <t>FBC TJ Lokomotiva Zdice</t>
  </si>
  <si>
    <t>Panthers Praha B</t>
  </si>
  <si>
    <t>Panthers Praha C</t>
  </si>
  <si>
    <t>Panthers Praha E</t>
  </si>
  <si>
    <t>Kanonýři Kladno B</t>
  </si>
  <si>
    <t>5:0k, 4:7, 8:4</t>
  </si>
  <si>
    <t>Tomáš Sochor</t>
  </si>
  <si>
    <t>FBC Engineers (6:2)</t>
  </si>
  <si>
    <t>David Burda</t>
  </si>
  <si>
    <t>2021/2022</t>
  </si>
  <si>
    <t>FBC Penguins Praha</t>
  </si>
  <si>
    <t>FBK VŠSK PaedF UK Praha</t>
  </si>
  <si>
    <t>Torza Sorry ASI</t>
  </si>
  <si>
    <t>FK Spartak Praha</t>
  </si>
  <si>
    <t>FbC Barracudas Slaný B</t>
  </si>
  <si>
    <t>Poison TJ JUNIOR Praha</t>
  </si>
  <si>
    <t>VSK ČVUT Praha Neo</t>
  </si>
  <si>
    <t>Fbk Koleje Slovan</t>
  </si>
  <si>
    <t>Pohár Českého florbalu</t>
  </si>
  <si>
    <t>SK Bivoj Litvínov</t>
  </si>
  <si>
    <t>7:9</t>
  </si>
  <si>
    <t>Texas Longhorns</t>
  </si>
  <si>
    <t>2:4</t>
  </si>
  <si>
    <t>FBC Rokycany</t>
  </si>
  <si>
    <t>5:11</t>
  </si>
  <si>
    <t>BK Real Roudnice n/L</t>
  </si>
  <si>
    <t>11:9</t>
  </si>
  <si>
    <t>5:6</t>
  </si>
  <si>
    <t>2:6</t>
  </si>
  <si>
    <t>Athletics Praha</t>
  </si>
  <si>
    <t>ASK Lovosice LFP</t>
  </si>
  <si>
    <t>6:13</t>
  </si>
  <si>
    <t>Fáze poháru</t>
  </si>
  <si>
    <t>Skupina</t>
  </si>
  <si>
    <t>TJ Lokomotiva Louny</t>
  </si>
  <si>
    <t>7:3</t>
  </si>
  <si>
    <t>2. kolo</t>
  </si>
  <si>
    <t>FBŠ Slavia Plzeň</t>
  </si>
  <si>
    <t>5:13</t>
  </si>
  <si>
    <t>3. kolo</t>
  </si>
  <si>
    <t>Tomáš Ibl</t>
  </si>
  <si>
    <t>Miroslav Křenek</t>
  </si>
  <si>
    <t>Jan Brabec</t>
  </si>
  <si>
    <t>Josef Vrba</t>
  </si>
  <si>
    <t>Petr Krištof</t>
  </si>
  <si>
    <t>IBK Kubánský Klan B (13:4)</t>
  </si>
  <si>
    <t>1100. vstřelený gól - Tomáš Pichner, 5.12.2021 proti FBC Penguins Praha (6:3)</t>
  </si>
  <si>
    <t>11:1, 6:3</t>
  </si>
  <si>
    <t>10</t>
  </si>
  <si>
    <t>3:2, 7:2</t>
  </si>
  <si>
    <t>2:7, 3:5, 6:3</t>
  </si>
  <si>
    <t>10:3, 9:1, 4:1, 5:0</t>
  </si>
  <si>
    <t>Václav Křenek</t>
  </si>
  <si>
    <t>1:2, 11:5</t>
  </si>
  <si>
    <t>10:1, 7:6, 15:3, 10:8, 1:0, 3:4, 13:4, 7:5</t>
  </si>
  <si>
    <t>5:4, 8:5(5:0k), 7:0, 6:2</t>
  </si>
  <si>
    <t>7:1, 3:5, 4:2, 4:4, 5:6, 5:3</t>
  </si>
  <si>
    <t>9</t>
  </si>
  <si>
    <t>3:4pn, 1:3, 5:2</t>
  </si>
  <si>
    <t>5:0, 6:0</t>
  </si>
  <si>
    <t>5:8, 5:4, 7:4</t>
  </si>
  <si>
    <t>4:11, 1:5, 2:7, 5:1</t>
  </si>
  <si>
    <t>6:3, 8:3, 6:4, 10:3, 5:4</t>
  </si>
  <si>
    <t>2:3, 6:1, 3:4, 4:6, 3:1, 7:1, 9:3</t>
  </si>
  <si>
    <t>6:3, 10:1</t>
  </si>
  <si>
    <t>2:6, 3:8, 7:2, 2:3, 10:4, 8:2</t>
  </si>
  <si>
    <t>Game Over Praha (10:1)</t>
  </si>
  <si>
    <t>Nejrychlejší gól</t>
  </si>
  <si>
    <t>FbK Olymp Praha B (7:2)</t>
  </si>
  <si>
    <t>SK Black Dragons (9:3)</t>
  </si>
  <si>
    <t>FbC Barracudas Slaný (7:9)</t>
  </si>
  <si>
    <t>Tatran Střešovice B (6:4)</t>
  </si>
  <si>
    <t>IBK Svatý Hole Kladno (5:4)</t>
  </si>
  <si>
    <t>Noxa Ruzyně (3:7)</t>
  </si>
  <si>
    <t>Torza Sorry ASI (10:4)</t>
  </si>
  <si>
    <t>Florbal Kladno</t>
  </si>
  <si>
    <t>SK Alien Nation</t>
  </si>
  <si>
    <t>SPORT CLUB Klatovy</t>
  </si>
  <si>
    <t>FBC DDM Kati Kadaň</t>
  </si>
  <si>
    <t>2022/2023</t>
  </si>
  <si>
    <t>FBC BLUE HORSES A+B+C</t>
  </si>
  <si>
    <t>BUTCHIS B</t>
  </si>
  <si>
    <t>FKÚ Ovocné Báze</t>
  </si>
  <si>
    <t>FbC Red Dragons Hořovice B</t>
  </si>
  <si>
    <t>FbC Red Dragons Hořovice</t>
  </si>
  <si>
    <t>Florbal Neratovice</t>
  </si>
  <si>
    <t>IBK Kubánský Klan</t>
  </si>
  <si>
    <t>Kralupy Wolves B</t>
  </si>
  <si>
    <t>Prague Tigers B</t>
  </si>
  <si>
    <t>FBC Rakovník</t>
  </si>
  <si>
    <t>FBC Rakovník B</t>
  </si>
  <si>
    <t>FBK Vosy Praha DDM P2 B</t>
  </si>
  <si>
    <t>SK B.U.H. Praha</t>
  </si>
  <si>
    <t>AIK Steel Kladno C</t>
  </si>
  <si>
    <t>Florbal Kladno B U23</t>
  </si>
  <si>
    <t>FBC Blue Horses Žehrovice C</t>
  </si>
  <si>
    <t>15:08</t>
  </si>
  <si>
    <t>Sokol Rudná (9:2)</t>
  </si>
  <si>
    <t>B.B.B. Horoměřice (5:0)</t>
  </si>
  <si>
    <t>0:14</t>
  </si>
  <si>
    <t>0:13</t>
  </si>
  <si>
    <t>FBC Jeleni Unhošť (2:6)</t>
  </si>
  <si>
    <t>FBC Atomovky (8:4)</t>
  </si>
  <si>
    <t>14:50</t>
  </si>
  <si>
    <t>0:19</t>
  </si>
  <si>
    <t>FBC Atomovky (9:1)</t>
  </si>
  <si>
    <t>Red Dragons Hořovice B (5:5)</t>
  </si>
  <si>
    <t>FBC Zdice (4:7)</t>
  </si>
  <si>
    <t>0:10</t>
  </si>
  <si>
    <t>0:06</t>
  </si>
  <si>
    <t>Panthers Praha D (6:6)</t>
  </si>
  <si>
    <t>15:14</t>
  </si>
  <si>
    <t>16:54</t>
  </si>
  <si>
    <t>13:06</t>
  </si>
  <si>
    <t>0:12</t>
  </si>
  <si>
    <t>FBC Mobydick Praha (7:9)</t>
  </si>
  <si>
    <t>18:18</t>
  </si>
  <si>
    <t>0:35</t>
  </si>
  <si>
    <t>11:58</t>
  </si>
  <si>
    <t>FBC Hornets Praha B (5:4)</t>
  </si>
  <si>
    <t xml:space="preserve">Tomáš Pichner </t>
  </si>
  <si>
    <t>16:48</t>
  </si>
  <si>
    <t>TJ Lokomotiva Rakovník B (8:2)</t>
  </si>
  <si>
    <t>Nejdelší vítězná série</t>
  </si>
  <si>
    <t>Počet zápasů</t>
  </si>
  <si>
    <t>Období</t>
  </si>
  <si>
    <t>Nejdelší série bez gólu</t>
  </si>
  <si>
    <t>04.11.2012 - 10.11.2012</t>
  </si>
  <si>
    <t>02.03.2013 - 07.04.2013</t>
  </si>
  <si>
    <t>02.11.2013 - 05.01.2014</t>
  </si>
  <si>
    <t>08.02.2014 - 13.04.2014</t>
  </si>
  <si>
    <t>02.11.2014 - 13.12.2014</t>
  </si>
  <si>
    <t>25.10.2015 - 27.02.2016</t>
  </si>
  <si>
    <t>19.03.2016 - 25.09.2017</t>
  </si>
  <si>
    <t>27.11.2016 - 15.01.2017</t>
  </si>
  <si>
    <t>27.10.2019 - 18.01.2020</t>
  </si>
  <si>
    <t>57:17</t>
  </si>
  <si>
    <t>19.09.2021 - 09.10.2021</t>
  </si>
  <si>
    <t>73:33</t>
  </si>
  <si>
    <t>20.11.2021 - 05.12.2021</t>
  </si>
  <si>
    <t>56:43</t>
  </si>
  <si>
    <t>05.12.2021 - 08.01.2022</t>
  </si>
  <si>
    <t>17.11.2014 - 13.12.2014</t>
  </si>
  <si>
    <t>65:29</t>
  </si>
  <si>
    <t>68:28</t>
  </si>
  <si>
    <t>15.03.2014 - 13.04.2014</t>
  </si>
  <si>
    <t>50:33</t>
  </si>
  <si>
    <t>68:22</t>
  </si>
  <si>
    <t>02.03.2013 - 16.03.2013</t>
  </si>
  <si>
    <t>PH+SČ liga mužů (6. liga)</t>
  </si>
  <si>
    <t>PH + SČ přebor mužů (7. liga)</t>
  </si>
  <si>
    <t>PH+SČ soutěž mužů (8. liga)</t>
  </si>
  <si>
    <t>PH + SČ třída mužů (9. liga)</t>
  </si>
  <si>
    <t>53:07</t>
  </si>
  <si>
    <t>09.02.2013 - 17.03.2013</t>
  </si>
  <si>
    <t>63:42</t>
  </si>
  <si>
    <t>20.10.2012 - 10.11.2012</t>
  </si>
  <si>
    <t>41:27</t>
  </si>
  <si>
    <t>41:06</t>
  </si>
  <si>
    <t>03.05.2014 - 21.09.2014</t>
  </si>
  <si>
    <t>11.10.2015 - 05.03.2016</t>
  </si>
  <si>
    <t>48:02</t>
  </si>
  <si>
    <t>11.02.2017 - 25.02.2017</t>
  </si>
  <si>
    <t>17.02.2019 - 03.03.2019</t>
  </si>
  <si>
    <t>28.09.2019 - 19.10.2019</t>
  </si>
  <si>
    <t>30.11.2019 - 26.01.2020</t>
  </si>
  <si>
    <t>50:04</t>
  </si>
  <si>
    <t>67:40</t>
  </si>
  <si>
    <t>30.11.2019 - 11.1.2020</t>
  </si>
  <si>
    <t>44:02</t>
  </si>
  <si>
    <t>11.01.2020 - 26.01.2020</t>
  </si>
  <si>
    <t>11.09.2021 - 27.02.2022</t>
  </si>
  <si>
    <t>11.12.2021 - 09.01.2022</t>
  </si>
  <si>
    <t>0:20</t>
  </si>
  <si>
    <t>2:12</t>
  </si>
  <si>
    <t>FbK Seals Kladno</t>
  </si>
  <si>
    <t>9:0</t>
  </si>
  <si>
    <t>10:1</t>
  </si>
  <si>
    <t>11:0</t>
  </si>
  <si>
    <t>11:2</t>
  </si>
  <si>
    <t>3:9</t>
  </si>
  <si>
    <t>12:2</t>
  </si>
  <si>
    <t>15:3</t>
  </si>
  <si>
    <t>3:13</t>
  </si>
  <si>
    <t>T.B.C. Králův Dvůr B</t>
  </si>
  <si>
    <t>1:7</t>
  </si>
  <si>
    <t>12:3</t>
  </si>
  <si>
    <t>14:1</t>
  </si>
  <si>
    <t>FbC Engineers</t>
  </si>
  <si>
    <t>11:1</t>
  </si>
  <si>
    <t>13:4</t>
  </si>
  <si>
    <t>1. vstřelený gól - Tomáš Pichner, 1.10.2011 proti FbK Seals Kladno (5:9)</t>
  </si>
  <si>
    <t>1. vstřelený gól - Petr Heller, 16.9.2012 proti FBC Falcons Žižkov B (7:4)</t>
  </si>
  <si>
    <t>10. místo - sestup do třídy mužů</t>
  </si>
  <si>
    <t>4. místo - postup do soutěže mužů</t>
  </si>
  <si>
    <t>3. místo - postup do přeboru mužů</t>
  </si>
  <si>
    <t>4. místo</t>
  </si>
  <si>
    <t>1. místo - postup do ligy mužů</t>
  </si>
  <si>
    <t>7. místo</t>
  </si>
  <si>
    <t>11. místo - sestup do přeboru mužů</t>
  </si>
  <si>
    <t>6. místo</t>
  </si>
  <si>
    <t>2. místo - nedohráno (COVID)</t>
  </si>
  <si>
    <t>6. místo - postup do soutěže mužů</t>
  </si>
  <si>
    <t>10. místo</t>
  </si>
  <si>
    <t>5. místo</t>
  </si>
  <si>
    <t>9. místo</t>
  </si>
  <si>
    <t>5. místo - postup do přeboru mužů</t>
  </si>
  <si>
    <t>9:2</t>
  </si>
  <si>
    <t>7:1</t>
  </si>
  <si>
    <t>8:1</t>
  </si>
  <si>
    <t>2:17</t>
  </si>
  <si>
    <t>9:1</t>
  </si>
  <si>
    <t>1:12</t>
  </si>
  <si>
    <t>FbC Panthers D</t>
  </si>
  <si>
    <t>18:2</t>
  </si>
  <si>
    <t>2:13</t>
  </si>
  <si>
    <t>0:16</t>
  </si>
  <si>
    <t>10:4</t>
  </si>
  <si>
    <t>8:2</t>
  </si>
  <si>
    <t>TJ Lokomotiva Rakovník B</t>
  </si>
  <si>
    <t>11:5</t>
  </si>
  <si>
    <t>Výsledek</t>
  </si>
  <si>
    <t>Nejvyšší výhra</t>
  </si>
  <si>
    <t>Nejvyšší prohra</t>
  </si>
  <si>
    <t>Nejrychlejší hattrick (od začátku zápasu)</t>
  </si>
  <si>
    <t>SK Lvi Praha - Banko (6:1)</t>
  </si>
  <si>
    <t>21:39</t>
  </si>
  <si>
    <t>13:40</t>
  </si>
  <si>
    <t>14:23</t>
  </si>
  <si>
    <t>3:01</t>
  </si>
  <si>
    <t>4:52</t>
  </si>
  <si>
    <t>4:14</t>
  </si>
  <si>
    <t>3:39</t>
  </si>
  <si>
    <t>2:02</t>
  </si>
  <si>
    <t>2:50</t>
  </si>
  <si>
    <t>0:49</t>
  </si>
  <si>
    <t>0:38</t>
  </si>
  <si>
    <t>0:34</t>
  </si>
  <si>
    <t>Elite Praha (10:4)</t>
  </si>
  <si>
    <t>4:36</t>
  </si>
  <si>
    <t>Šneci z Pěšin (11:3)</t>
  </si>
  <si>
    <t>15:24</t>
  </si>
  <si>
    <t>3:50</t>
  </si>
  <si>
    <t>0:04</t>
  </si>
  <si>
    <t>SK B.U.H. Praha (9:3)</t>
  </si>
  <si>
    <t>25:31</t>
  </si>
  <si>
    <t>FbK Olymp Praha B (7:9)</t>
  </si>
  <si>
    <t>0:26</t>
  </si>
  <si>
    <t>15:09</t>
  </si>
  <si>
    <t>Poison TJ JUNIOR Praha (7:1)</t>
  </si>
  <si>
    <t>5:18</t>
  </si>
  <si>
    <t>25:24</t>
  </si>
  <si>
    <t>FBC Falcons Žižkov (13:5)</t>
  </si>
  <si>
    <t>19:26</t>
  </si>
  <si>
    <t>20:37</t>
  </si>
  <si>
    <t>9:28</t>
  </si>
  <si>
    <t>14:39</t>
  </si>
  <si>
    <t>16:05</t>
  </si>
  <si>
    <t>4:41</t>
  </si>
  <si>
    <t>0:09</t>
  </si>
  <si>
    <t>IBK Svatý Hole Kladno (8:3)</t>
  </si>
  <si>
    <t>5:06</t>
  </si>
  <si>
    <t>FBC Penguins Praha (11:1)</t>
  </si>
  <si>
    <t>19:35</t>
  </si>
  <si>
    <t>10:36</t>
  </si>
  <si>
    <t>Nejrychlejší 2 góly</t>
  </si>
  <si>
    <t>Nejrychlejší 3 góly</t>
  </si>
  <si>
    <t>Nejrychlejší 4 góly</t>
  </si>
  <si>
    <t>Nejrychlejších 5 gólů</t>
  </si>
  <si>
    <t>Nejrychlejších 6 gólů</t>
  </si>
  <si>
    <t>6:6</t>
  </si>
  <si>
    <t>10:3</t>
  </si>
  <si>
    <t>5:12</t>
  </si>
  <si>
    <t>FbC Barracudas Slaný</t>
  </si>
  <si>
    <t>1:11</t>
  </si>
  <si>
    <t>0:24</t>
  </si>
  <si>
    <t>Sokol Rudná (6:1)</t>
  </si>
  <si>
    <t>18:02</t>
  </si>
  <si>
    <t>6:36</t>
  </si>
  <si>
    <t>Red Dragons Hořovice (5:5)</t>
  </si>
  <si>
    <t>11:33</t>
  </si>
  <si>
    <t>FBC Violets Prague (4:7)</t>
  </si>
  <si>
    <t>3:55</t>
  </si>
  <si>
    <t>20:36</t>
  </si>
  <si>
    <t>16:36</t>
  </si>
  <si>
    <t>23:25</t>
  </si>
  <si>
    <t>33:24</t>
  </si>
  <si>
    <t>0:54</t>
  </si>
  <si>
    <t>4:33</t>
  </si>
  <si>
    <t>15:38</t>
  </si>
  <si>
    <t>22:36</t>
  </si>
  <si>
    <t>22:05</t>
  </si>
  <si>
    <t>3:43</t>
  </si>
  <si>
    <t>0:11</t>
  </si>
  <si>
    <t>Florbal Riders (8:7)</t>
  </si>
  <si>
    <t>5:49</t>
  </si>
  <si>
    <t>17:40</t>
  </si>
  <si>
    <t>0:29</t>
  </si>
  <si>
    <t>6:56</t>
  </si>
  <si>
    <t>0:15</t>
  </si>
  <si>
    <t>FBC Vokurky (3:5)</t>
  </si>
  <si>
    <t>19:36</t>
  </si>
  <si>
    <t>Fbk Buldoci Radotín B (11:5)</t>
  </si>
  <si>
    <t>Nejdelší série výher</t>
  </si>
  <si>
    <t>Nejdelší série proher</t>
  </si>
  <si>
    <t>01.10.2011 -  20.11.2011</t>
  </si>
  <si>
    <t>25.03.2012 - 05.05.2012</t>
  </si>
  <si>
    <t>11.12.2011 - 26.02.2012</t>
  </si>
  <si>
    <t>19.03.2016 - 25.09.2016</t>
  </si>
  <si>
    <t>08.10.2016 - 22.10.2016</t>
  </si>
  <si>
    <t>25.03.2018 - 14.04.2018</t>
  </si>
  <si>
    <t>06.05.2018 - 06.10.2018</t>
  </si>
  <si>
    <t>15.12.2018 - 13.01.2019</t>
  </si>
  <si>
    <t>05.01.2014 - 01.02.2014</t>
  </si>
  <si>
    <t>22.02.2015 - 08.03.2015</t>
  </si>
  <si>
    <t>05.03.2016 - 02.04.2016</t>
  </si>
  <si>
    <t>27.11.2016 - 18.12.2016</t>
  </si>
  <si>
    <t>08.10.2017 - 10.12.2017</t>
  </si>
  <si>
    <t>04.03.2018 - 29.04.2018</t>
  </si>
  <si>
    <t>14.10.2018 - 27.10.2018</t>
  </si>
  <si>
    <t>10.11.2018 - 02.02.2019</t>
  </si>
  <si>
    <t>23.03.2019 - 27.04.2019</t>
  </si>
  <si>
    <t>11.09.2021 - 21.11.2021</t>
  </si>
  <si>
    <t>27.02.2022 - 20.03.2022</t>
  </si>
  <si>
    <t>6. místo - nedohráno (COVID)</t>
  </si>
  <si>
    <t>3. místo - nedohráno (COVID) - postup do soutěže mužů</t>
  </si>
  <si>
    <t>FBC BLUE HORSES A</t>
  </si>
  <si>
    <t>FBC BLUE HORSES B</t>
  </si>
  <si>
    <t>FBC BLUE HORSES C</t>
  </si>
  <si>
    <t>Nejvíce vstřelených gólů v zápase</t>
  </si>
  <si>
    <t>Nejvíce obdržených gólů v zápase</t>
  </si>
  <si>
    <t>FT Sokol Břevnov B (0:20)</t>
  </si>
  <si>
    <t>FK Spartak Praha B (5:13)</t>
  </si>
  <si>
    <t>FBK Seals Kladno (2:12)</t>
  </si>
  <si>
    <t>IBK Kuřata Kladno (4:11)</t>
  </si>
  <si>
    <t>IBK Kuřata Kladno (6:11)</t>
  </si>
  <si>
    <t>T.B.C. Králův Dvůr B (3:13)</t>
  </si>
  <si>
    <t>FBC VŠTJ Ekonom Praha (2:12)</t>
  </si>
  <si>
    <t>IBK Tajula (12:2)</t>
  </si>
  <si>
    <t>IBK Tajula (12:3)</t>
  </si>
  <si>
    <t>FbC Engineers (14:1)</t>
  </si>
  <si>
    <t>IBK Kuřata Kladno (5:14)</t>
  </si>
  <si>
    <t>IBK Kuřata Kladno (2:17)</t>
  </si>
  <si>
    <t>FBC Kladno D (2:12)</t>
  </si>
  <si>
    <t>FbC Panthers D (1:12)</t>
  </si>
  <si>
    <t>IBK Svatý Hole Kladno B (9:1)</t>
  </si>
  <si>
    <t>FBC Penguins Praha (2:12)</t>
  </si>
  <si>
    <t>AIK Steel Kladno (2:13)</t>
  </si>
  <si>
    <t>AIK Steel Kladno (0:16)</t>
  </si>
  <si>
    <t>FLORBAL RIDERS (9:4)</t>
  </si>
  <si>
    <t>AIK Steel Kladno B (2:12)</t>
  </si>
  <si>
    <t>0:07</t>
  </si>
  <si>
    <t>FBC Ressler Boys (10:2)</t>
  </si>
  <si>
    <t>0:05</t>
  </si>
  <si>
    <t>1200. vstřelený gól - Stanislav Prokop, 17.9.2022 proti FBC Red Dragons Hořovice (7:5)</t>
  </si>
  <si>
    <t>19.09.2021 - 17.09.2022</t>
  </si>
  <si>
    <t>20.09.2020 - 17.09.2022</t>
  </si>
  <si>
    <t>Jan Žák</t>
  </si>
  <si>
    <t>1. vstřelený gól - Zdeněk Husák, 18.9.2022 proti FbŠ Bohemians D (4:13)</t>
  </si>
  <si>
    <t>FBC Hornets Praha B (13:2)</t>
  </si>
  <si>
    <t>FbŠ Bohemians D (4:13)</t>
  </si>
  <si>
    <t>17:16</t>
  </si>
  <si>
    <t>30:20</t>
  </si>
  <si>
    <t>18.09.2022 - ?????</t>
  </si>
  <si>
    <t>2:10</t>
  </si>
  <si>
    <t>20:39</t>
  </si>
  <si>
    <t>8:41</t>
  </si>
  <si>
    <t>14:25</t>
  </si>
  <si>
    <t>18:29</t>
  </si>
  <si>
    <t>16:35</t>
  </si>
  <si>
    <t>13:2</t>
  </si>
  <si>
    <t>4:13</t>
  </si>
  <si>
    <t>Prague Tigers B (12:3)</t>
  </si>
  <si>
    <t>700. vstřelený gól - Jiří Polívka, 17.9.2022 proti FBK Vosy Praha DDM P2 B (4:2)</t>
  </si>
  <si>
    <t>FBC Barracudas Slaný B (13:3)</t>
  </si>
  <si>
    <t>0:17</t>
  </si>
  <si>
    <t>FBC Rakovník (9:8n)</t>
  </si>
  <si>
    <t>32:43</t>
  </si>
  <si>
    <t>13:3</t>
  </si>
  <si>
    <t>5:4n, 4:6</t>
  </si>
  <si>
    <t>FBC Rakovník B (8:4)</t>
  </si>
  <si>
    <t>25:35</t>
  </si>
  <si>
    <t>1:18</t>
  </si>
  <si>
    <t>16.10.2022 - ?????</t>
  </si>
  <si>
    <t>14:12</t>
  </si>
  <si>
    <t>28:14</t>
  </si>
  <si>
    <t>8:4</t>
  </si>
  <si>
    <t>1:9</t>
  </si>
  <si>
    <t>Florbal Kladno B U23 (1:9)</t>
  </si>
  <si>
    <t>1.10.</t>
  </si>
  <si>
    <t>29.10.</t>
  </si>
  <si>
    <t>20.11.</t>
  </si>
  <si>
    <t>11.12.</t>
  </si>
  <si>
    <t>7.1.</t>
  </si>
  <si>
    <t>28.1.</t>
  </si>
  <si>
    <t>26.2.</t>
  </si>
  <si>
    <t>25.3.</t>
  </si>
  <si>
    <t>22.4.</t>
  </si>
  <si>
    <t>5.5.</t>
  </si>
  <si>
    <t>22.9.</t>
  </si>
  <si>
    <t>6.10.</t>
  </si>
  <si>
    <t>4.11.</t>
  </si>
  <si>
    <t>10.11.</t>
  </si>
  <si>
    <t>16.12.</t>
  </si>
  <si>
    <t>5.1.</t>
  </si>
  <si>
    <t>10.2.</t>
  </si>
  <si>
    <t>2.3.</t>
  </si>
  <si>
    <t>16.3.</t>
  </si>
  <si>
    <t>7.4.</t>
  </si>
  <si>
    <t>28.4.</t>
  </si>
  <si>
    <t>28.9.</t>
  </si>
  <si>
    <t>13.10.</t>
  </si>
  <si>
    <t>2.11.</t>
  </si>
  <si>
    <t>1.12.</t>
  </si>
  <si>
    <t>19.1.</t>
  </si>
  <si>
    <t>8.2.</t>
  </si>
  <si>
    <t>23.2.</t>
  </si>
  <si>
    <t>15.3.</t>
  </si>
  <si>
    <t>13.4.</t>
  </si>
  <si>
    <t>18.10.</t>
  </si>
  <si>
    <t>17.11.</t>
  </si>
  <si>
    <t>13.12.</t>
  </si>
  <si>
    <t>10.1.</t>
  </si>
  <si>
    <t>14.3.</t>
  </si>
  <si>
    <t>12.4.</t>
  </si>
  <si>
    <t>2.5.</t>
  </si>
  <si>
    <t>20.9.</t>
  </si>
  <si>
    <t>11.10.</t>
  </si>
  <si>
    <t>25.10.</t>
  </si>
  <si>
    <t>6.12.</t>
  </si>
  <si>
    <t>16.1.</t>
  </si>
  <si>
    <t>6.2.</t>
  </si>
  <si>
    <t>27.2.</t>
  </si>
  <si>
    <t>19.3.</t>
  </si>
  <si>
    <t>9.4.</t>
  </si>
  <si>
    <t>30.4.</t>
  </si>
  <si>
    <t>25.9.</t>
  </si>
  <si>
    <t>8.10.</t>
  </si>
  <si>
    <t>22.10.</t>
  </si>
  <si>
    <t>5.11.</t>
  </si>
  <si>
    <t>27.11.</t>
  </si>
  <si>
    <t>10.12.</t>
  </si>
  <si>
    <t>15.1.</t>
  </si>
  <si>
    <t>29.1.</t>
  </si>
  <si>
    <t>12.2.</t>
  </si>
  <si>
    <t>2.4.</t>
  </si>
  <si>
    <t>29.4.</t>
  </si>
  <si>
    <t>23.9.</t>
  </si>
  <si>
    <t>28.10.</t>
  </si>
  <si>
    <t>19.11.</t>
  </si>
  <si>
    <t>3.12.</t>
  </si>
  <si>
    <t>21.1.</t>
  </si>
  <si>
    <t>25.2.</t>
  </si>
  <si>
    <t>11.3.</t>
  </si>
  <si>
    <t>14.4.</t>
  </si>
  <si>
    <t>6.5.</t>
  </si>
  <si>
    <t>16.9.</t>
  </si>
  <si>
    <t>21.10.</t>
  </si>
  <si>
    <t>15.12.</t>
  </si>
  <si>
    <t>13.1.</t>
  </si>
  <si>
    <t>17.3.</t>
  </si>
  <si>
    <t>6.4.</t>
  </si>
  <si>
    <t>27.10.</t>
  </si>
  <si>
    <t>16.11.</t>
  </si>
  <si>
    <t>7.12.</t>
  </si>
  <si>
    <t>18.1.</t>
  </si>
  <si>
    <t>9.2.</t>
  </si>
  <si>
    <t>10.10.</t>
  </si>
  <si>
    <t>19.9.</t>
  </si>
  <si>
    <t>9.10.</t>
  </si>
  <si>
    <t>5.12.</t>
  </si>
  <si>
    <t>8.1.</t>
  </si>
  <si>
    <t>5.2.</t>
  </si>
  <si>
    <t>24.3.</t>
  </si>
  <si>
    <t>10.4.</t>
  </si>
  <si>
    <t>17.9.</t>
  </si>
  <si>
    <t>X</t>
  </si>
  <si>
    <t>18.9.</t>
  </si>
  <si>
    <t>16.10.</t>
  </si>
  <si>
    <t>6.11.</t>
  </si>
  <si>
    <t>22.1.</t>
  </si>
  <si>
    <t>11.2.</t>
  </si>
  <si>
    <t>4.3.</t>
  </si>
  <si>
    <t>18.2.</t>
  </si>
  <si>
    <t>5.3.</t>
  </si>
  <si>
    <t>20.10.</t>
  </si>
  <si>
    <t>6.1.</t>
  </si>
  <si>
    <t>27.1.</t>
  </si>
  <si>
    <t>0:56</t>
  </si>
  <si>
    <t>3:46</t>
  </si>
  <si>
    <t>0:47</t>
  </si>
  <si>
    <t>1:34</t>
  </si>
  <si>
    <t>0:45</t>
  </si>
  <si>
    <t>ELITE PRAHA (10:4)</t>
  </si>
  <si>
    <t>0:51</t>
  </si>
  <si>
    <t>1:37</t>
  </si>
  <si>
    <t>3:56</t>
  </si>
  <si>
    <t>3:04</t>
  </si>
  <si>
    <t>1:00</t>
  </si>
  <si>
    <t>1:41</t>
  </si>
  <si>
    <t>6:0</t>
  </si>
  <si>
    <t>5</t>
  </si>
  <si>
    <t>0:28</t>
  </si>
  <si>
    <t>3:42</t>
  </si>
  <si>
    <t>1:31</t>
  </si>
  <si>
    <t>3:33</t>
  </si>
  <si>
    <t>3:27</t>
  </si>
  <si>
    <t>0:39</t>
  </si>
  <si>
    <t>FBK VŠSK PaedF UK Praha (5:0)</t>
  </si>
  <si>
    <t>2:19</t>
  </si>
  <si>
    <t>2:04</t>
  </si>
  <si>
    <t>2:46</t>
  </si>
  <si>
    <t>Nejdelší gólová série</t>
  </si>
  <si>
    <t>Nejdelší bodová série</t>
  </si>
  <si>
    <t>Nejvíce zápasů bez pauzy</t>
  </si>
  <si>
    <t>13.10.2013 - 18.10.2014</t>
  </si>
  <si>
    <t>22.10.2016 - 12.02.2017</t>
  </si>
  <si>
    <t>11.10.2015 - 27.02.2016</t>
  </si>
  <si>
    <t>19.11.2017 - 25.03.2018</t>
  </si>
  <si>
    <t>24.03.2022 - 22.10.2022</t>
  </si>
  <si>
    <t>20.09.2015 - 08.10.2016</t>
  </si>
  <si>
    <t>22.10.2016 - 14.04.2018</t>
  </si>
  <si>
    <t>27.02.2016 - 15.12.2018</t>
  </si>
  <si>
    <t>11.10.2015 - 30.04.2016</t>
  </si>
  <si>
    <t>06.10.2018 - 20.09.2020</t>
  </si>
  <si>
    <t>01.10.2011 - 01.12.2013</t>
  </si>
  <si>
    <t>15.03.2014 - 12.04.2015</t>
  </si>
  <si>
    <t>19.03.2016 - 05.11.2016</t>
  </si>
  <si>
    <t>27.11.2016 - 25.02.2018</t>
  </si>
  <si>
    <t>15.03.2014 - 11.10.2015</t>
  </si>
  <si>
    <t>27.11.2016 - 19.03.2022</t>
  </si>
  <si>
    <t>10.02.2013 - 12.04.2015</t>
  </si>
  <si>
    <t>16.09.2018 - 19.09.2021</t>
  </si>
  <si>
    <t>06.10.2018 - 19.03.2022</t>
  </si>
  <si>
    <t>Série</t>
  </si>
  <si>
    <t>-</t>
  </si>
  <si>
    <t>01.10.2011 - 02.05.2015</t>
  </si>
  <si>
    <t>01.10.2011 - 18.10.2014</t>
  </si>
  <si>
    <t>28.09.2019 - 18.01.2020</t>
  </si>
  <si>
    <t>16.12.2012 - 19.03.2016</t>
  </si>
  <si>
    <t>05.05.2012 - 28.09.2014</t>
  </si>
  <si>
    <t>22.09.2012 - 28.04.2013</t>
  </si>
  <si>
    <t>1:56</t>
  </si>
  <si>
    <t>3:16</t>
  </si>
  <si>
    <t>9:43</t>
  </si>
  <si>
    <t>8:13</t>
  </si>
  <si>
    <t>4:39</t>
  </si>
  <si>
    <t>3:41</t>
  </si>
  <si>
    <t>3:21</t>
  </si>
  <si>
    <t>6:00</t>
  </si>
  <si>
    <t>FBC Rakovník (8:4)</t>
  </si>
  <si>
    <t>9:57</t>
  </si>
  <si>
    <t>FBC Falcons Žižkov B (8:1)</t>
  </si>
  <si>
    <t>1.2.</t>
  </si>
  <si>
    <t>15.2.</t>
  </si>
  <si>
    <t>3.5.</t>
  </si>
  <si>
    <t>SK Lvi Praha - Banko (6:4)</t>
  </si>
  <si>
    <t>Athletics Praha D (5:2)</t>
  </si>
  <si>
    <t>21.9.</t>
  </si>
  <si>
    <t>12.10.</t>
  </si>
  <si>
    <t>20.12.</t>
  </si>
  <si>
    <t>11.1.</t>
  </si>
  <si>
    <t>7.2.</t>
  </si>
  <si>
    <t>22.2.</t>
  </si>
  <si>
    <t>8.3.</t>
  </si>
  <si>
    <t>29.3.</t>
  </si>
  <si>
    <t>26.4.</t>
  </si>
  <si>
    <t>1.11.</t>
  </si>
  <si>
    <t>22.11.</t>
  </si>
  <si>
    <t>9.1.</t>
  </si>
  <si>
    <t>30.1.</t>
  </si>
  <si>
    <t>4:50</t>
  </si>
  <si>
    <t>15.10.</t>
  </si>
  <si>
    <t>18.12.</t>
  </si>
  <si>
    <t>14.1.</t>
  </si>
  <si>
    <t>18.11.</t>
  </si>
  <si>
    <t>FBC Dynamis VST B (3:6)</t>
  </si>
  <si>
    <t>15.9.</t>
  </si>
  <si>
    <t>29.9.</t>
  </si>
  <si>
    <t>14.10.</t>
  </si>
  <si>
    <t>12.1.</t>
  </si>
  <si>
    <t>2.2.</t>
  </si>
  <si>
    <t>17.2.</t>
  </si>
  <si>
    <t>3.3.</t>
  </si>
  <si>
    <t>23.3.</t>
  </si>
  <si>
    <t>27.4.</t>
  </si>
  <si>
    <t>19.10.</t>
  </si>
  <si>
    <t>3.11.</t>
  </si>
  <si>
    <t>30.11.</t>
  </si>
  <si>
    <t>26.1.</t>
  </si>
  <si>
    <t>12.9.</t>
  </si>
  <si>
    <t>26.9.</t>
  </si>
  <si>
    <t>FBC TJ Lokomotiva Zdice (8:4)</t>
  </si>
  <si>
    <t>11.9.</t>
  </si>
  <si>
    <t>7.11.</t>
  </si>
  <si>
    <t>21.11.</t>
  </si>
  <si>
    <t>20.3.</t>
  </si>
  <si>
    <t>FbK Buldoci Radotín B (11:5)</t>
  </si>
  <si>
    <t>2:27</t>
  </si>
  <si>
    <t>3:00</t>
  </si>
  <si>
    <t>4:43</t>
  </si>
  <si>
    <t>FbC Barracudas Slaný B (8:1)</t>
  </si>
  <si>
    <t>FbC Barracudas Slaný B (13:3)</t>
  </si>
  <si>
    <t>2:47</t>
  </si>
  <si>
    <t>2:36</t>
  </si>
  <si>
    <t>4:48</t>
  </si>
  <si>
    <t>4.12.</t>
  </si>
  <si>
    <t>19.2.</t>
  </si>
  <si>
    <t>1.4.</t>
  </si>
  <si>
    <t>17 ?</t>
  </si>
  <si>
    <t>FBC Žraloci Příbram B (9:6)</t>
  </si>
  <si>
    <t>28:45</t>
  </si>
  <si>
    <t>18.09.2022 - 06.11.2022</t>
  </si>
  <si>
    <t>33:13</t>
  </si>
  <si>
    <t>16.10.2022 - 06.11.2022</t>
  </si>
  <si>
    <t>08.10.2017 - 10.11.2018</t>
  </si>
  <si>
    <t>16.09.2012 - 19.01.2014</t>
  </si>
  <si>
    <t xml:space="preserve">Tomáš Dlouhý </t>
  </si>
  <si>
    <t>05.03.2016 - 29.09.2018</t>
  </si>
  <si>
    <t>17.09.2017 - 17.09.2022</t>
  </si>
  <si>
    <t>01.11.2015 - 11.02.2017</t>
  </si>
  <si>
    <t>20.10.2012 - 15.02.2014</t>
  </si>
  <si>
    <t>02.02.2019 - 26.09.2020</t>
  </si>
  <si>
    <t>15.10.2016 - ?????</t>
  </si>
  <si>
    <t>09.01.2016 - 09.04.2017</t>
  </si>
  <si>
    <t>13.12.2015 - 05.03.2016</t>
  </si>
  <si>
    <t>17.11.2019 - 22.02.2020</t>
  </si>
  <si>
    <t>09.01.2022 - 17.09.2022</t>
  </si>
  <si>
    <t>09.01.2016 - 05.03.2016</t>
  </si>
  <si>
    <t>20.12.2014 - 22.02.2015</t>
  </si>
  <si>
    <t>20.12.2014 - 22.11.2015</t>
  </si>
  <si>
    <t>30.11.2019 - 11.09.2021</t>
  </si>
  <si>
    <t>06.04.2014 - 02.11.2014</t>
  </si>
  <si>
    <t>01.10.2015 - 02.04.2016</t>
  </si>
  <si>
    <t>17.11.2019 - ?????</t>
  </si>
  <si>
    <t>8 ?</t>
  </si>
  <si>
    <t>22.11.2015 - ?????</t>
  </si>
  <si>
    <t>27.04.2019 - 11.09.2021</t>
  </si>
  <si>
    <t>17.03.2013 - ?????</t>
  </si>
  <si>
    <t>27.10.2013 - 21.09.2014</t>
  </si>
  <si>
    <t>IBK Svatý Hole Kladno (9:1)</t>
  </si>
  <si>
    <t>1:17</t>
  </si>
  <si>
    <t>17.09.2022 - 29.10.2022</t>
  </si>
  <si>
    <t>79:57</t>
  </si>
  <si>
    <t>09.10.2022 - 20.11.2022</t>
  </si>
  <si>
    <t>AIK Steel Kladno B (4:5n)</t>
  </si>
  <si>
    <t>09.10.2022 - 11.12.2022</t>
  </si>
  <si>
    <t>4:2, 5:3</t>
  </si>
  <si>
    <t>FLORBAL RIDERS (5:7)</t>
  </si>
  <si>
    <t>29:06</t>
  </si>
  <si>
    <t>16.10.2022 - 10.12.2022</t>
  </si>
  <si>
    <t>30:21</t>
  </si>
  <si>
    <t>11:59</t>
  </si>
  <si>
    <t>5:1</t>
  </si>
  <si>
    <t>06.11.2022 - 19.11.2022</t>
  </si>
  <si>
    <t>1:6, 5:7</t>
  </si>
  <si>
    <t>0:03</t>
  </si>
  <si>
    <t>FBK VŠSK PaedF UK Praha (6:1)</t>
  </si>
  <si>
    <t>SK B.U.H. Praha (7:5)</t>
  </si>
  <si>
    <t>0:58</t>
  </si>
  <si>
    <t>20:40</t>
  </si>
  <si>
    <t>20:52</t>
  </si>
  <si>
    <t>FBC Slavia Praha B (13:6)</t>
  </si>
  <si>
    <t>12.3.</t>
  </si>
  <si>
    <t>20.11.2022 - 04.12.2022</t>
  </si>
  <si>
    <t>FBC Slavia Praha (13:6)</t>
  </si>
  <si>
    <t>3:1, 13:6</t>
  </si>
  <si>
    <t>4:1, 4:6</t>
  </si>
  <si>
    <t>Florbal Kladno B U23 (6:7)</t>
  </si>
  <si>
    <t xml:space="preserve">Václav Müller </t>
  </si>
  <si>
    <t>F.C. Vorms Praha (12:3)</t>
  </si>
  <si>
    <t>26:16</t>
  </si>
  <si>
    <t>0:31</t>
  </si>
  <si>
    <t>31:28</t>
  </si>
  <si>
    <t>3:03</t>
  </si>
  <si>
    <t>8:00</t>
  </si>
  <si>
    <t>22.01.2023 - ?????</t>
  </si>
  <si>
    <t>06.11.2022 - 08.01.2023</t>
  </si>
  <si>
    <t>18.09.2022 - 10.12.2022</t>
  </si>
  <si>
    <t>10.12.2022 - 22.01.2023</t>
  </si>
  <si>
    <t>AIK Steel Kladno C (3:9)</t>
  </si>
  <si>
    <t>1:17, 3:9</t>
  </si>
  <si>
    <t>4:13, 4:13</t>
  </si>
  <si>
    <t>3:58</t>
  </si>
  <si>
    <t>9:13</t>
  </si>
  <si>
    <t>6:59</t>
  </si>
  <si>
    <t>7:33</t>
  </si>
  <si>
    <t>1300. vstřelený gól - Petr Krištof, 12.3.2023 proti IBK Kubánský Klan (12:10)</t>
  </si>
  <si>
    <t>57:21</t>
  </si>
  <si>
    <t>19.03.2022 - 19.02.2023</t>
  </si>
  <si>
    <t>08.01.2022 - 04.12.2022</t>
  </si>
  <si>
    <t>05.03.2023 - 12.03.2023</t>
  </si>
  <si>
    <t>IBK Kubánský Klan (12:10)</t>
  </si>
  <si>
    <t>Prague Tigers B (6:9)</t>
  </si>
  <si>
    <t>12:10</t>
  </si>
  <si>
    <t>3:8, 4:3n</t>
  </si>
  <si>
    <t>12:3, 6:9</t>
  </si>
  <si>
    <t>FBC Rakovník (12:5)</t>
  </si>
  <si>
    <t>18:44</t>
  </si>
  <si>
    <t>0:23</t>
  </si>
  <si>
    <t>07.01.2023 - 18.02.2023</t>
  </si>
  <si>
    <t>11.09.2021 - 18.02.2023</t>
  </si>
  <si>
    <t>09.01.2022 - 05.03.2023</t>
  </si>
  <si>
    <t>11.12.2021 - 05.03.2023</t>
  </si>
  <si>
    <t>24 ?</t>
  </si>
  <si>
    <t>12:5</t>
  </si>
  <si>
    <t>2:55</t>
  </si>
  <si>
    <t>4:22</t>
  </si>
  <si>
    <t>7:5, 3:4</t>
  </si>
  <si>
    <t>TBC Horoměřice B (8:4)</t>
  </si>
  <si>
    <t>TBC Horoměřice (8:4)</t>
  </si>
  <si>
    <t>FBC Žraloci Příbram B (9:2)</t>
  </si>
  <si>
    <t>1:51</t>
  </si>
  <si>
    <t>2:39</t>
  </si>
  <si>
    <t>1:13</t>
  </si>
  <si>
    <t>3:52</t>
  </si>
  <si>
    <t>6 ?</t>
  </si>
  <si>
    <t>22.01.2023 - 11.02.2023</t>
  </si>
  <si>
    <t>FbC Red Dragons Hořovice B (6:8)</t>
  </si>
  <si>
    <t>AIK Steel Kladno C (1:17)</t>
  </si>
  <si>
    <t>1:7, 8:4</t>
  </si>
  <si>
    <t>9:6, 9:2</t>
  </si>
  <si>
    <t>13:2, 1:6</t>
  </si>
  <si>
    <t>5:1, 6:8</t>
  </si>
  <si>
    <t>100. vstřelený gól - Daniel Bradáč, 2.4.2023 proti F.C. Vorms Praha (9:2)</t>
  </si>
  <si>
    <t>F.C. Vorms Praha (9:2)</t>
  </si>
  <si>
    <t>FBC Rakovník B (6:3)</t>
  </si>
  <si>
    <t>1:54</t>
  </si>
  <si>
    <t>20:11</t>
  </si>
  <si>
    <t>5 ?</t>
  </si>
  <si>
    <t>34:23</t>
  </si>
  <si>
    <t>11.02.2023 - 02.04.2023</t>
  </si>
  <si>
    <t>1:50</t>
  </si>
  <si>
    <t>12:06</t>
  </si>
  <si>
    <t>5:23</t>
  </si>
  <si>
    <t>13:56</t>
  </si>
  <si>
    <t>8:46</t>
  </si>
  <si>
    <t>17:29</t>
  </si>
  <si>
    <t>28:34</t>
  </si>
  <si>
    <t>04.03.2023 - 02.04.2023</t>
  </si>
  <si>
    <t>5:59</t>
  </si>
  <si>
    <t>12:3, 9:2</t>
  </si>
  <si>
    <t>22.12.</t>
  </si>
  <si>
    <t>Kralupy Wolves B (15:4)</t>
  </si>
  <si>
    <t>IBK Kubánský Klan (11:8)</t>
  </si>
  <si>
    <t>Florbal Neratovice (2:11)</t>
  </si>
  <si>
    <t>3:6, 2:11</t>
  </si>
  <si>
    <t>15:4</t>
  </si>
  <si>
    <t>Pozn. Zápas proti Kralupy Wolves (15:4) - oficiálně zrušeno</t>
  </si>
  <si>
    <t>800. vstřelený gól - Tomáš Dlouhý, 22.04.2023 proti AIK Steel Kladno B (6:5)</t>
  </si>
  <si>
    <t>17:54</t>
  </si>
  <si>
    <t>AIK Steel Kladno B (6:5)</t>
  </si>
  <si>
    <t>57 ?</t>
  </si>
  <si>
    <t>2:6, 2:12, 4:5n, 6:5</t>
  </si>
  <si>
    <t>16</t>
  </si>
  <si>
    <t>32</t>
  </si>
  <si>
    <t>6:4, 3:11, 2:9, 1:3, 1:4, 3:1</t>
  </si>
  <si>
    <t>Las Plantas (12:11n)</t>
  </si>
  <si>
    <t>7:8, 7:2, 6:3, 6:4</t>
  </si>
  <si>
    <t>8:6, 9:9, 4:10, 5:7, 2:3, 12:11n</t>
  </si>
  <si>
    <t>2023/2024</t>
  </si>
  <si>
    <t>2. místo</t>
  </si>
  <si>
    <t>10.9.</t>
  </si>
  <si>
    <t>24.2.</t>
  </si>
  <si>
    <t>9.3.</t>
  </si>
  <si>
    <t>20.4.</t>
  </si>
  <si>
    <t>7.10.</t>
  </si>
  <si>
    <t>26.11.</t>
  </si>
  <si>
    <t>4.2.</t>
  </si>
  <si>
    <t>Florbal Kladno B</t>
  </si>
  <si>
    <t>Prague Tigers D</t>
  </si>
  <si>
    <t>FBC Uhříněves</t>
  </si>
  <si>
    <t>Las Plantas Original B</t>
  </si>
  <si>
    <t>FBC Berani Kladno</t>
  </si>
  <si>
    <t>FBK Včely DDM Praha 2</t>
  </si>
  <si>
    <t>TEXAS LONGHORNS</t>
  </si>
  <si>
    <t>BLACK ANGLES C DASTA</t>
  </si>
  <si>
    <t>FBC Draci Říčany TT B</t>
  </si>
  <si>
    <t>FBC Žraloci Příbram</t>
  </si>
  <si>
    <t>Florbal Team Sokol Nebušice</t>
  </si>
  <si>
    <t>Orka Čelákovice B</t>
  </si>
  <si>
    <t>Orka Čelákovice B (11:4)</t>
  </si>
  <si>
    <t>24.9.</t>
  </si>
  <si>
    <t>25.03.2023 - 22.04.2023</t>
  </si>
  <si>
    <t>Ondřej Husák</t>
  </si>
  <si>
    <t>25.03.2023 - 16.09.2023</t>
  </si>
  <si>
    <t>14.10.2018 - ?????</t>
  </si>
  <si>
    <t>Jan Egri</t>
  </si>
  <si>
    <t>Petr Zelenka</t>
  </si>
  <si>
    <t>FBC Uhříněves (5:3)</t>
  </si>
  <si>
    <t>16.10.2022 - 17.09.2023</t>
  </si>
  <si>
    <t>04.03.2023 - 17.09.2023</t>
  </si>
  <si>
    <t>02.04.2023 - 17.09.2023</t>
  </si>
  <si>
    <t>Las Plantas Original B (4:6)</t>
  </si>
  <si>
    <t>Adam Pártl</t>
  </si>
  <si>
    <t>64:13</t>
  </si>
  <si>
    <t>01.10.2023 - 14.10.2023</t>
  </si>
  <si>
    <t>Vojtěch Kejmar</t>
  </si>
  <si>
    <t>Martin Pačes</t>
  </si>
  <si>
    <t>Petr Brožek</t>
  </si>
  <si>
    <t>5. místo - přesun do soutěže mužů</t>
  </si>
  <si>
    <t>27:14</t>
  </si>
  <si>
    <t>FKMP Praha B (5:2)</t>
  </si>
  <si>
    <t>07.10.2023 - 29.10.2023</t>
  </si>
  <si>
    <t>17.09.2023 - 29.10.2023</t>
  </si>
  <si>
    <t>17.09.2023 - 07.10.2023</t>
  </si>
  <si>
    <t>18.09.2022 - 17.09.2023</t>
  </si>
  <si>
    <t>16.10.2022 - 04.03.2023</t>
  </si>
  <si>
    <t>Florbal Kladno B (0:11)</t>
  </si>
  <si>
    <t>FBK VŠSK PaedF UK Praha (5:4n)</t>
  </si>
  <si>
    <t>Pozn. Zápas proti Orka Čelákovice B špatně zapsán, výsledek 11:4 (místo 10:4)</t>
  </si>
  <si>
    <t>01.04.2023 - 18.11.2023</t>
  </si>
  <si>
    <t>10.09.2023 - 18.11.2023</t>
  </si>
  <si>
    <t>Prague Tigers D (6:11)</t>
  </si>
  <si>
    <t>28:32</t>
  </si>
  <si>
    <t>Prague Tigers (6:11)</t>
  </si>
  <si>
    <t>4 ?</t>
  </si>
  <si>
    <t>08.01.2023 - ?????</t>
  </si>
  <si>
    <t>07.01.2023 - 26.11.2023</t>
  </si>
  <si>
    <t>1400. vstřelený gól - Tomáš Husarik, 10.12.2023 proti FBK Fat Pipe Vosy Praha (10:3)</t>
  </si>
  <si>
    <t>30.04.2023 - 10.12.2023</t>
  </si>
  <si>
    <t>FBK Fat Pipe Vosy Praha (10:3)</t>
  </si>
  <si>
    <t>10.12.2023</t>
  </si>
  <si>
    <t>12:10, 11:8, 6:4, 5:3</t>
  </si>
  <si>
    <t>1:14</t>
  </si>
  <si>
    <t>Torza Sorry ASI (1:14)</t>
  </si>
  <si>
    <t>0:08</t>
  </si>
  <si>
    <t>4:10, 1:14</t>
  </si>
  <si>
    <t>26.11.2023 - 16.12.2023</t>
  </si>
  <si>
    <t>06.11.2022 - 26.11.2023</t>
  </si>
  <si>
    <t>3:10</t>
  </si>
  <si>
    <t>16.12.2023</t>
  </si>
  <si>
    <t>IBK Kubánský Klan B (3:10)</t>
  </si>
  <si>
    <t>FKÚ Ovocné Báze (10:4)</t>
  </si>
  <si>
    <t>12.03.2023 - ?????</t>
  </si>
  <si>
    <t>12:1</t>
  </si>
  <si>
    <t>06.01.2024</t>
  </si>
  <si>
    <t>FbC Engineers (12:1)</t>
  </si>
  <si>
    <t>0:33</t>
  </si>
  <si>
    <t>3:34</t>
  </si>
  <si>
    <t>7:13</t>
  </si>
  <si>
    <t>8:32</t>
  </si>
  <si>
    <t>07.01.2024</t>
  </si>
  <si>
    <t>FBC Slavia Praha B (10:6)</t>
  </si>
  <si>
    <t>FBC Berani Kladno (10:5)</t>
  </si>
  <si>
    <t>0:48</t>
  </si>
  <si>
    <t>0:30</t>
  </si>
  <si>
    <t>FBC Slavia Praha B (11:6)</t>
  </si>
  <si>
    <t>4:19</t>
  </si>
  <si>
    <t>4:45</t>
  </si>
  <si>
    <t>2:48</t>
  </si>
  <si>
    <t>2:18</t>
  </si>
  <si>
    <t>3:3, 4:4, 7:6, 11:6</t>
  </si>
  <si>
    <t>Pozn. Zápas proti FBC Slavia Praha B špatně zapsán, výsledek 11:6 (místo 10:6)</t>
  </si>
  <si>
    <t>10.12.2023 - 27.01.2024</t>
  </si>
  <si>
    <t>27.01.2024</t>
  </si>
  <si>
    <t>4:3, 3:5, 3:5, 7:8, 6:3, 5:2</t>
  </si>
  <si>
    <t>4:5, 5:6n</t>
  </si>
  <si>
    <t>5:8, 4:1</t>
  </si>
  <si>
    <t>2:6, 7:1, 8:6, 10:8, 6:5, 5:4, 1:4, 3:8, 6:5, 2:4</t>
  </si>
  <si>
    <t>3:6, 0:7</t>
  </si>
  <si>
    <t>Las Plantas Original B (7:1)</t>
  </si>
  <si>
    <t>0:41</t>
  </si>
  <si>
    <t>13.01.2024</t>
  </si>
  <si>
    <t>FBC Uhříněves (7:4)</t>
  </si>
  <si>
    <t>35:30</t>
  </si>
  <si>
    <t>04.02.2024</t>
  </si>
  <si>
    <t>2 ?</t>
  </si>
  <si>
    <t>13.01.2024 - ?????</t>
  </si>
  <si>
    <t>17.09.2023</t>
  </si>
  <si>
    <t>26.11.2023 - 13.01.2024</t>
  </si>
  <si>
    <t>10.12.2022 - 13.01.2024</t>
  </si>
  <si>
    <t>07.10.2023 - ?????</t>
  </si>
  <si>
    <t>04.02.2024 - ?????</t>
  </si>
  <si>
    <t>16.12.2023 - 04.02.2024</t>
  </si>
  <si>
    <t>17.09.2023 - 13.01.2024</t>
  </si>
  <si>
    <t>17.09.2023 - 16.12.2023</t>
  </si>
  <si>
    <t>07.10.2023 - 04.02.2024</t>
  </si>
  <si>
    <t>4:6, 7:1</t>
  </si>
  <si>
    <t>5:3, 7:4</t>
  </si>
  <si>
    <t>5:2, 4:3n</t>
  </si>
  <si>
    <t>5:3, 4:6</t>
  </si>
  <si>
    <t>29.10.2023 - 16.12.2023</t>
  </si>
  <si>
    <t>13.01.2024 - 04.02.2024</t>
  </si>
  <si>
    <t>5:47</t>
  </si>
  <si>
    <t>2:15</t>
  </si>
  <si>
    <t>0:25</t>
  </si>
  <si>
    <t>0:27</t>
  </si>
  <si>
    <t>1:38</t>
  </si>
  <si>
    <t>2:11</t>
  </si>
  <si>
    <t>6:5n, 6:7n, 10:4, 5:4</t>
  </si>
  <si>
    <t>27:37</t>
  </si>
  <si>
    <t>04.02.2024 - 24.02.2024</t>
  </si>
  <si>
    <t>24.02.2024</t>
  </si>
  <si>
    <t>17.09.2023 - 04.02.2024</t>
  </si>
  <si>
    <t>0:7</t>
  </si>
  <si>
    <t>1:32</t>
  </si>
  <si>
    <t>FBK VŠSK PaedF UK Praha (4:2)</t>
  </si>
  <si>
    <t>1:44</t>
  </si>
  <si>
    <t>2:03</t>
  </si>
  <si>
    <t>2:24</t>
  </si>
  <si>
    <t>5:4n, 4:2</t>
  </si>
  <si>
    <t>1:9, 6:7, 0:11, 0:7</t>
  </si>
  <si>
    <t>1:7, 2:4</t>
  </si>
  <si>
    <t>6:1, 4:0</t>
  </si>
  <si>
    <t>4:5, 2:7, 5:0, 4:5n</t>
  </si>
  <si>
    <t>17.03.2024</t>
  </si>
  <si>
    <t>3 ?</t>
  </si>
  <si>
    <t>Prague Tigers D (3:13)</t>
  </si>
  <si>
    <t>6:11, 3:13</t>
  </si>
  <si>
    <t>8:4, 6:3, 4:5n, 3:7</t>
  </si>
  <si>
    <t>52:51</t>
  </si>
  <si>
    <t>09.03.2024 - 23.03.2024</t>
  </si>
  <si>
    <t>6:5, 8:2</t>
  </si>
  <si>
    <t>6:4, 2:1, 14:1, 6:2, 12:1, 8:2</t>
  </si>
  <si>
    <t>Hala</t>
  </si>
  <si>
    <t>SH Stochov</t>
  </si>
  <si>
    <t>SH Hořovice</t>
  </si>
  <si>
    <t>1:17, 1:7</t>
  </si>
  <si>
    <t>Bublina Arena</t>
  </si>
  <si>
    <t>SH Králův Dvůr</t>
  </si>
  <si>
    <t>4:13 (8.1.2023, FbŠ Bohemians D)</t>
  </si>
  <si>
    <t>1:17 (19.11.2022, AIK Steel Kladno C)</t>
  </si>
  <si>
    <t>4:13 (18.9.2022, FbŠ Bohemians D)</t>
  </si>
  <si>
    <t>13:2 (18.9.2022, FBC Hornets Praha B)</t>
  </si>
  <si>
    <t>3:9, 12:3</t>
  </si>
  <si>
    <t>12:3 (22.1.2023, F.C. Vorms Praha)</t>
  </si>
  <si>
    <t>3:9 (22.1.2023, AIK Steel Kladno C)</t>
  </si>
  <si>
    <t>SH BIOS Kladno</t>
  </si>
  <si>
    <t>9:2 (11.2.2023, FBC Žraloci Příbram B)</t>
  </si>
  <si>
    <t>1:6 (4.3.2023, FBC Hornets Praha B)</t>
  </si>
  <si>
    <t>9:2 (2.4.2023, F.C. Vorms Praha)</t>
  </si>
  <si>
    <t>SH Dobříš</t>
  </si>
  <si>
    <t>9:6, 1:6</t>
  </si>
  <si>
    <t>9:6 (6.11.2022, FBC Žraloci Příbram B)</t>
  </si>
  <si>
    <t>1:6 (6.11.2022, FLORBAL RIDERS)</t>
  </si>
  <si>
    <t>SH ZŠ Černošice-Mokropsy</t>
  </si>
  <si>
    <t>0:11 (29.10.2023, Florbal Kladno B)</t>
  </si>
  <si>
    <t>SH Bystřice</t>
  </si>
  <si>
    <t>4:5n, 6:11</t>
  </si>
  <si>
    <t>6:11 (26.11.2023, Prague Tigers D)</t>
  </si>
  <si>
    <t>TJ Radlice</t>
  </si>
  <si>
    <t>3:10 (16.12.2023, IBK Kubánský Klan B)</t>
  </si>
  <si>
    <t>8:4, 9:2, 7:1, 7:4</t>
  </si>
  <si>
    <t>5:1, 5:7, 1:6, 6:8, 9:2, 6:3, 4:3n, 4:6</t>
  </si>
  <si>
    <t>5:4n, 0:11, 4:2, 0:7</t>
  </si>
  <si>
    <t>4:2 (24.2.2024, FBK VŠSK PaedF UK Praha)</t>
  </si>
  <si>
    <t>Unihoc Aréna Praha</t>
  </si>
  <si>
    <t>3:13, 3:7</t>
  </si>
  <si>
    <t>3:13 (17.3.2024, Prague Tigers D)</t>
  </si>
  <si>
    <t>% ZB</t>
  </si>
  <si>
    <t>Asistence v sezóně</t>
  </si>
  <si>
    <t>Góly v sezóně</t>
  </si>
  <si>
    <t>Tomáš ibl</t>
  </si>
  <si>
    <t>SH Zličín</t>
  </si>
  <si>
    <t>2:6 (20.11.2011, Torza Sorry)</t>
  </si>
  <si>
    <t>SH Děkanka</t>
  </si>
  <si>
    <t>0:20 (11.12.2011, FT Sokol Břevnov B)</t>
  </si>
  <si>
    <t>Přetlaková SH Kladno</t>
  </si>
  <si>
    <t>2:12 (28.1.2012, FBK Seals Kladno)</t>
  </si>
  <si>
    <t>STODOLA Aréna Střešovice</t>
  </si>
  <si>
    <t>4:2 (25.3.2012, FBC Jeleni Unhošť B)</t>
  </si>
  <si>
    <t>3:8 (25.3.2012, Torza Sorry)</t>
  </si>
  <si>
    <t>SH Zruč nad Sázavou</t>
  </si>
  <si>
    <t>9:0k (4.11.2012, SK Panthers Příbram)</t>
  </si>
  <si>
    <t>TJ JM Chodov</t>
  </si>
  <si>
    <t>3:4 (10.2.2013, TJ Jiskra Zruč nad Sázavou)</t>
  </si>
  <si>
    <t>SH Gymnázium Sedlčany</t>
  </si>
  <si>
    <t>7:0 (2.3.2013, SK Lvi Praha - Banko)</t>
  </si>
  <si>
    <t>11:0 (16.3.2013, FBK Sokol Dobřichovice)</t>
  </si>
  <si>
    <t>6:1, 9:0k, 6:2, 3:4, 5:2</t>
  </si>
  <si>
    <t>3:10, 4:6</t>
  </si>
  <si>
    <t>Exe Sport Arena</t>
  </si>
  <si>
    <t>4:6</t>
  </si>
  <si>
    <t>4:6 (13.4.2024, IBK Kubánský Klan B)</t>
  </si>
  <si>
    <t>Sebastian Skuba</t>
  </si>
  <si>
    <t>03.03.2024 - 23.03.2024</t>
  </si>
  <si>
    <t>10:5, 5:4</t>
  </si>
  <si>
    <t>1. místo - postup do regionální ligy</t>
  </si>
  <si>
    <t>20.04.2024</t>
  </si>
  <si>
    <t>Orka Čelákovice B (7:5)</t>
  </si>
  <si>
    <t>25.09.2016</t>
  </si>
  <si>
    <t>30.04.2023</t>
  </si>
  <si>
    <t>27.02.2016</t>
  </si>
  <si>
    <t>20.11.2021</t>
  </si>
  <si>
    <t>03.12.2017</t>
  </si>
  <si>
    <t>07.01.2018</t>
  </si>
  <si>
    <t>10.04.2022</t>
  </si>
  <si>
    <t>02.11.2013</t>
  </si>
  <si>
    <t>24.03.2022</t>
  </si>
  <si>
    <t>3:17</t>
  </si>
  <si>
    <t>19.02.2023 - 30.04.2023</t>
  </si>
  <si>
    <t>09.03.2024 - 20.04.2024</t>
  </si>
  <si>
    <t>FBC Žraloci Příbram (2:12)</t>
  </si>
  <si>
    <t>11:4, 7:5</t>
  </si>
  <si>
    <t>2024/2025</t>
  </si>
  <si>
    <t>PH+SČ Regionální liga mužů (5. liga)</t>
  </si>
  <si>
    <t>24.11.</t>
  </si>
  <si>
    <t>8.12.</t>
  </si>
  <si>
    <t>BLACK ANGLES BENFICA</t>
  </si>
  <si>
    <t>FAT PIPE Traverza</t>
  </si>
  <si>
    <t>FbŠ Boheminas B</t>
  </si>
  <si>
    <t>OLYMP FLORBAL</t>
  </si>
  <si>
    <t>Prague Tigers</t>
  </si>
  <si>
    <t>SSK Future</t>
  </si>
  <si>
    <t>TJ Sokol Královské Vinohrady C</t>
  </si>
  <si>
    <t>Wizards SO Praha 10 C</t>
  </si>
  <si>
    <t>Wizards SO Praha 10 B</t>
  </si>
  <si>
    <t>FAT PIPE Traverza B</t>
  </si>
  <si>
    <t>FAT PIPE FLORBAL CHODOV D</t>
  </si>
  <si>
    <t>FAT PIPE FLORBAL CHODOV C</t>
  </si>
  <si>
    <t>Prague Tigers C</t>
  </si>
  <si>
    <t>TJ Ruzyně</t>
  </si>
  <si>
    <t>7:1, 2:3</t>
  </si>
  <si>
    <t>7:1 (13.10.2013, SK Black Dragons)</t>
  </si>
  <si>
    <t>2:3 (13.10.2013, SK Kladno Raisins)</t>
  </si>
  <si>
    <t>5:2 (23.2.2014, Noxa Ruzyně)</t>
  </si>
  <si>
    <t>11:0 (15.3.2014, SK Lators)</t>
  </si>
  <si>
    <t>6:11 (13.4.2014, IBK Kuřata Kladno)</t>
  </si>
  <si>
    <t>SH ZŠ Kunratice</t>
  </si>
  <si>
    <t>SH Čakovice</t>
  </si>
  <si>
    <t>TJ Sokol Kobylisy</t>
  </si>
  <si>
    <t>5:1 (2.5.2015, IBK Kuřata Kladno)</t>
  </si>
  <si>
    <t>0:20, 5:13, 2:7, 10:4, 7:1, 6:4</t>
  </si>
  <si>
    <t>15:3 (10.12.2016, IBK Kubánský Klan B)</t>
  </si>
  <si>
    <t>SH Kostelec nad Černými lesy</t>
  </si>
  <si>
    <t>11:5, 3:13</t>
  </si>
  <si>
    <t>11:5 (15.1.2017, Sport Eden Beroun)</t>
  </si>
  <si>
    <t>3:13 (15.1.2017, T.B.C. Králův Dvůr B)</t>
  </si>
  <si>
    <t>4:10 (29.4.2017, Floorball Club Falcon)</t>
  </si>
  <si>
    <t>1:7 (8.10.2017, Panthers Praha C)</t>
  </si>
  <si>
    <t>SH VŠE</t>
  </si>
  <si>
    <t>9:3, 7:9</t>
  </si>
  <si>
    <t>9:3 (19.11.2017, SK B.U.H. Praha)</t>
  </si>
  <si>
    <t>7:9 (19.11.2017, FbŠ Bohemians C)</t>
  </si>
  <si>
    <t>4:2, 3:8, 5:4, 7:9</t>
  </si>
  <si>
    <t>SH Eagles Praha</t>
  </si>
  <si>
    <t>6:4 (7.1.2018, Tatran Střešovice B)</t>
  </si>
  <si>
    <t>2:6, 3:3, 5:1, 3:1, 5:7, 8:7n</t>
  </si>
  <si>
    <t>3:9 (25.3.2018, Panthers Praha C)</t>
  </si>
  <si>
    <t>7:9, 6:4, 2:12, 5:6</t>
  </si>
  <si>
    <t>2:12 (6.5.2018, FBC VŠTJ Ekonom Praha)</t>
  </si>
  <si>
    <t>14:1 (9.2.2020, FbC Engineers)</t>
  </si>
  <si>
    <t>Sportovní centrum Řepy</t>
  </si>
  <si>
    <t>5:0, 6:3</t>
  </si>
  <si>
    <t>5:0 (5.12.2021, FBK VŠSK PaedF UK Praha)</t>
  </si>
  <si>
    <t>TJ Sokol Vinohrady</t>
  </si>
  <si>
    <t>10:4 (24.3.2022, Torza Sorry ASI)</t>
  </si>
  <si>
    <t>5:2, 6:11, 7:1, 9:4, 6:2, 9:1, 5:4, 7:0, 6:3, 8:2, 10:1</t>
  </si>
  <si>
    <t>10:1 (30.4.2022, Game Over Praha)</t>
  </si>
  <si>
    <t>12:3 (9.10.2022, Prague Tigers B)</t>
  </si>
  <si>
    <t>3:5, 7:5, 8:5, 5:0k, 4:5, 5:2, 7:2, 7:6, 8:2, 5:3, 10:3, 8:3, 5:0, 10:3, 4:6, 6:7n</t>
  </si>
  <si>
    <t>3:5 (14.3.2015, Florbal Team Nebušice)         4:6 (4.12.2022, Florbal Neratovice)</t>
  </si>
  <si>
    <t>7:3, 5:4, 5:9, 3:9, 5:6n, 8:3, 4:6, 6:4, 14:1, 3:8, 4:3n</t>
  </si>
  <si>
    <t>6:9 (5.3.2023, Prague Tigers B)</t>
  </si>
  <si>
    <t>SH Kralupy nad Vltavou</t>
  </si>
  <si>
    <t>2:11, 11:8</t>
  </si>
  <si>
    <t>11:8 (1.4.2023, IBK Kubánský Klan)</t>
  </si>
  <si>
    <t>2:11 (1.4.2023, Florbal Neratovice)</t>
  </si>
  <si>
    <t>SH Neratovice</t>
  </si>
  <si>
    <t>6:4, 12:11n</t>
  </si>
  <si>
    <t>6:4 (30.4.2023, AIK Steel Kladno)</t>
  </si>
  <si>
    <t>SH ZŠ Průhonice</t>
  </si>
  <si>
    <t>10:4 (10.9.2023, Orka Čelákovice B)</t>
  </si>
  <si>
    <t>4:5 (10.9.2023, Panthers Praha D)</t>
  </si>
  <si>
    <t>4:5n, 6:9, 6:5, 5:3</t>
  </si>
  <si>
    <t>5:3 (1.10.2023, FBC Žraloci Příbram)</t>
  </si>
  <si>
    <t>6:3 (18.11.2023, Florbal Team Sokol Nebušice)</t>
  </si>
  <si>
    <t>Tělocvična Gymnázia Říčany</t>
  </si>
  <si>
    <t>5:6n, 5:2</t>
  </si>
  <si>
    <t>5:2 (10.2.2024, Florbal Team Sokol Nebušice)</t>
  </si>
  <si>
    <t>5:6n (10.2.2024, Panthers Praha D)</t>
  </si>
  <si>
    <t>4:5, 4:7, 4:3, 1:3, 6:4, 10:1, 5:7, 4:9, 6:1, 6:1, 2:3, 7:5, 3:3, 2:6, 6:1, 11:3, 8:7, 7:2, 7:9, 10:8, 6:8, 9:9, 1:7, 9:5, 13:4, 7:1, 7:5, 6:2, 7:4, 6:0, 4:1, 2:3, 10:4, 12:1, 8:2, 8:2</t>
  </si>
  <si>
    <t>10:1 (5.1.2013, IBK Kubánský Klan B)                   13:4 (20.11.2021, IBK Kubánský Klan B)</t>
  </si>
  <si>
    <t>10:4 (12.4.2015, FBC Vokovický Šavle)                 7:1 (30.4.2016, ELITE PRAHA)</t>
  </si>
  <si>
    <t>10:3 (7.12.2019, FBC JELENI UNHOŠŤ)                 10:3 (8.1.2022, IBK Svatý Hole Kladno)</t>
  </si>
  <si>
    <t>2:12 (20.4.2024, FBC Žraloci Příbram)</t>
  </si>
  <si>
    <t>BV/Z</t>
  </si>
  <si>
    <t>BO/Z</t>
  </si>
  <si>
    <t>Tomáš Prchal</t>
  </si>
  <si>
    <t>Daniel Kverka</t>
  </si>
  <si>
    <t>1500. vstřelený gól - Jakub Drexler, 15.9.2024 proti Panthers Praha C (3:10)</t>
  </si>
  <si>
    <t>04.12.2022 - 20.04.2024</t>
  </si>
  <si>
    <t>0:5, 5:9, 11:0, 9:4, 3:7, 6:4, 11:2, 7:2, 5:4, 4:4, 10:4, 5:2, 9:3, 4:9, 4:5, 7:5, 7:4, 4:5, 9:9, 8:6, 6:5, 2:5, 1:0, 4:6, 11:3, 12:3, 3:4, 6:3, 4:1, 11:1, 9:5, 13:6, 4:6, 10:3, 5:3, 7:5, 2:12, 3:8, 4:6</t>
  </si>
  <si>
    <t>Tadeáš Schořálek</t>
  </si>
  <si>
    <t>SH Slaný - Háje</t>
  </si>
  <si>
    <t>2:8 (21.9.2024, Florbal Kladno B)</t>
  </si>
  <si>
    <t>4.5.</t>
  </si>
  <si>
    <t>3:30</t>
  </si>
  <si>
    <t>13.10.2024</t>
  </si>
  <si>
    <t>FbŠ Bohemians B</t>
  </si>
  <si>
    <t>FbŠ Bohemians B (3:30)</t>
  </si>
  <si>
    <t>3:30 (13.10.2024, FbŠ Bohemians B)</t>
  </si>
  <si>
    <t>10:4, 1:6, 5:7</t>
  </si>
  <si>
    <t>1:6 (27.10.2024, Wizards SO Praha 10 B)</t>
  </si>
  <si>
    <t>900. vstřelený gól - Jiří Polívka, 6.10.2024 proti SK Kladno Raisins (5:3)</t>
  </si>
  <si>
    <t>02.11.2024</t>
  </si>
  <si>
    <t>FBC Rakovník (3:17)</t>
  </si>
  <si>
    <t>0:52</t>
  </si>
  <si>
    <t>1:01</t>
  </si>
  <si>
    <t>3:17 (2.11.2024, FBC Rakovník)</t>
  </si>
  <si>
    <t>24.11.2024</t>
  </si>
  <si>
    <t>20.04.2024 - 24.11.2024</t>
  </si>
  <si>
    <t>SK Alien Nation Černošice (4:11)</t>
  </si>
  <si>
    <t>5:2, 2:1, 9:10, 5:10, 4:11, 6:5n</t>
  </si>
  <si>
    <t>4:11 (24.11.2024, SK Alien Nation Černošice)</t>
  </si>
  <si>
    <t>SH Chemik Lovosice</t>
  </si>
  <si>
    <t>SH ZŠ Rudná</t>
  </si>
  <si>
    <t>SH SAMK Kladno</t>
  </si>
  <si>
    <t>Václav Horáček</t>
  </si>
  <si>
    <t>Jedenáctka VS</t>
  </si>
  <si>
    <t>1:5, 4:10</t>
  </si>
  <si>
    <t>4:10 (24.11.2024, Kralupy Wolves B)</t>
  </si>
  <si>
    <t xml:space="preserve">1000. vstřelený gól - </t>
  </si>
  <si>
    <t>08.12.2024</t>
  </si>
  <si>
    <t>11.12.2011</t>
  </si>
  <si>
    <t>Tatran Střešovice B (3:17)</t>
  </si>
  <si>
    <t>9:10, 6:4, 4:6, 3:17</t>
  </si>
  <si>
    <t>6:8, 7:8, 6:3, 5:8, 5:4n, 3:17</t>
  </si>
  <si>
    <t>3:17 (8.12.2024, Tatran Střešovice B)</t>
  </si>
  <si>
    <t>02.11.2024 - 5.1.2025</t>
  </si>
  <si>
    <t>2:4, 8:1, 13:3, 0:4, 3:9, 4:2</t>
  </si>
  <si>
    <t>3:10, 3:8</t>
  </si>
  <si>
    <t>4:6, 3:30, 3:8, 2:4</t>
  </si>
  <si>
    <t>Martin Šula</t>
  </si>
  <si>
    <t>57:32</t>
  </si>
  <si>
    <t>05.01.2025 - 26.01.2025</t>
  </si>
  <si>
    <t>30.11.2019</t>
  </si>
  <si>
    <t>27.01.2013</t>
  </si>
  <si>
    <t>03.05.2014</t>
  </si>
  <si>
    <t>27.02.2022 - 05.01.2025</t>
  </si>
  <si>
    <t>2:13, 0:16, 3:10, 2:8</t>
  </si>
  <si>
    <t>3:4n, 7:2, 1:4, 4:2</t>
  </si>
  <si>
    <t>2:8 (26.1.2025, AIK Steel Kladno)</t>
  </si>
  <si>
    <t>Black Angels Benfica</t>
  </si>
  <si>
    <t>01.02.2025</t>
  </si>
  <si>
    <t>08.12.2024 - 01.02.2025</t>
  </si>
  <si>
    <t>6:5n, 12:2</t>
  </si>
  <si>
    <t>4:6, 3:7</t>
  </si>
  <si>
    <t>7:2, 7:3, 4:8, 12:2, 7:8, 4:10, 4:1, 6:7, 3:10, 3:10, 3:7, 12:2</t>
  </si>
  <si>
    <t>12:2 (27.11.2016, Sport Eden Beroun)                           12:2 (1.2.2025, Black Angels Benfica)</t>
  </si>
  <si>
    <t>9:5, 4:6, 4:11, 3:8</t>
  </si>
  <si>
    <t>5:7, 6:3</t>
  </si>
  <si>
    <t>5:6, 4:6, 3:8, 6:3</t>
  </si>
  <si>
    <t>6:3 (15.2.2025, TJ Sokol Královské Vinohrady C)</t>
  </si>
  <si>
    <t>3:8 (15.2.2025, SK Alien Nation Černošice)</t>
  </si>
  <si>
    <t>29.03.2025</t>
  </si>
  <si>
    <t>SSK Future (4:7)</t>
  </si>
  <si>
    <t>3:8, 4:7</t>
  </si>
  <si>
    <t>7:5, 4:5n, 5:4n, 2:4</t>
  </si>
  <si>
    <t>5:8, 4:0, 6:3, 12:3, 4:7, 2:4</t>
  </si>
  <si>
    <t>5:8 (2.11.2014, Desperados)                                         4:7 (29.3.2025, SSK Future)</t>
  </si>
  <si>
    <t>2:4, 8:4</t>
  </si>
  <si>
    <t>2:12, 1:8, 3:3, 12:4, 4:11, 6:4, 11:0, 8:0, 2:4, 10:2, 10:2, 9:3, 8:2, 2:6, 2:5, 4:5, 3:4, 12:2, 13:5, 8:2, 2:7, 10:3, 4:9, 5:8, 6:4, 8:4, 2:4</t>
  </si>
  <si>
    <t>Adam Těšitel</t>
  </si>
  <si>
    <t>Jan Kajpr</t>
  </si>
  <si>
    <t>52:03</t>
  </si>
  <si>
    <t>03.03.2024 - 25.03.2025</t>
  </si>
  <si>
    <t>K</t>
  </si>
  <si>
    <t>06.10.2024 - 26.01.2025</t>
  </si>
  <si>
    <t>28.10.2023 - 15.03.2025</t>
  </si>
  <si>
    <t>25.03.2023 - 15.03.2025</t>
  </si>
  <si>
    <t>26.01.2025 - 15.03.2025</t>
  </si>
  <si>
    <t>1:5, 0:5k</t>
  </si>
  <si>
    <t>3:11, 3:4n</t>
  </si>
  <si>
    <t>2:8, 1:8</t>
  </si>
  <si>
    <t>5:0, 5:6n, 2:4, 5:4, 3:4n, 5:3</t>
  </si>
  <si>
    <t>06.10.2024 - 04.05.2025</t>
  </si>
  <si>
    <t>04.05.2025</t>
  </si>
  <si>
    <t>Kralupy Wolves B (6:4)</t>
  </si>
  <si>
    <t>4:10, 6:4</t>
  </si>
  <si>
    <t>2:5, 1:7, 9:8n, 12:5, 3:4n, 5:4n, 3:17, 1:5</t>
  </si>
  <si>
    <t>7:15</t>
  </si>
  <si>
    <t>03.05.2025</t>
  </si>
  <si>
    <t>FbŠ Bohemians B (7:15)</t>
  </si>
  <si>
    <t>3:30, 7:15</t>
  </si>
  <si>
    <t>1:6, 3:4</t>
  </si>
  <si>
    <t>7:15 (3.5.2025, FbŠ Bohemians B)</t>
  </si>
  <si>
    <t>9:2 (16.9.2012, FBC Falcons Žižkov B)</t>
  </si>
  <si>
    <t>7:1 (1.12.2012, FBC Jeleni Unhošť B)</t>
  </si>
  <si>
    <t>5:0 (17.3.2013, B.B.B. Horoměřice)</t>
  </si>
  <si>
    <t>2:17 (13.4.2013, IBK Kuřata Kladno)</t>
  </si>
  <si>
    <t>2:12 (19.1.2014, FBC Kladno D)</t>
  </si>
  <si>
    <t>3:4n, 3:17, 5:3, 0:6, 1:6, 6:4</t>
  </si>
  <si>
    <t>5:3 (23.2.2013, FBC Cavallino Rampante)       6:4 (1.2.2014, SK Lvi Praha-Banko)</t>
  </si>
  <si>
    <t>7:1 (15.2.2014, FBC Jeleni Unhošť)</t>
  </si>
  <si>
    <t>ČVUT Pod Juliskou</t>
  </si>
  <si>
    <t>4:4, 4:11</t>
  </si>
  <si>
    <t>4:11 (20.12.2014, Neo)</t>
  </si>
  <si>
    <t>3:11 (11.1.2015, Poison)</t>
  </si>
  <si>
    <t>4:3 (20.9.2015, FbC Engineers)</t>
  </si>
  <si>
    <t>1:10 (22.11.2015, SK Kladno Raisins)</t>
  </si>
  <si>
    <t>18:2 (5.3.2016, FbŠ Bohemians D)</t>
  </si>
  <si>
    <t>4:9 (2.4.2016, SK B.U.H. Praha B)</t>
  </si>
  <si>
    <t>3:11 (15.12.2024, Prague Tigers C)              3:11 (30.4.2016, FBC Hamsters Vysočany B)</t>
  </si>
  <si>
    <t>0:5k, 4:7, 3:3, 1:6</t>
  </si>
  <si>
    <t>0:5k (22.2.2015, FBC Lynx)                                    1:6 (25.9.2016, IBK Kubánský Klan C)</t>
  </si>
  <si>
    <t>1:7 (27.11.2016, FbK Wildcats Praha B)            1:7 (27.11.2016, SK Alien Nation Černošice)</t>
  </si>
  <si>
    <t>SH Radotín</t>
  </si>
  <si>
    <t>2:12, 2:5</t>
  </si>
  <si>
    <t>2:12 (18.12.2016, FBC Penguins Praha)</t>
  </si>
  <si>
    <t>1:4 (11.2.2017, IBK Svatý Hole Kladno B)</t>
  </si>
  <si>
    <t>3:10, 4:8</t>
  </si>
  <si>
    <t>3:10 (30.4.2017, IBK Svatý Hole Kladno B)</t>
  </si>
  <si>
    <t>4:8, 2:1, 5:4, 4:9, 6:6, 6:6, 1:4, 4:2</t>
  </si>
  <si>
    <t>4:2 (17.9.2017, FBC Ressler boys)</t>
  </si>
  <si>
    <t>4:3, 4:4, 5:6</t>
  </si>
  <si>
    <t>5:6 (14.1.2018, FBC Vokovický Šavle)</t>
  </si>
  <si>
    <t>4:2, 2:8, 7:1, 1:3, 6:4, 5:0k, 4:2, 3:2</t>
  </si>
  <si>
    <t>0:16 (29.4.2018, AIK Steel Kladno)</t>
  </si>
  <si>
    <t>7:1, 5:3, 4:5</t>
  </si>
  <si>
    <t>4:5 (15.9.2018, FBC Slavia Praha C)</t>
  </si>
  <si>
    <t>1:7, 1:7, 1:5, 1:3</t>
  </si>
  <si>
    <t>5:4, 10:4</t>
  </si>
  <si>
    <t>10:4 (3.3.2019, FBC Slavia Praha C)</t>
  </si>
  <si>
    <t>3:3, 5:0, 4:9, 7:7, 7:4, 2:10, 1:9</t>
  </si>
  <si>
    <t>2:10 (23.3.2019, FC Bučis Team B)                      1:9 (23.3.2019, FBC Mobydick Praha)</t>
  </si>
  <si>
    <t>Sport Centrum Hostivice</t>
  </si>
  <si>
    <t>2:7 (7.4.2019, FBC Majklar)</t>
  </si>
  <si>
    <t>3:10, 3:11, 8:4, 4:10, 3:11, 2:8, 5:6, 6:2</t>
  </si>
  <si>
    <t>8:4 (5.1.2014, FBC Atomovky)                             6:2 (27.4.2019, SK Bruisers Dejvice)</t>
  </si>
  <si>
    <t>5:8 (28.9.2019, FAT PIPE FLORBAL CHODOV D)</t>
  </si>
  <si>
    <t>18:2, 6:1, 3:1, 6:4</t>
  </si>
  <si>
    <t>2:3, 2:7, 2:5, 1:2</t>
  </si>
  <si>
    <t>5:8, 4:2, 3:0, 8:2</t>
  </si>
  <si>
    <t>8:2 (11.1.2020, TJ Lokomotiva Rakovník B)</t>
  </si>
  <si>
    <t>15:0 (26.1.2020, Florbal Pro Beroun)</t>
  </si>
  <si>
    <t>4:6, 1:4, 8:4, 8:7, 9:4, 4:4</t>
  </si>
  <si>
    <t>9:4 (22.2.2020, Florbal Riders)</t>
  </si>
  <si>
    <t>3:5, 4:2, 5:3, 3:5, 2:17, 2:6, 4:2, 3:6, 1:5, 2:3, 1:12, 4:7, 8:4, 2:7</t>
  </si>
  <si>
    <t>8:4 (26.9.2020, FBC TJ Lokomotiva Zdice)</t>
  </si>
  <si>
    <t>11:5 (5.2.2022, FbK Buldoci Radotín B)</t>
  </si>
  <si>
    <t>2:12 (5.2.2022, AIK Steel Kladno B)</t>
  </si>
  <si>
    <t>SH Chýně</t>
  </si>
  <si>
    <t>8:1 (20.3.2022, FbC Barracudas Slaný B)</t>
  </si>
  <si>
    <t>13:3 (9.10.2022, FbC Barracudas Slaný B)</t>
  </si>
  <si>
    <t>5:5, 5:4, 6:1, 7:5</t>
  </si>
  <si>
    <t>6:1 (7.1.2023, FBK VŠSK PaedF UK Praha)</t>
  </si>
  <si>
    <t>7:4, 9:2, 1:5, 0:3, 6:6, 8:6, 2:2, 10:8, 1:4, 1:10, 9:4, 3:1, 3:4, 1:6, 2:3, 0:4, 2:1, 2:3, 5:1, 7:2, 5:6, 2:7, 5:3, 5:2, 5:1, 1:3, 0:2, 4:2, 4:5n, 3:4n, 5:3, 1:4, 7:2, 5:6n</t>
  </si>
  <si>
    <t>12:5 (25.3.2023, FBC Rakovník A)</t>
  </si>
  <si>
    <t>3:4n, 1:8, 6:4, 1:5, 1:0, 1:2, 8:1, 5:14, 4:3, 2:5, 5:2, 9:1, 5:4, 5:5, 6:6, 4:4, 2:13, 0:10, 2:5, 2:3, 1:4, 0:16, 0:6, 3:6, 7:9, 5:10, 3:4n, 4:6, 3:2, 2:6, 3:5, 2:4, 2:9, 1:2, 9:8n, 13:3, 1:7, 4:10, 3:4n, 6:1, 4:3, 6:5</t>
  </si>
  <si>
    <t>SH TJ Kobylisy</t>
  </si>
  <si>
    <t>1:14, 2:4</t>
  </si>
  <si>
    <t>1:14 (10.12.2023, Torza Sorry ASI)</t>
  </si>
  <si>
    <t>8:1, 4:6, 2:4, 0:7</t>
  </si>
  <si>
    <t>0:7 (10.2.2024, FBK Včely DDM Praha 2)</t>
  </si>
  <si>
    <t>7:2, 6:3, 11:5, 2:12, 2:4, 4:0</t>
  </si>
  <si>
    <t>2:8, 1:4, 3:6, 5:4</t>
  </si>
  <si>
    <t>5:4 (20.4.2024, IBK Svatý Hole Kladno)</t>
  </si>
  <si>
    <t>2025/2026</t>
  </si>
  <si>
    <t>14.9.</t>
  </si>
  <si>
    <t>27.9.</t>
  </si>
  <si>
    <t>9.11.</t>
  </si>
  <si>
    <t>29.11.</t>
  </si>
  <si>
    <t>4.1.</t>
  </si>
  <si>
    <t>17.1.</t>
  </si>
  <si>
    <t>31.1.</t>
  </si>
  <si>
    <t>19.4.</t>
  </si>
  <si>
    <t>15.11.</t>
  </si>
  <si>
    <t>21.2.</t>
  </si>
  <si>
    <t>22.3.</t>
  </si>
  <si>
    <t>18.4.</t>
  </si>
  <si>
    <t>9.5.</t>
  </si>
  <si>
    <t>13.9.</t>
  </si>
  <si>
    <t>3.1.</t>
  </si>
  <si>
    <t>11.4.</t>
  </si>
  <si>
    <t>Cirkus Praha</t>
  </si>
  <si>
    <t>Florbal FBC Jeleni Unhošť B</t>
  </si>
  <si>
    <t>FBC LYNX</t>
  </si>
  <si>
    <t>Sokol Rudná B</t>
  </si>
  <si>
    <t>Lhokamo Praha</t>
  </si>
  <si>
    <t>TBC Engineers Horoměřice</t>
  </si>
  <si>
    <t>TBC Engineers Horoměřice B</t>
  </si>
  <si>
    <t>Florbal MB B</t>
  </si>
  <si>
    <t>T.B.C. Králův Dvůr C</t>
  </si>
  <si>
    <t>TJ Sokol Dobříš C</t>
  </si>
  <si>
    <t xml:space="preserve">Florbal FBC Jeleni Unhošť </t>
  </si>
  <si>
    <t>TJ Sokol Petrovice I.</t>
  </si>
  <si>
    <t>Jan Laňka</t>
  </si>
  <si>
    <t>1600. vstřelený gól - Tomáš Ibl, 14.9.2025 proti Sokol Rudná B (6:4)</t>
  </si>
  <si>
    <t>12.04.2025 - 3.5.2025</t>
  </si>
  <si>
    <t>6:4</t>
  </si>
  <si>
    <t>5:2, 8:5, 1:7, 3:9, 3:10, 2:4, 4:3n</t>
  </si>
  <si>
    <t>5:9, 3:6, 3:7, 5:7, 2:4, 2:0, 7:6, 3:3, 4:3, 5:9, 4:4, 2:1, 8:6, 15:3, 6:5, 3:9, 11:3, 4:10, 2:4, 3:4, 1:4, 7:1, 3:1, 2:4, 9:3, 5:4, 7:5, 3:8, 6:5n, 3:1, 4:6, 12:10, 5:0, 6:4, 4:2, 5:4, 4:5n, 6:4, 3:4, 7:15, 6:4, 4:3n</t>
  </si>
  <si>
    <t>Petr Dusbábek</t>
  </si>
  <si>
    <t>Jiří Koula</t>
  </si>
  <si>
    <t>Tomáš Zajíc</t>
  </si>
  <si>
    <t>13.09.2025</t>
  </si>
  <si>
    <t>50:23</t>
  </si>
  <si>
    <t>22.01.2023</t>
  </si>
  <si>
    <t>10.12.2022</t>
  </si>
  <si>
    <t>11.02.2023</t>
  </si>
  <si>
    <t>2:26</t>
  </si>
  <si>
    <t>Kanonýři Kladno C (5:1)</t>
  </si>
  <si>
    <t>1:20</t>
  </si>
  <si>
    <t>Florbal TJ Kobylisy C (4:1)</t>
  </si>
  <si>
    <t>17.03.2024 - 13.09.2025</t>
  </si>
  <si>
    <t>16.12.2023 - 13.04.2024</t>
  </si>
  <si>
    <t>17.09.2023 - 13.04.2024</t>
  </si>
  <si>
    <t>4:1</t>
  </si>
  <si>
    <t>24.02.2024 - 13.04.2024</t>
  </si>
  <si>
    <t>4:13, 13:2, 1:9, 8:4, 5:3, 4:6, 5:3, 5:2, 5:1, 4:1</t>
  </si>
  <si>
    <t>Jan Helešic</t>
  </si>
  <si>
    <t>2:5</t>
  </si>
  <si>
    <t>2:5, 8:2, 6:4</t>
  </si>
  <si>
    <t>3:9, 5:3, 7:5, 6:1, 1:6, 2:2, 5:3, 2:7, 2:12, 4:7, 3:3, 5:10, 5:7, 9:1, 6:5, 3:8, 3:6, 0:8, 1:7, 3:8, 7:6, 7:5, 15:0, 5:8, 6:0, 5:0, 6:5, 3:1, 7:6, 3:6, 10:6, 10:5, 5:4n, 5:4, 2:5, 6:4</t>
  </si>
  <si>
    <t>7:4, 7:9, 6:7, 6:4, 5:8</t>
  </si>
  <si>
    <t>5:10, 6:5, 10:3, 4:2, 9:6</t>
  </si>
  <si>
    <t>7:0, 6:1, 4:5, 6:4, 9:6, 5:8</t>
  </si>
  <si>
    <t>5:8 (27.9.2025, Wizards SO Praha C)</t>
  </si>
  <si>
    <t>Stanislav Procházka</t>
  </si>
  <si>
    <t>Ondřej Neumann</t>
  </si>
  <si>
    <t>04.03.2023</t>
  </si>
  <si>
    <t>4:13, 6:7, 2:4, 1:2</t>
  </si>
  <si>
    <t>200. vstřelený gól - Adam Pártl, 12.10.2025 proti AIK Steel Kladno B (3:2)</t>
  </si>
  <si>
    <t xml:space="preserve">300. vstřelený gól - </t>
  </si>
  <si>
    <t>32:51</t>
  </si>
  <si>
    <t>27.09.2025 - 12.10.2025</t>
  </si>
  <si>
    <t>26:06 ?</t>
  </si>
  <si>
    <t>12.10.2025 - ?????</t>
  </si>
  <si>
    <t>1 ?</t>
  </si>
  <si>
    <t>18.09.2022</t>
  </si>
  <si>
    <t>16.10.2022</t>
  </si>
  <si>
    <t>3:2</t>
  </si>
  <si>
    <t>1:6</t>
  </si>
  <si>
    <t>1:6, 3:2</t>
  </si>
  <si>
    <t>3:2 (12.10.2025, AIK Steel Kladno B)</t>
  </si>
  <si>
    <t>1:6 (12.10.2025, IBK Svatý Hole Kladno)</t>
  </si>
  <si>
    <t>Jan Hejný</t>
  </si>
  <si>
    <t>14.09.2025 - ?????</t>
  </si>
  <si>
    <t>TJ Sokol Dobříš</t>
  </si>
  <si>
    <t>28.09.2025</t>
  </si>
  <si>
    <t>11.01.2020</t>
  </si>
  <si>
    <t>01.12.2012</t>
  </si>
  <si>
    <t>14.09.2025 - 25.10.2025</t>
  </si>
  <si>
    <t>2:51</t>
  </si>
  <si>
    <t>TJ Sokol Dobříš (8:2)</t>
  </si>
  <si>
    <t>05.03.2016</t>
  </si>
  <si>
    <t>25.03.2023</t>
  </si>
  <si>
    <t>05.02.2022</t>
  </si>
  <si>
    <t>09.10.2022</t>
  </si>
  <si>
    <t>26.09.2020</t>
  </si>
  <si>
    <t>3:0</t>
  </si>
  <si>
    <t>6:0, 6:1, 5:4</t>
  </si>
  <si>
    <t>1:10, 2:8, 0:2, 7:2, 4:3, 3:6, 5:3, 3:5, 2:5</t>
  </si>
  <si>
    <t>Tělocvična Horní Počernice</t>
  </si>
  <si>
    <t>3:0, 8:2</t>
  </si>
  <si>
    <t>8:2 (28.9.2025, TJ Sokol Dobříš)</t>
  </si>
  <si>
    <t>3:11, 2:6, 3:3, 2:4, 4:2, 5:6, 3:9, 0:5, 3:7, 1:4, 4:3, 0:3, 5:4n, 1:3, 7:2, 0:4, 3:4, 12:5, 5:4, 2:5</t>
  </si>
  <si>
    <t>35:26 ?</t>
  </si>
  <si>
    <t>02.11.2025 - ?????</t>
  </si>
  <si>
    <t>1:52</t>
  </si>
  <si>
    <t>02.11.2025</t>
  </si>
  <si>
    <t>FBC Jeleni Unhošť (5:1)</t>
  </si>
  <si>
    <t xml:space="preserve">FBC Jeleni Unhošť </t>
  </si>
  <si>
    <t>02.04.2023</t>
  </si>
  <si>
    <t>12.10.2025</t>
  </si>
  <si>
    <t>1:6, 5:1</t>
  </si>
  <si>
    <t>5:1 (2.11.2025, FBC Jeleni Unhošť)</t>
  </si>
  <si>
    <t>1:6 (2.11.2025, Cirkus Praha)</t>
  </si>
  <si>
    <t>45 ?</t>
  </si>
  <si>
    <t>FBC Žraloci Příbram (9:5)</t>
  </si>
  <si>
    <t>19.10.2025</t>
  </si>
  <si>
    <t>10.01.2015</t>
  </si>
  <si>
    <t>09.02.2020</t>
  </si>
  <si>
    <t>05.03.2023</t>
  </si>
  <si>
    <t>19.03.2016</t>
  </si>
  <si>
    <t>19.11.2017</t>
  </si>
  <si>
    <t>5:3, 2:12, 9:5</t>
  </si>
  <si>
    <t>8:6</t>
  </si>
  <si>
    <t>Nová SH Mladá Boleslav</t>
  </si>
  <si>
    <t>8:6, 9:5</t>
  </si>
  <si>
    <t>9:5 (19.10.2025, FBC Žraloci Příbram)</t>
  </si>
  <si>
    <t xml:space="preserve">1700. vstřelený gól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</si>
</sst>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0">
    <xf numFmtId="0" fontId="0" fillId="0" borderId="0" xfId="0"/>
    <xf numFmtId="0" fontId="8" fillId="0" borderId="0" xfId="0" applyFont="1"/>
    <xf numFmtId="2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0" fontId="0" fillId="2" borderId="1" xfId="0" applyFill="1" applyBorder="1"/>
    <xf numFmtId="49" fontId="0" fillId="0" borderId="0" xfId="0" applyNumberFormat="1"/>
    <xf numFmtId="49" fontId="0" fillId="0" borderId="0" xfId="0" applyNumberFormat="1" applyAlignment="1">
      <alignment horizontal="right"/>
    </xf>
    <xf numFmtId="0" fontId="0" fillId="3" borderId="1" xfId="0" applyFill="1" applyBorder="1"/>
    <xf numFmtId="0" fontId="0" fillId="3" borderId="0" xfId="0" applyFill="1"/>
    <xf numFmtId="0" fontId="0" fillId="3" borderId="2" xfId="0" applyFill="1" applyBorder="1"/>
    <xf numFmtId="0" fontId="0" fillId="3" borderId="1" xfId="0" applyFill="1" applyBorder="1" applyAlignment="1">
      <alignment horizontal="center"/>
    </xf>
    <xf numFmtId="0" fontId="0" fillId="3" borderId="0" xfId="0" applyFill="1" applyAlignment="1">
      <alignment horizontal="right"/>
    </xf>
    <xf numFmtId="49" fontId="0" fillId="3" borderId="1" xfId="0" applyNumberFormat="1" applyFill="1" applyBorder="1" applyAlignment="1">
      <alignment horizontal="center"/>
    </xf>
    <xf numFmtId="0" fontId="0" fillId="2" borderId="3" xfId="0" applyFill="1" applyBorder="1"/>
    <xf numFmtId="49" fontId="9" fillId="0" borderId="0" xfId="0" applyNumberFormat="1" applyFont="1"/>
    <xf numFmtId="49" fontId="9" fillId="3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/>
    </xf>
    <xf numFmtId="49" fontId="9" fillId="0" borderId="0" xfId="0" applyNumberFormat="1" applyFont="1" applyAlignment="1">
      <alignment horizontal="right"/>
    </xf>
    <xf numFmtId="49" fontId="0" fillId="3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2" fontId="0" fillId="2" borderId="3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0" borderId="0" xfId="0" applyFont="1"/>
    <xf numFmtId="2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0" fillId="0" borderId="4" xfId="0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9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0" fontId="0" fillId="3" borderId="1" xfId="0" applyFill="1" applyBorder="1" applyAlignment="1">
      <alignment horizontal="left" vertical="center"/>
    </xf>
    <xf numFmtId="0" fontId="11" fillId="3" borderId="1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49" fontId="11" fillId="0" borderId="0" xfId="0" applyNumberFormat="1" applyFont="1" applyAlignment="1">
      <alignment horizontal="center" vertical="center"/>
    </xf>
    <xf numFmtId="20" fontId="11" fillId="0" borderId="0" xfId="0" applyNumberFormat="1" applyFont="1" applyAlignment="1">
      <alignment horizontal="center"/>
    </xf>
    <xf numFmtId="20" fontId="11" fillId="0" borderId="0" xfId="0" applyNumberFormat="1" applyFont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49" fontId="9" fillId="3" borderId="1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top"/>
    </xf>
    <xf numFmtId="0" fontId="11" fillId="0" borderId="0" xfId="0" applyFont="1" applyAlignment="1">
      <alignment vertical="center"/>
    </xf>
    <xf numFmtId="0" fontId="0" fillId="5" borderId="0" xfId="0" applyFill="1" applyAlignment="1">
      <alignment horizontal="center" vertical="center"/>
    </xf>
    <xf numFmtId="0" fontId="0" fillId="5" borderId="0" xfId="0" applyFill="1"/>
    <xf numFmtId="0" fontId="0" fillId="4" borderId="0" xfId="0" applyFill="1"/>
    <xf numFmtId="1" fontId="11" fillId="0" borderId="0" xfId="0" applyNumberFormat="1" applyFont="1" applyAlignment="1">
      <alignment vertical="center"/>
    </xf>
    <xf numFmtId="16" fontId="0" fillId="0" borderId="0" xfId="0" applyNumberFormat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9" fillId="0" borderId="0" xfId="0" applyNumberFormat="1" applyFont="1" applyAlignment="1">
      <alignment horizontal="left" vertical="center"/>
    </xf>
    <xf numFmtId="1" fontId="9" fillId="0" borderId="0" xfId="0" applyNumberFormat="1" applyFont="1" applyAlignment="1">
      <alignment horizontal="center" vertical="center"/>
    </xf>
    <xf numFmtId="20" fontId="11" fillId="0" borderId="0" xfId="0" applyNumberFormat="1" applyFont="1"/>
    <xf numFmtId="49" fontId="11" fillId="0" borderId="0" xfId="0" applyNumberFormat="1" applyFont="1" applyAlignment="1">
      <alignment vertical="center"/>
    </xf>
    <xf numFmtId="0" fontId="12" fillId="3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left" vertical="center" wrapText="1"/>
    </xf>
    <xf numFmtId="20" fontId="11" fillId="0" borderId="0" xfId="0" applyNumberFormat="1" applyFont="1" applyAlignment="1">
      <alignment vertical="center"/>
    </xf>
    <xf numFmtId="20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 vertical="center" wrapText="1"/>
    </xf>
    <xf numFmtId="2" fontId="12" fillId="3" borderId="1" xfId="0" applyNumberFormat="1" applyFont="1" applyFill="1" applyBorder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6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3" fillId="0" borderId="0" xfId="0" applyFont="1"/>
    <xf numFmtId="0" fontId="0" fillId="3" borderId="1" xfId="0" applyFill="1" applyBorder="1" applyAlignment="1">
      <alignment vertical="center"/>
    </xf>
    <xf numFmtId="0" fontId="2" fillId="0" borderId="0" xfId="0" applyFont="1"/>
    <xf numFmtId="0" fontId="12" fillId="2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vertical="top"/>
    </xf>
    <xf numFmtId="0" fontId="0" fillId="3" borderId="1" xfId="0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3" borderId="2" xfId="0" applyFill="1" applyBorder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49" fontId="11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11" fillId="3" borderId="7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3" borderId="1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 vertical="center"/>
    </xf>
    <xf numFmtId="49" fontId="11" fillId="0" borderId="4" xfId="0" applyNumberFormat="1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11" fillId="0" borderId="4" xfId="0" applyFont="1" applyBorder="1" applyAlignment="1">
      <alignment horizontal="center"/>
    </xf>
    <xf numFmtId="1" fontId="11" fillId="0" borderId="0" xfId="0" applyNumberFormat="1" applyFont="1" applyAlignment="1">
      <alignment horizontal="center" vertical="center"/>
    </xf>
    <xf numFmtId="14" fontId="0" fillId="0" borderId="4" xfId="0" applyNumberFormat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20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6" borderId="0" xfId="0" applyFill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0" fillId="0" borderId="0" xfId="0" applyNumberFormat="1" applyAlignment="1">
      <alignment horizontal="center" vertical="center"/>
    </xf>
  </cellXfs>
  <cellStyles count="1">
    <cellStyle name="Normální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AG396"/>
  <sheetViews>
    <sheetView tabSelected="1" zoomScale="90" zoomScaleNormal="90" workbookViewId="0">
      <selection activeCell="E9" sqref="E9"/>
    </sheetView>
  </sheetViews>
  <sheetFormatPr defaultRowHeight="15" x14ac:dyDescent="0.25"/>
  <cols>
    <col min="2" max="2" width="3" bestFit="1" customWidth="1"/>
    <col min="3" max="3" width="4.7109375" customWidth="1"/>
    <col min="4" max="4" width="16.7109375" customWidth="1"/>
    <col min="5" max="6" width="9.140625" style="17"/>
    <col min="7" max="7" width="9.140625" style="93"/>
    <col min="8" max="8" width="9.140625" style="72"/>
    <col min="9" max="9" width="9.140625" style="17"/>
    <col min="10" max="10" width="9.42578125" style="17" customWidth="1"/>
    <col min="11" max="16" width="9.140625" style="17"/>
    <col min="24" max="24" width="10.140625" bestFit="1" customWidth="1"/>
    <col min="25" max="25" width="15.7109375" bestFit="1" customWidth="1"/>
    <col min="26" max="26" width="14.5703125" bestFit="1" customWidth="1"/>
  </cols>
  <sheetData>
    <row r="3" spans="2:16" x14ac:dyDescent="0.25">
      <c r="C3" s="98" t="s">
        <v>720</v>
      </c>
      <c r="D3" s="98"/>
    </row>
    <row r="5" spans="2:16" x14ac:dyDescent="0.25">
      <c r="D5" s="8" t="s">
        <v>0</v>
      </c>
      <c r="E5" s="18" t="s">
        <v>1</v>
      </c>
      <c r="F5" s="18" t="s">
        <v>2</v>
      </c>
      <c r="G5" s="94" t="s">
        <v>3</v>
      </c>
      <c r="H5" s="71" t="s">
        <v>4</v>
      </c>
      <c r="I5" s="18" t="s">
        <v>5</v>
      </c>
      <c r="J5" s="18" t="s">
        <v>38</v>
      </c>
      <c r="K5" s="18" t="s">
        <v>41</v>
      </c>
      <c r="L5" s="18" t="s">
        <v>42</v>
      </c>
      <c r="M5" s="18" t="s">
        <v>45</v>
      </c>
      <c r="N5" s="18" t="s">
        <v>46</v>
      </c>
      <c r="O5" s="18" t="s">
        <v>44</v>
      </c>
      <c r="P5" s="18" t="s">
        <v>43</v>
      </c>
    </row>
    <row r="6" spans="2:16" x14ac:dyDescent="0.25">
      <c r="B6" s="9">
        <v>1</v>
      </c>
      <c r="D6" s="97" t="s">
        <v>13</v>
      </c>
      <c r="E6" s="17">
        <v>167</v>
      </c>
      <c r="F6" s="17">
        <v>275</v>
      </c>
      <c r="G6" s="93">
        <v>151</v>
      </c>
      <c r="H6" s="72">
        <f t="shared" ref="H6:H37" si="0">F6+G6</f>
        <v>426</v>
      </c>
      <c r="I6" s="17">
        <v>135</v>
      </c>
      <c r="J6" s="25">
        <f t="shared" ref="J6:J37" si="1">H6/E6</f>
        <v>2.5508982035928143</v>
      </c>
      <c r="K6" s="17">
        <v>19</v>
      </c>
      <c r="L6" s="17">
        <v>16</v>
      </c>
      <c r="M6" s="17">
        <v>26</v>
      </c>
      <c r="N6" s="17">
        <v>0</v>
      </c>
      <c r="O6" s="17">
        <v>7</v>
      </c>
      <c r="P6" s="17">
        <v>4</v>
      </c>
    </row>
    <row r="7" spans="2:16" x14ac:dyDescent="0.25">
      <c r="B7" s="9">
        <v>2</v>
      </c>
      <c r="D7" s="97" t="s">
        <v>7</v>
      </c>
      <c r="E7" s="17">
        <v>171</v>
      </c>
      <c r="F7" s="17">
        <v>212</v>
      </c>
      <c r="G7" s="93">
        <v>129</v>
      </c>
      <c r="H7" s="72">
        <f t="shared" si="0"/>
        <v>341</v>
      </c>
      <c r="I7" s="17">
        <v>36</v>
      </c>
      <c r="J7" s="25">
        <f t="shared" si="1"/>
        <v>1.9941520467836258</v>
      </c>
      <c r="K7" s="17">
        <v>12</v>
      </c>
      <c r="L7" s="17">
        <v>8</v>
      </c>
      <c r="M7" s="17">
        <v>19</v>
      </c>
      <c r="N7" s="17">
        <v>2</v>
      </c>
      <c r="O7" s="17">
        <v>1</v>
      </c>
      <c r="P7" s="17">
        <v>1</v>
      </c>
    </row>
    <row r="8" spans="2:16" x14ac:dyDescent="0.25">
      <c r="B8" s="9">
        <v>3</v>
      </c>
      <c r="D8" s="97" t="s">
        <v>8</v>
      </c>
      <c r="E8" s="17">
        <v>210</v>
      </c>
      <c r="F8" s="17">
        <v>168</v>
      </c>
      <c r="G8" s="93">
        <v>123</v>
      </c>
      <c r="H8" s="72">
        <f t="shared" si="0"/>
        <v>291</v>
      </c>
      <c r="I8" s="17">
        <v>114</v>
      </c>
      <c r="J8" s="25">
        <f t="shared" si="1"/>
        <v>1.3857142857142857</v>
      </c>
      <c r="K8" s="17">
        <v>13</v>
      </c>
      <c r="L8" s="17">
        <v>0</v>
      </c>
      <c r="M8" s="17">
        <v>14</v>
      </c>
      <c r="N8" s="17">
        <v>0</v>
      </c>
      <c r="O8" s="17">
        <v>1</v>
      </c>
      <c r="P8" s="17">
        <v>0</v>
      </c>
    </row>
    <row r="9" spans="2:16" x14ac:dyDescent="0.25">
      <c r="B9" s="9">
        <v>4</v>
      </c>
      <c r="D9" s="97" t="s">
        <v>30</v>
      </c>
      <c r="E9" s="17">
        <v>187</v>
      </c>
      <c r="F9" s="17">
        <v>126</v>
      </c>
      <c r="G9" s="93">
        <v>149</v>
      </c>
      <c r="H9" s="72">
        <f t="shared" si="0"/>
        <v>275</v>
      </c>
      <c r="I9" s="17">
        <v>68</v>
      </c>
      <c r="J9" s="25">
        <f t="shared" si="1"/>
        <v>1.4705882352941178</v>
      </c>
      <c r="K9" s="17">
        <v>3</v>
      </c>
      <c r="L9" s="17">
        <v>5</v>
      </c>
      <c r="M9" s="17">
        <v>13</v>
      </c>
      <c r="N9" s="17">
        <v>1</v>
      </c>
      <c r="O9" s="17">
        <v>2</v>
      </c>
      <c r="P9" s="17">
        <v>1</v>
      </c>
    </row>
    <row r="10" spans="2:16" x14ac:dyDescent="0.25">
      <c r="B10" s="9">
        <v>5</v>
      </c>
      <c r="D10" s="97" t="s">
        <v>10</v>
      </c>
      <c r="E10" s="17">
        <v>239</v>
      </c>
      <c r="F10" s="17">
        <v>116</v>
      </c>
      <c r="G10" s="93">
        <v>122</v>
      </c>
      <c r="H10" s="72">
        <f t="shared" si="0"/>
        <v>238</v>
      </c>
      <c r="I10" s="17">
        <v>40</v>
      </c>
      <c r="J10" s="25">
        <f t="shared" si="1"/>
        <v>0.99581589958159</v>
      </c>
      <c r="K10" s="17">
        <v>4</v>
      </c>
      <c r="L10" s="17">
        <v>7</v>
      </c>
      <c r="M10" s="17">
        <v>13</v>
      </c>
      <c r="N10" s="17">
        <v>0</v>
      </c>
      <c r="O10" s="17">
        <v>4</v>
      </c>
      <c r="P10" s="17">
        <v>0</v>
      </c>
    </row>
    <row r="11" spans="2:16" x14ac:dyDescent="0.25">
      <c r="B11" s="9">
        <v>6</v>
      </c>
      <c r="D11" s="97" t="s">
        <v>39</v>
      </c>
      <c r="E11" s="17">
        <v>188</v>
      </c>
      <c r="F11" s="17">
        <v>109</v>
      </c>
      <c r="G11" s="93">
        <v>95</v>
      </c>
      <c r="H11" s="72">
        <f t="shared" si="0"/>
        <v>204</v>
      </c>
      <c r="I11" s="17">
        <v>20</v>
      </c>
      <c r="J11" s="25">
        <f t="shared" si="1"/>
        <v>1.0851063829787233</v>
      </c>
      <c r="K11" s="17">
        <v>7</v>
      </c>
      <c r="L11" s="17">
        <v>1</v>
      </c>
      <c r="M11" s="17">
        <v>6</v>
      </c>
      <c r="N11" s="17">
        <v>0</v>
      </c>
      <c r="O11" s="17">
        <v>0</v>
      </c>
      <c r="P11" s="17">
        <v>0</v>
      </c>
    </row>
    <row r="12" spans="2:16" x14ac:dyDescent="0.25">
      <c r="B12" s="9">
        <v>7</v>
      </c>
      <c r="D12" s="97" t="s">
        <v>14</v>
      </c>
      <c r="E12" s="17">
        <v>192</v>
      </c>
      <c r="F12" s="17">
        <v>75</v>
      </c>
      <c r="G12" s="93">
        <v>71</v>
      </c>
      <c r="H12" s="72">
        <f t="shared" si="0"/>
        <v>146</v>
      </c>
      <c r="I12" s="17">
        <v>50</v>
      </c>
      <c r="J12" s="25">
        <f t="shared" si="1"/>
        <v>0.76041666666666663</v>
      </c>
      <c r="K12" s="17">
        <v>12</v>
      </c>
      <c r="L12" s="17">
        <v>2</v>
      </c>
      <c r="M12" s="17">
        <v>8</v>
      </c>
      <c r="N12" s="17">
        <v>1</v>
      </c>
      <c r="O12" s="17">
        <v>0</v>
      </c>
      <c r="P12" s="17">
        <v>0</v>
      </c>
    </row>
    <row r="13" spans="2:16" x14ac:dyDescent="0.25">
      <c r="B13" s="9">
        <v>8</v>
      </c>
      <c r="D13" s="97" t="s">
        <v>356</v>
      </c>
      <c r="E13" s="17">
        <v>58</v>
      </c>
      <c r="F13" s="17">
        <v>88</v>
      </c>
      <c r="G13" s="93">
        <v>50</v>
      </c>
      <c r="H13" s="72">
        <f t="shared" si="0"/>
        <v>138</v>
      </c>
      <c r="I13" s="17">
        <v>6</v>
      </c>
      <c r="J13" s="25">
        <f t="shared" si="1"/>
        <v>2.3793103448275863</v>
      </c>
      <c r="K13" s="17">
        <v>6</v>
      </c>
      <c r="L13" s="17">
        <v>4</v>
      </c>
      <c r="M13" s="17">
        <v>14</v>
      </c>
      <c r="N13" s="17">
        <v>0</v>
      </c>
      <c r="O13" s="17">
        <v>4</v>
      </c>
      <c r="P13" s="17">
        <v>1</v>
      </c>
    </row>
    <row r="14" spans="2:16" x14ac:dyDescent="0.25">
      <c r="B14" s="9">
        <v>9</v>
      </c>
      <c r="D14" s="97" t="s">
        <v>9</v>
      </c>
      <c r="E14" s="17">
        <v>169</v>
      </c>
      <c r="F14" s="17">
        <v>55</v>
      </c>
      <c r="G14" s="93">
        <v>73</v>
      </c>
      <c r="H14" s="72">
        <f t="shared" si="0"/>
        <v>128</v>
      </c>
      <c r="I14" s="17">
        <v>38</v>
      </c>
      <c r="J14" s="25">
        <f t="shared" si="1"/>
        <v>0.75739644970414199</v>
      </c>
      <c r="K14" s="17">
        <v>5</v>
      </c>
      <c r="L14" s="17">
        <v>3</v>
      </c>
      <c r="M14" s="17">
        <v>5</v>
      </c>
      <c r="N14" s="17">
        <v>0</v>
      </c>
      <c r="O14" s="17">
        <v>0</v>
      </c>
      <c r="P14" s="17">
        <v>0</v>
      </c>
    </row>
    <row r="15" spans="2:16" x14ac:dyDescent="0.25">
      <c r="B15" s="9">
        <v>10</v>
      </c>
      <c r="D15" s="97" t="s">
        <v>324</v>
      </c>
      <c r="E15" s="17">
        <v>69</v>
      </c>
      <c r="F15" s="17">
        <v>64</v>
      </c>
      <c r="G15" s="93">
        <v>52</v>
      </c>
      <c r="H15" s="72">
        <f t="shared" si="0"/>
        <v>116</v>
      </c>
      <c r="I15" s="17">
        <v>28</v>
      </c>
      <c r="J15" s="25">
        <f t="shared" si="1"/>
        <v>1.681159420289855</v>
      </c>
      <c r="K15" s="17">
        <v>0</v>
      </c>
      <c r="L15" s="17">
        <v>3</v>
      </c>
      <c r="M15" s="17">
        <v>3</v>
      </c>
      <c r="N15" s="17">
        <v>0</v>
      </c>
      <c r="O15" s="17">
        <v>1</v>
      </c>
      <c r="P15" s="17">
        <v>0</v>
      </c>
    </row>
    <row r="16" spans="2:16" x14ac:dyDescent="0.25">
      <c r="B16" s="9">
        <v>11</v>
      </c>
      <c r="D16" s="97" t="s">
        <v>16</v>
      </c>
      <c r="E16" s="17">
        <v>208</v>
      </c>
      <c r="F16" s="17">
        <v>37</v>
      </c>
      <c r="G16" s="93">
        <v>73</v>
      </c>
      <c r="H16" s="72">
        <f t="shared" si="0"/>
        <v>110</v>
      </c>
      <c r="I16" s="17">
        <v>135</v>
      </c>
      <c r="J16" s="25">
        <f t="shared" si="1"/>
        <v>0.52884615384615385</v>
      </c>
      <c r="K16" s="17">
        <v>3</v>
      </c>
      <c r="L16" s="17">
        <v>3</v>
      </c>
      <c r="M16" s="17">
        <v>3</v>
      </c>
      <c r="N16" s="17">
        <v>0</v>
      </c>
      <c r="O16" s="17">
        <v>0</v>
      </c>
      <c r="P16" s="17">
        <v>0</v>
      </c>
    </row>
    <row r="17" spans="2:16" x14ac:dyDescent="0.25">
      <c r="B17" s="9">
        <v>12</v>
      </c>
      <c r="D17" s="97" t="s">
        <v>12</v>
      </c>
      <c r="E17" s="17">
        <v>170</v>
      </c>
      <c r="F17" s="17">
        <v>32</v>
      </c>
      <c r="G17" s="93">
        <v>69</v>
      </c>
      <c r="H17" s="72">
        <f t="shared" si="0"/>
        <v>101</v>
      </c>
      <c r="I17" s="17">
        <v>46</v>
      </c>
      <c r="J17" s="25">
        <f t="shared" si="1"/>
        <v>0.59411764705882353</v>
      </c>
      <c r="K17" s="17">
        <v>2</v>
      </c>
      <c r="L17" s="17">
        <v>1</v>
      </c>
      <c r="M17" s="17">
        <v>4</v>
      </c>
      <c r="N17" s="17">
        <v>0</v>
      </c>
      <c r="O17" s="17">
        <v>1</v>
      </c>
      <c r="P17" s="17">
        <v>0</v>
      </c>
    </row>
    <row r="18" spans="2:16" x14ac:dyDescent="0.25">
      <c r="B18" s="9">
        <v>13</v>
      </c>
      <c r="D18" s="97" t="s">
        <v>6</v>
      </c>
      <c r="E18" s="17">
        <v>56</v>
      </c>
      <c r="F18" s="17">
        <v>56</v>
      </c>
      <c r="G18" s="93">
        <v>36</v>
      </c>
      <c r="H18" s="72">
        <f t="shared" si="0"/>
        <v>92</v>
      </c>
      <c r="I18" s="17">
        <v>20</v>
      </c>
      <c r="J18" s="25">
        <f t="shared" si="1"/>
        <v>1.6428571428571428</v>
      </c>
      <c r="K18" s="17">
        <v>4</v>
      </c>
      <c r="L18" s="17">
        <v>1</v>
      </c>
      <c r="M18" s="17">
        <v>8</v>
      </c>
      <c r="N18" s="17">
        <v>0</v>
      </c>
      <c r="O18" s="17">
        <v>0</v>
      </c>
      <c r="P18" s="17">
        <v>0</v>
      </c>
    </row>
    <row r="19" spans="2:16" x14ac:dyDescent="0.25">
      <c r="B19" s="9">
        <v>14</v>
      </c>
      <c r="D19" t="s">
        <v>11</v>
      </c>
      <c r="E19" s="17">
        <v>77</v>
      </c>
      <c r="F19" s="17">
        <v>35</v>
      </c>
      <c r="G19" s="93">
        <v>20</v>
      </c>
      <c r="H19" s="72">
        <f t="shared" si="0"/>
        <v>55</v>
      </c>
      <c r="I19" s="17">
        <v>32</v>
      </c>
      <c r="J19" s="25">
        <f t="shared" si="1"/>
        <v>0.7142857142857143</v>
      </c>
      <c r="K19" s="17">
        <v>4</v>
      </c>
      <c r="L19" s="17">
        <v>0</v>
      </c>
      <c r="M19" s="17">
        <v>1</v>
      </c>
      <c r="N19" s="17">
        <v>0</v>
      </c>
      <c r="O19" s="17">
        <v>0</v>
      </c>
      <c r="P19" s="17">
        <v>0</v>
      </c>
    </row>
    <row r="20" spans="2:16" x14ac:dyDescent="0.25">
      <c r="B20" s="9">
        <v>15</v>
      </c>
      <c r="D20" t="s">
        <v>225</v>
      </c>
      <c r="E20" s="17">
        <v>132</v>
      </c>
      <c r="F20" s="17">
        <v>18</v>
      </c>
      <c r="G20" s="93">
        <v>36</v>
      </c>
      <c r="H20" s="72">
        <f t="shared" si="0"/>
        <v>54</v>
      </c>
      <c r="I20" s="17">
        <v>41</v>
      </c>
      <c r="J20" s="25">
        <f t="shared" si="1"/>
        <v>0.40909090909090912</v>
      </c>
      <c r="K20" s="17">
        <v>0</v>
      </c>
      <c r="L20" s="17">
        <v>0</v>
      </c>
      <c r="M20" s="17">
        <v>2</v>
      </c>
      <c r="N20" s="17">
        <v>0</v>
      </c>
      <c r="O20" s="17">
        <v>1</v>
      </c>
      <c r="P20" s="17">
        <v>0</v>
      </c>
    </row>
    <row r="21" spans="2:16" x14ac:dyDescent="0.25">
      <c r="B21" s="9">
        <v>16</v>
      </c>
      <c r="D21" t="s">
        <v>1178</v>
      </c>
      <c r="E21" s="17">
        <v>36</v>
      </c>
      <c r="F21" s="17">
        <v>25</v>
      </c>
      <c r="G21" s="93">
        <v>28</v>
      </c>
      <c r="H21" s="72">
        <f t="shared" si="0"/>
        <v>53</v>
      </c>
      <c r="I21" s="17">
        <v>10</v>
      </c>
      <c r="J21" s="25">
        <f t="shared" si="1"/>
        <v>1.4722222222222223</v>
      </c>
      <c r="K21" s="17">
        <v>3</v>
      </c>
      <c r="L21" s="17">
        <v>2</v>
      </c>
      <c r="M21" s="17">
        <v>4</v>
      </c>
      <c r="N21" s="17">
        <v>0</v>
      </c>
      <c r="O21" s="17">
        <v>0</v>
      </c>
      <c r="P21" s="17">
        <v>2</v>
      </c>
    </row>
    <row r="22" spans="2:16" x14ac:dyDescent="0.25">
      <c r="B22" s="9">
        <v>17</v>
      </c>
      <c r="D22" t="s">
        <v>358</v>
      </c>
      <c r="E22" s="17">
        <v>76</v>
      </c>
      <c r="F22" s="17">
        <v>24</v>
      </c>
      <c r="G22" s="93">
        <v>19</v>
      </c>
      <c r="H22" s="72">
        <f t="shared" si="0"/>
        <v>43</v>
      </c>
      <c r="I22" s="17">
        <v>10</v>
      </c>
      <c r="J22" s="25">
        <f t="shared" si="1"/>
        <v>0.56578947368421051</v>
      </c>
      <c r="K22" s="17">
        <v>3</v>
      </c>
      <c r="L22" s="17">
        <v>0</v>
      </c>
      <c r="M22" s="17">
        <v>4</v>
      </c>
      <c r="N22" s="17">
        <v>0</v>
      </c>
      <c r="O22" s="17">
        <v>0</v>
      </c>
      <c r="P22" s="17">
        <v>0</v>
      </c>
    </row>
    <row r="23" spans="2:16" x14ac:dyDescent="0.25">
      <c r="B23" s="9">
        <v>18</v>
      </c>
      <c r="D23" t="s">
        <v>77</v>
      </c>
      <c r="E23" s="17">
        <v>21</v>
      </c>
      <c r="F23" s="17">
        <v>17</v>
      </c>
      <c r="G23" s="93">
        <v>20</v>
      </c>
      <c r="H23" s="72">
        <f t="shared" si="0"/>
        <v>37</v>
      </c>
      <c r="I23" s="17">
        <v>61</v>
      </c>
      <c r="J23" s="25">
        <f t="shared" si="1"/>
        <v>1.7619047619047619</v>
      </c>
      <c r="K23" s="17">
        <v>0</v>
      </c>
      <c r="L23" s="17">
        <v>0</v>
      </c>
      <c r="M23" s="17">
        <v>4</v>
      </c>
      <c r="N23" s="17">
        <v>0</v>
      </c>
      <c r="O23" s="17">
        <v>2</v>
      </c>
      <c r="P23" s="17">
        <v>0</v>
      </c>
    </row>
    <row r="24" spans="2:16" x14ac:dyDescent="0.25">
      <c r="B24" s="9">
        <v>19</v>
      </c>
      <c r="D24" t="s">
        <v>1473</v>
      </c>
      <c r="E24" s="17">
        <v>26</v>
      </c>
      <c r="F24" s="17">
        <v>20</v>
      </c>
      <c r="G24" s="93">
        <v>15</v>
      </c>
      <c r="H24" s="72">
        <f t="shared" si="0"/>
        <v>35</v>
      </c>
      <c r="I24" s="17">
        <v>22</v>
      </c>
      <c r="J24" s="25">
        <f t="shared" si="1"/>
        <v>1.3461538461538463</v>
      </c>
      <c r="K24" s="17">
        <v>0</v>
      </c>
      <c r="L24" s="17">
        <v>1</v>
      </c>
      <c r="M24" s="17">
        <v>1</v>
      </c>
      <c r="N24" s="17">
        <v>0</v>
      </c>
      <c r="O24" s="17">
        <v>2</v>
      </c>
      <c r="P24" s="17">
        <v>3</v>
      </c>
    </row>
    <row r="25" spans="2:16" x14ac:dyDescent="0.25">
      <c r="B25" s="9">
        <v>20</v>
      </c>
      <c r="D25" t="s">
        <v>15</v>
      </c>
      <c r="E25" s="17">
        <v>79</v>
      </c>
      <c r="F25" s="17">
        <v>5</v>
      </c>
      <c r="G25" s="93">
        <v>28</v>
      </c>
      <c r="H25" s="72">
        <f t="shared" si="0"/>
        <v>33</v>
      </c>
      <c r="I25" s="17">
        <v>79</v>
      </c>
      <c r="J25" s="25">
        <f t="shared" si="1"/>
        <v>0.41772151898734178</v>
      </c>
      <c r="K25" s="17">
        <v>2</v>
      </c>
      <c r="L25" s="17">
        <v>0</v>
      </c>
      <c r="M25" s="17">
        <v>1</v>
      </c>
      <c r="N25" s="17">
        <v>0</v>
      </c>
      <c r="O25" s="17">
        <v>0</v>
      </c>
      <c r="P25" s="17">
        <v>0</v>
      </c>
    </row>
    <row r="26" spans="2:16" x14ac:dyDescent="0.25">
      <c r="B26" s="9">
        <v>21</v>
      </c>
      <c r="D26" t="s">
        <v>17</v>
      </c>
      <c r="E26" s="17">
        <v>44</v>
      </c>
      <c r="F26" s="17">
        <v>13</v>
      </c>
      <c r="G26" s="93">
        <v>5</v>
      </c>
      <c r="H26" s="72">
        <f t="shared" si="0"/>
        <v>18</v>
      </c>
      <c r="I26" s="17">
        <v>10</v>
      </c>
      <c r="J26" s="25">
        <f t="shared" si="1"/>
        <v>0.40909090909090912</v>
      </c>
      <c r="K26" s="17">
        <v>1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</row>
    <row r="27" spans="2:16" x14ac:dyDescent="0.25">
      <c r="B27" s="9">
        <v>22</v>
      </c>
      <c r="D27" t="s">
        <v>438</v>
      </c>
      <c r="E27" s="17">
        <v>14</v>
      </c>
      <c r="F27" s="17">
        <v>11</v>
      </c>
      <c r="G27" s="93">
        <v>5</v>
      </c>
      <c r="H27" s="72">
        <f t="shared" si="0"/>
        <v>16</v>
      </c>
      <c r="I27" s="17">
        <v>8</v>
      </c>
      <c r="J27" s="25">
        <f t="shared" si="1"/>
        <v>1.1428571428571428</v>
      </c>
      <c r="K27" s="17">
        <v>0</v>
      </c>
      <c r="L27" s="17">
        <v>0</v>
      </c>
      <c r="M27" s="17">
        <v>1</v>
      </c>
      <c r="N27" s="17">
        <v>0</v>
      </c>
      <c r="O27" s="17">
        <v>0</v>
      </c>
      <c r="P27" s="17">
        <v>0</v>
      </c>
    </row>
    <row r="28" spans="2:16" x14ac:dyDescent="0.25">
      <c r="B28" s="9">
        <v>23</v>
      </c>
      <c r="D28" t="s">
        <v>290</v>
      </c>
      <c r="E28" s="17">
        <v>12</v>
      </c>
      <c r="F28" s="17">
        <v>9</v>
      </c>
      <c r="G28" s="93">
        <v>4</v>
      </c>
      <c r="H28" s="72">
        <f t="shared" si="0"/>
        <v>13</v>
      </c>
      <c r="I28" s="17">
        <v>19</v>
      </c>
      <c r="J28" s="25">
        <f t="shared" si="1"/>
        <v>1.0833333333333333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</row>
    <row r="29" spans="2:16" x14ac:dyDescent="0.25">
      <c r="B29" s="9">
        <v>24</v>
      </c>
      <c r="D29" t="s">
        <v>1188</v>
      </c>
      <c r="E29" s="17">
        <v>13</v>
      </c>
      <c r="F29" s="17">
        <v>4</v>
      </c>
      <c r="G29" s="93">
        <v>6</v>
      </c>
      <c r="H29" s="72">
        <f t="shared" si="0"/>
        <v>10</v>
      </c>
      <c r="I29" s="17">
        <v>0</v>
      </c>
      <c r="J29" s="25">
        <f t="shared" si="1"/>
        <v>0.76923076923076927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</row>
    <row r="30" spans="2:16" x14ac:dyDescent="0.25">
      <c r="B30" s="9">
        <v>25</v>
      </c>
      <c r="D30" t="s">
        <v>75</v>
      </c>
      <c r="E30" s="17">
        <v>239</v>
      </c>
      <c r="F30" s="17">
        <v>0</v>
      </c>
      <c r="G30" s="93">
        <v>9</v>
      </c>
      <c r="H30" s="72">
        <f t="shared" si="0"/>
        <v>9</v>
      </c>
      <c r="I30" s="17">
        <v>4</v>
      </c>
      <c r="J30" s="25">
        <f t="shared" si="1"/>
        <v>3.7656903765690378E-2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</row>
    <row r="31" spans="2:16" x14ac:dyDescent="0.25">
      <c r="B31" s="9">
        <v>26</v>
      </c>
      <c r="D31" t="s">
        <v>434</v>
      </c>
      <c r="E31" s="17">
        <v>7</v>
      </c>
      <c r="F31" s="17">
        <v>4</v>
      </c>
      <c r="G31" s="93">
        <v>4</v>
      </c>
      <c r="H31" s="72">
        <f t="shared" si="0"/>
        <v>8</v>
      </c>
      <c r="I31" s="17">
        <v>2</v>
      </c>
      <c r="J31" s="25">
        <f t="shared" si="1"/>
        <v>1.1428571428571428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</row>
    <row r="32" spans="2:16" x14ac:dyDescent="0.25">
      <c r="B32" s="9">
        <v>27</v>
      </c>
      <c r="D32" t="s">
        <v>23</v>
      </c>
      <c r="E32" s="17">
        <v>15</v>
      </c>
      <c r="F32" s="17">
        <v>6</v>
      </c>
      <c r="G32" s="93">
        <v>1</v>
      </c>
      <c r="H32" s="72">
        <f t="shared" si="0"/>
        <v>7</v>
      </c>
      <c r="I32" s="17">
        <v>4</v>
      </c>
      <c r="J32" s="25">
        <f t="shared" si="1"/>
        <v>0.46666666666666667</v>
      </c>
      <c r="K32" s="17">
        <v>1</v>
      </c>
      <c r="L32" s="17">
        <v>0</v>
      </c>
      <c r="M32" s="17">
        <v>1</v>
      </c>
      <c r="N32" s="17">
        <v>0</v>
      </c>
      <c r="O32" s="17">
        <v>0</v>
      </c>
      <c r="P32" s="17">
        <v>0</v>
      </c>
    </row>
    <row r="33" spans="2:16" x14ac:dyDescent="0.25">
      <c r="B33" s="9">
        <v>28</v>
      </c>
      <c r="D33" t="s">
        <v>238</v>
      </c>
      <c r="E33" s="17">
        <v>2</v>
      </c>
      <c r="F33" s="17">
        <v>3</v>
      </c>
      <c r="G33" s="93">
        <v>4</v>
      </c>
      <c r="H33" s="72">
        <f t="shared" si="0"/>
        <v>7</v>
      </c>
      <c r="I33" s="17">
        <v>2</v>
      </c>
      <c r="J33" s="25">
        <f t="shared" si="1"/>
        <v>3.5</v>
      </c>
      <c r="K33" s="17">
        <v>1</v>
      </c>
      <c r="L33" s="17">
        <v>0</v>
      </c>
      <c r="M33" s="17">
        <v>1</v>
      </c>
      <c r="N33" s="17">
        <v>0</v>
      </c>
      <c r="O33" s="17">
        <v>0</v>
      </c>
      <c r="P33" s="17">
        <v>0</v>
      </c>
    </row>
    <row r="34" spans="2:16" x14ac:dyDescent="0.25">
      <c r="B34" s="9">
        <v>29</v>
      </c>
      <c r="D34" t="s">
        <v>20</v>
      </c>
      <c r="E34" s="17">
        <v>16</v>
      </c>
      <c r="F34" s="17">
        <v>3</v>
      </c>
      <c r="G34" s="93">
        <v>3</v>
      </c>
      <c r="H34" s="72">
        <f t="shared" si="0"/>
        <v>6</v>
      </c>
      <c r="I34" s="17">
        <v>10</v>
      </c>
      <c r="J34" s="25">
        <f t="shared" si="1"/>
        <v>0.375</v>
      </c>
      <c r="K34" s="17">
        <v>1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</row>
    <row r="35" spans="2:16" x14ac:dyDescent="0.25">
      <c r="B35" s="9">
        <v>30</v>
      </c>
      <c r="D35" t="s">
        <v>24</v>
      </c>
      <c r="E35" s="17">
        <v>16</v>
      </c>
      <c r="F35" s="17">
        <v>3</v>
      </c>
      <c r="G35" s="93">
        <v>2</v>
      </c>
      <c r="H35" s="72">
        <f t="shared" si="0"/>
        <v>5</v>
      </c>
      <c r="I35" s="17">
        <v>4</v>
      </c>
      <c r="J35" s="25">
        <f t="shared" si="1"/>
        <v>0.3125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</row>
    <row r="36" spans="2:16" x14ac:dyDescent="0.25">
      <c r="B36" s="9">
        <v>31</v>
      </c>
      <c r="D36" t="s">
        <v>1182</v>
      </c>
      <c r="E36" s="17">
        <v>19</v>
      </c>
      <c r="F36" s="17">
        <v>3</v>
      </c>
      <c r="G36" s="93">
        <v>2</v>
      </c>
      <c r="H36" s="72">
        <f t="shared" si="0"/>
        <v>5</v>
      </c>
      <c r="I36" s="17">
        <v>0</v>
      </c>
      <c r="J36" s="25">
        <f t="shared" si="1"/>
        <v>0.26315789473684209</v>
      </c>
      <c r="K36" s="17">
        <v>0</v>
      </c>
      <c r="L36" s="17">
        <v>0</v>
      </c>
      <c r="M36" s="17">
        <v>1</v>
      </c>
      <c r="N36" s="17">
        <v>0</v>
      </c>
      <c r="O36" s="17">
        <v>2</v>
      </c>
      <c r="P36" s="17">
        <v>0</v>
      </c>
    </row>
    <row r="37" spans="2:16" x14ac:dyDescent="0.25">
      <c r="B37" s="9">
        <v>32</v>
      </c>
      <c r="D37" t="s">
        <v>25</v>
      </c>
      <c r="E37" s="17">
        <v>11</v>
      </c>
      <c r="F37" s="17">
        <v>1</v>
      </c>
      <c r="G37" s="93">
        <v>4</v>
      </c>
      <c r="H37" s="72">
        <f t="shared" si="0"/>
        <v>5</v>
      </c>
      <c r="I37" s="17">
        <v>4</v>
      </c>
      <c r="J37" s="25">
        <f t="shared" si="1"/>
        <v>0.45454545454545453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</row>
    <row r="38" spans="2:16" x14ac:dyDescent="0.25">
      <c r="B38" s="9">
        <v>33</v>
      </c>
      <c r="D38" t="s">
        <v>19</v>
      </c>
      <c r="E38" s="17">
        <v>2</v>
      </c>
      <c r="F38" s="17">
        <v>3</v>
      </c>
      <c r="G38" s="93">
        <v>1</v>
      </c>
      <c r="H38" s="72">
        <f t="shared" ref="H38:H63" si="2">F38+G38</f>
        <v>4</v>
      </c>
      <c r="I38" s="17">
        <v>12</v>
      </c>
      <c r="J38" s="25">
        <f t="shared" ref="J38:J63" si="3">H38/E38</f>
        <v>2</v>
      </c>
      <c r="K38" s="17">
        <v>0</v>
      </c>
      <c r="L38" s="17">
        <v>1</v>
      </c>
      <c r="M38" s="17">
        <v>0</v>
      </c>
      <c r="N38" s="17">
        <v>0</v>
      </c>
      <c r="O38" s="17">
        <v>0</v>
      </c>
      <c r="P38" s="17">
        <v>0</v>
      </c>
    </row>
    <row r="39" spans="2:16" x14ac:dyDescent="0.25">
      <c r="B39" s="9">
        <v>34</v>
      </c>
      <c r="D39" t="s">
        <v>400</v>
      </c>
      <c r="E39" s="17">
        <v>2</v>
      </c>
      <c r="F39" s="17">
        <v>3</v>
      </c>
      <c r="G39" s="93">
        <v>1</v>
      </c>
      <c r="H39" s="72">
        <f t="shared" si="2"/>
        <v>4</v>
      </c>
      <c r="I39" s="17">
        <v>0</v>
      </c>
      <c r="J39" s="25">
        <f t="shared" si="3"/>
        <v>2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</row>
    <row r="40" spans="2:16" x14ac:dyDescent="0.25">
      <c r="B40" s="9">
        <v>35</v>
      </c>
      <c r="D40" t="s">
        <v>18</v>
      </c>
      <c r="E40" s="17">
        <v>2</v>
      </c>
      <c r="F40" s="17">
        <v>3</v>
      </c>
      <c r="G40" s="93">
        <v>0</v>
      </c>
      <c r="H40" s="72">
        <f t="shared" si="2"/>
        <v>3</v>
      </c>
      <c r="I40" s="17">
        <v>0</v>
      </c>
      <c r="J40" s="25">
        <f t="shared" si="3"/>
        <v>1.5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</row>
    <row r="41" spans="2:16" x14ac:dyDescent="0.25">
      <c r="B41" s="9">
        <v>36</v>
      </c>
      <c r="D41" t="s">
        <v>1474</v>
      </c>
      <c r="E41" s="17">
        <v>6</v>
      </c>
      <c r="F41" s="17">
        <v>3</v>
      </c>
      <c r="G41" s="93">
        <v>0</v>
      </c>
      <c r="H41" s="72">
        <f t="shared" si="2"/>
        <v>3</v>
      </c>
      <c r="I41" s="17">
        <v>4</v>
      </c>
      <c r="J41" s="25">
        <f t="shared" si="3"/>
        <v>0.5</v>
      </c>
      <c r="K41" s="17">
        <v>0</v>
      </c>
      <c r="L41" s="17">
        <v>0</v>
      </c>
      <c r="M41" s="17">
        <v>0</v>
      </c>
      <c r="N41" s="17">
        <v>1</v>
      </c>
      <c r="O41" s="17">
        <v>0</v>
      </c>
      <c r="P41" s="17">
        <v>0</v>
      </c>
    </row>
    <row r="42" spans="2:16" x14ac:dyDescent="0.25">
      <c r="B42" s="9">
        <v>37</v>
      </c>
      <c r="D42" t="s">
        <v>82</v>
      </c>
      <c r="E42" s="17">
        <v>5</v>
      </c>
      <c r="F42" s="17">
        <v>2</v>
      </c>
      <c r="G42" s="93">
        <v>1</v>
      </c>
      <c r="H42" s="72">
        <f t="shared" si="2"/>
        <v>3</v>
      </c>
      <c r="I42" s="17">
        <v>0</v>
      </c>
      <c r="J42" s="25">
        <f t="shared" si="3"/>
        <v>0.6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</row>
    <row r="43" spans="2:16" x14ac:dyDescent="0.25">
      <c r="B43" s="9">
        <v>38</v>
      </c>
      <c r="D43" t="s">
        <v>26</v>
      </c>
      <c r="E43" s="17">
        <v>2</v>
      </c>
      <c r="F43" s="17">
        <v>0</v>
      </c>
      <c r="G43" s="93">
        <v>3</v>
      </c>
      <c r="H43" s="72">
        <f t="shared" si="2"/>
        <v>3</v>
      </c>
      <c r="I43" s="17">
        <v>0</v>
      </c>
      <c r="J43" s="25">
        <f t="shared" si="3"/>
        <v>1.5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</row>
    <row r="44" spans="2:16" x14ac:dyDescent="0.25">
      <c r="B44" s="9">
        <v>39</v>
      </c>
      <c r="D44" t="s">
        <v>255</v>
      </c>
      <c r="E44" s="17">
        <v>4</v>
      </c>
      <c r="F44" s="17">
        <v>1</v>
      </c>
      <c r="G44" s="93">
        <v>1</v>
      </c>
      <c r="H44" s="72">
        <f t="shared" si="2"/>
        <v>2</v>
      </c>
      <c r="I44" s="17">
        <v>0</v>
      </c>
      <c r="J44" s="25">
        <f t="shared" si="3"/>
        <v>0.5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</row>
    <row r="45" spans="2:16" x14ac:dyDescent="0.25">
      <c r="B45" s="9">
        <v>40</v>
      </c>
      <c r="D45" t="s">
        <v>1518</v>
      </c>
      <c r="E45" s="17">
        <v>12</v>
      </c>
      <c r="F45" s="17">
        <v>1</v>
      </c>
      <c r="G45" s="93">
        <v>1</v>
      </c>
      <c r="H45" s="72">
        <f t="shared" si="2"/>
        <v>2</v>
      </c>
      <c r="I45" s="17">
        <v>4</v>
      </c>
      <c r="J45" s="25">
        <f t="shared" si="3"/>
        <v>0.16666666666666666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1</v>
      </c>
    </row>
    <row r="46" spans="2:16" x14ac:dyDescent="0.25">
      <c r="B46" s="9">
        <v>41</v>
      </c>
      <c r="D46" t="s">
        <v>402</v>
      </c>
      <c r="E46" s="17">
        <v>2</v>
      </c>
      <c r="F46" s="17">
        <v>0</v>
      </c>
      <c r="G46" s="93">
        <v>2</v>
      </c>
      <c r="H46" s="72">
        <f t="shared" si="2"/>
        <v>2</v>
      </c>
      <c r="I46" s="17">
        <v>0</v>
      </c>
      <c r="J46" s="25">
        <f t="shared" si="3"/>
        <v>1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</row>
    <row r="47" spans="2:16" x14ac:dyDescent="0.25">
      <c r="B47" s="9">
        <v>42</v>
      </c>
      <c r="D47" t="s">
        <v>22</v>
      </c>
      <c r="E47" s="17">
        <v>19</v>
      </c>
      <c r="F47" s="17">
        <v>0</v>
      </c>
      <c r="G47" s="93">
        <v>2</v>
      </c>
      <c r="H47" s="72">
        <f t="shared" si="2"/>
        <v>2</v>
      </c>
      <c r="I47" s="17">
        <v>10</v>
      </c>
      <c r="J47" s="25">
        <f t="shared" si="3"/>
        <v>0.10526315789473684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</row>
    <row r="48" spans="2:16" x14ac:dyDescent="0.25">
      <c r="B48" s="9">
        <v>43</v>
      </c>
      <c r="D48" t="s">
        <v>27</v>
      </c>
      <c r="E48" s="17">
        <v>6</v>
      </c>
      <c r="F48" s="17">
        <v>1</v>
      </c>
      <c r="G48" s="93">
        <v>0</v>
      </c>
      <c r="H48" s="72">
        <f t="shared" si="2"/>
        <v>1</v>
      </c>
      <c r="I48" s="17">
        <v>0</v>
      </c>
      <c r="J48" s="25">
        <f t="shared" si="3"/>
        <v>0.16666666666666666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</row>
    <row r="49" spans="2:16" x14ac:dyDescent="0.25">
      <c r="B49" s="9">
        <v>44</v>
      </c>
      <c r="D49" t="s">
        <v>91</v>
      </c>
      <c r="E49" s="17">
        <v>4</v>
      </c>
      <c r="F49" s="17">
        <v>0</v>
      </c>
      <c r="G49" s="93">
        <v>1</v>
      </c>
      <c r="H49" s="72">
        <f t="shared" si="2"/>
        <v>1</v>
      </c>
      <c r="I49" s="17">
        <v>0</v>
      </c>
      <c r="J49" s="25">
        <f t="shared" si="3"/>
        <v>0.25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</row>
    <row r="50" spans="2:16" x14ac:dyDescent="0.25">
      <c r="B50" s="9">
        <v>45</v>
      </c>
      <c r="D50" t="s">
        <v>254</v>
      </c>
      <c r="E50" s="17">
        <v>8</v>
      </c>
      <c r="F50" s="17">
        <v>0</v>
      </c>
      <c r="G50" s="93">
        <v>1</v>
      </c>
      <c r="H50" s="72">
        <f t="shared" si="2"/>
        <v>1</v>
      </c>
      <c r="I50" s="17">
        <v>0</v>
      </c>
      <c r="J50" s="25">
        <f t="shared" si="3"/>
        <v>0.125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</row>
    <row r="51" spans="2:16" x14ac:dyDescent="0.25">
      <c r="B51" s="9">
        <v>46</v>
      </c>
      <c r="D51" t="s">
        <v>28</v>
      </c>
      <c r="E51" s="17">
        <v>16</v>
      </c>
      <c r="F51" s="17">
        <v>0</v>
      </c>
      <c r="G51" s="93">
        <v>0</v>
      </c>
      <c r="H51" s="72">
        <f t="shared" si="2"/>
        <v>0</v>
      </c>
      <c r="I51" s="17">
        <v>2</v>
      </c>
      <c r="J51" s="25">
        <f t="shared" si="3"/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</row>
    <row r="52" spans="2:16" x14ac:dyDescent="0.25">
      <c r="B52" s="9">
        <v>47</v>
      </c>
      <c r="D52" t="s">
        <v>435</v>
      </c>
      <c r="E52" s="17">
        <v>13</v>
      </c>
      <c r="F52" s="17">
        <v>0</v>
      </c>
      <c r="G52" s="93">
        <v>0</v>
      </c>
      <c r="H52" s="72">
        <f t="shared" si="2"/>
        <v>0</v>
      </c>
      <c r="I52" s="17">
        <v>0</v>
      </c>
      <c r="J52" s="25">
        <f t="shared" si="3"/>
        <v>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</row>
    <row r="53" spans="2:16" x14ac:dyDescent="0.25">
      <c r="B53" s="9">
        <v>48</v>
      </c>
      <c r="D53" t="s">
        <v>231</v>
      </c>
      <c r="E53" s="17">
        <v>8</v>
      </c>
      <c r="F53" s="17">
        <v>0</v>
      </c>
      <c r="G53" s="93">
        <v>0</v>
      </c>
      <c r="H53" s="72">
        <f t="shared" si="2"/>
        <v>0</v>
      </c>
      <c r="I53" s="17">
        <v>0</v>
      </c>
      <c r="J53" s="25">
        <f t="shared" si="3"/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</row>
    <row r="54" spans="2:16" x14ac:dyDescent="0.25">
      <c r="B54" s="9">
        <v>49</v>
      </c>
      <c r="D54" t="s">
        <v>294</v>
      </c>
      <c r="E54" s="17">
        <v>8</v>
      </c>
      <c r="F54" s="17">
        <v>0</v>
      </c>
      <c r="G54" s="93">
        <v>0</v>
      </c>
      <c r="H54" s="72">
        <f t="shared" si="2"/>
        <v>0</v>
      </c>
      <c r="I54" s="17">
        <v>0</v>
      </c>
      <c r="J54" s="25">
        <f t="shared" si="3"/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</row>
    <row r="55" spans="2:16" x14ac:dyDescent="0.25">
      <c r="B55" s="9">
        <v>50</v>
      </c>
      <c r="D55" t="s">
        <v>29</v>
      </c>
      <c r="E55" s="17">
        <v>6</v>
      </c>
      <c r="F55" s="17">
        <v>0</v>
      </c>
      <c r="G55" s="93">
        <v>0</v>
      </c>
      <c r="H55" s="72">
        <f t="shared" si="2"/>
        <v>0</v>
      </c>
      <c r="I55" s="17">
        <v>2</v>
      </c>
      <c r="J55" s="25">
        <f t="shared" si="3"/>
        <v>0</v>
      </c>
      <c r="K55" s="17">
        <v>0</v>
      </c>
      <c r="L55" s="17">
        <v>0</v>
      </c>
      <c r="M55" s="17">
        <v>0</v>
      </c>
      <c r="N55" s="17">
        <v>0</v>
      </c>
      <c r="O55" s="17">
        <v>0</v>
      </c>
      <c r="P55" s="17">
        <v>0</v>
      </c>
    </row>
    <row r="56" spans="2:16" x14ac:dyDescent="0.25">
      <c r="B56" s="9">
        <v>51</v>
      </c>
      <c r="D56" t="s">
        <v>35</v>
      </c>
      <c r="E56" s="17">
        <v>4</v>
      </c>
      <c r="F56" s="17">
        <v>0</v>
      </c>
      <c r="G56" s="93">
        <v>0</v>
      </c>
      <c r="H56" s="72">
        <f t="shared" si="2"/>
        <v>0</v>
      </c>
      <c r="I56" s="17">
        <v>0</v>
      </c>
      <c r="J56" s="25">
        <f t="shared" si="3"/>
        <v>0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</row>
    <row r="57" spans="2:16" x14ac:dyDescent="0.25">
      <c r="B57" s="9">
        <v>52</v>
      </c>
      <c r="D57" t="s">
        <v>1193</v>
      </c>
      <c r="E57" s="17">
        <v>3</v>
      </c>
      <c r="F57" s="17">
        <v>0</v>
      </c>
      <c r="G57" s="93">
        <v>0</v>
      </c>
      <c r="H57" s="72">
        <f t="shared" si="2"/>
        <v>0</v>
      </c>
      <c r="I57" s="17">
        <v>0</v>
      </c>
      <c r="J57" s="25">
        <f t="shared" si="3"/>
        <v>0</v>
      </c>
      <c r="K57" s="17">
        <v>0</v>
      </c>
      <c r="L57" s="17">
        <v>0</v>
      </c>
      <c r="M57" s="17">
        <v>0</v>
      </c>
      <c r="N57" s="17">
        <v>0</v>
      </c>
      <c r="O57" s="17">
        <v>0</v>
      </c>
      <c r="P57" s="17">
        <v>0</v>
      </c>
    </row>
    <row r="58" spans="2:16" x14ac:dyDescent="0.25">
      <c r="B58" s="9">
        <v>53</v>
      </c>
      <c r="D58" t="s">
        <v>21</v>
      </c>
      <c r="E58" s="17">
        <v>2</v>
      </c>
      <c r="F58" s="17">
        <v>0</v>
      </c>
      <c r="G58" s="93">
        <v>0</v>
      </c>
      <c r="H58" s="72">
        <f t="shared" si="2"/>
        <v>0</v>
      </c>
      <c r="I58" s="17">
        <v>0</v>
      </c>
      <c r="J58" s="25">
        <f t="shared" si="3"/>
        <v>0</v>
      </c>
      <c r="K58" s="17">
        <v>0</v>
      </c>
      <c r="L58" s="17">
        <v>0</v>
      </c>
      <c r="M58" s="17">
        <v>0</v>
      </c>
      <c r="N58" s="17">
        <v>0</v>
      </c>
      <c r="O58" s="17">
        <v>0</v>
      </c>
      <c r="P58" s="17">
        <v>0</v>
      </c>
    </row>
    <row r="59" spans="2:16" x14ac:dyDescent="0.25">
      <c r="B59" s="9">
        <v>54</v>
      </c>
      <c r="D59" t="s">
        <v>1369</v>
      </c>
      <c r="E59" s="17">
        <v>2</v>
      </c>
      <c r="F59" s="17">
        <v>0</v>
      </c>
      <c r="G59" s="93">
        <v>0</v>
      </c>
      <c r="H59" s="72">
        <f t="shared" si="2"/>
        <v>0</v>
      </c>
      <c r="I59" s="17">
        <v>0</v>
      </c>
      <c r="J59" s="25">
        <f t="shared" si="3"/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</row>
    <row r="60" spans="2:16" x14ac:dyDescent="0.25">
      <c r="B60" s="9">
        <v>55</v>
      </c>
      <c r="D60" t="s">
        <v>34</v>
      </c>
      <c r="E60" s="17">
        <v>1</v>
      </c>
      <c r="F60" s="17">
        <v>0</v>
      </c>
      <c r="G60" s="93">
        <v>0</v>
      </c>
      <c r="H60" s="72">
        <f t="shared" si="2"/>
        <v>0</v>
      </c>
      <c r="I60" s="17">
        <v>0</v>
      </c>
      <c r="J60" s="25">
        <f t="shared" si="3"/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</row>
    <row r="61" spans="2:16" x14ac:dyDescent="0.25">
      <c r="B61" s="9">
        <v>56</v>
      </c>
      <c r="D61" t="s">
        <v>36</v>
      </c>
      <c r="E61" s="17">
        <v>1</v>
      </c>
      <c r="F61" s="17">
        <v>0</v>
      </c>
      <c r="G61" s="93">
        <v>0</v>
      </c>
      <c r="H61" s="72">
        <f t="shared" si="2"/>
        <v>0</v>
      </c>
      <c r="I61" s="17">
        <v>0</v>
      </c>
      <c r="J61" s="25">
        <f t="shared" si="3"/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</row>
    <row r="62" spans="2:16" x14ac:dyDescent="0.25">
      <c r="B62" s="9">
        <v>57</v>
      </c>
      <c r="D62" t="s">
        <v>1191</v>
      </c>
      <c r="E62" s="17">
        <v>1</v>
      </c>
      <c r="F62" s="17">
        <v>0</v>
      </c>
      <c r="G62" s="93">
        <v>0</v>
      </c>
      <c r="H62" s="72">
        <f t="shared" si="2"/>
        <v>0</v>
      </c>
      <c r="I62" s="17">
        <v>0</v>
      </c>
      <c r="J62" s="25">
        <f t="shared" si="3"/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</row>
    <row r="63" spans="2:16" x14ac:dyDescent="0.25">
      <c r="B63" s="9">
        <v>58</v>
      </c>
      <c r="D63" t="s">
        <v>1672</v>
      </c>
      <c r="E63" s="17">
        <v>4</v>
      </c>
      <c r="F63" s="17">
        <v>0</v>
      </c>
      <c r="G63" s="93">
        <v>0</v>
      </c>
      <c r="H63" s="72">
        <f t="shared" si="2"/>
        <v>0</v>
      </c>
      <c r="I63" s="17">
        <v>0</v>
      </c>
      <c r="J63" s="25">
        <f t="shared" si="3"/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</row>
    <row r="65" spans="2:33" x14ac:dyDescent="0.25">
      <c r="D65" t="s">
        <v>47</v>
      </c>
    </row>
    <row r="69" spans="2:33" x14ac:dyDescent="0.25">
      <c r="C69" s="99" t="s">
        <v>1643</v>
      </c>
      <c r="D69" s="99"/>
    </row>
    <row r="70" spans="2:33" x14ac:dyDescent="0.25">
      <c r="D70" s="1"/>
    </row>
    <row r="71" spans="2:33" x14ac:dyDescent="0.25">
      <c r="D71" s="8" t="s">
        <v>0</v>
      </c>
      <c r="E71" s="18" t="s">
        <v>1</v>
      </c>
      <c r="F71" s="18" t="s">
        <v>2</v>
      </c>
      <c r="G71" s="94" t="s">
        <v>3</v>
      </c>
      <c r="H71" s="71" t="s">
        <v>4</v>
      </c>
      <c r="I71" s="18" t="s">
        <v>5</v>
      </c>
      <c r="J71" s="18" t="s">
        <v>38</v>
      </c>
      <c r="K71" s="18" t="s">
        <v>41</v>
      </c>
      <c r="L71" s="18" t="s">
        <v>42</v>
      </c>
      <c r="M71" s="18" t="s">
        <v>45</v>
      </c>
      <c r="N71" s="18" t="s">
        <v>46</v>
      </c>
      <c r="O71" s="18" t="s">
        <v>44</v>
      </c>
      <c r="P71" s="18" t="s">
        <v>43</v>
      </c>
    </row>
    <row r="72" spans="2:33" x14ac:dyDescent="0.25">
      <c r="B72" s="9">
        <v>1</v>
      </c>
      <c r="D72" t="s">
        <v>1178</v>
      </c>
      <c r="E72" s="17">
        <v>6</v>
      </c>
      <c r="F72" s="17">
        <v>9</v>
      </c>
      <c r="G72" s="93">
        <v>8</v>
      </c>
      <c r="H72" s="72">
        <f t="shared" ref="H72:H87" si="4">F72+G72</f>
        <v>17</v>
      </c>
      <c r="I72" s="17">
        <v>4</v>
      </c>
      <c r="J72" s="25">
        <f t="shared" ref="J72:J87" si="5">H72/E72</f>
        <v>2.8333333333333335</v>
      </c>
      <c r="K72" s="17">
        <v>1</v>
      </c>
      <c r="L72" s="17">
        <v>1</v>
      </c>
      <c r="M72" s="17">
        <v>1</v>
      </c>
      <c r="N72" s="17">
        <v>0</v>
      </c>
      <c r="O72" s="17">
        <v>0</v>
      </c>
      <c r="P72" s="17">
        <v>1</v>
      </c>
    </row>
    <row r="73" spans="2:33" x14ac:dyDescent="0.25">
      <c r="B73" s="9">
        <v>2</v>
      </c>
      <c r="D73" t="s">
        <v>324</v>
      </c>
      <c r="E73" s="17">
        <v>6</v>
      </c>
      <c r="F73" s="17">
        <v>4</v>
      </c>
      <c r="G73" s="93">
        <v>8</v>
      </c>
      <c r="H73" s="72">
        <f t="shared" si="4"/>
        <v>12</v>
      </c>
      <c r="I73" s="17">
        <v>6</v>
      </c>
      <c r="J73" s="25">
        <f t="shared" si="5"/>
        <v>2</v>
      </c>
      <c r="K73" s="17">
        <v>0</v>
      </c>
      <c r="L73" s="17">
        <v>1</v>
      </c>
      <c r="M73" s="17">
        <v>1</v>
      </c>
      <c r="N73" s="17">
        <v>0</v>
      </c>
      <c r="O73" s="17">
        <v>1</v>
      </c>
      <c r="P73" s="17">
        <v>0</v>
      </c>
    </row>
    <row r="74" spans="2:33" x14ac:dyDescent="0.25">
      <c r="B74" s="9">
        <v>3</v>
      </c>
      <c r="D74" t="s">
        <v>7</v>
      </c>
      <c r="E74" s="17">
        <v>2</v>
      </c>
      <c r="F74" s="17">
        <v>6</v>
      </c>
      <c r="G74" s="93">
        <v>2</v>
      </c>
      <c r="H74" s="72">
        <f t="shared" si="4"/>
        <v>8</v>
      </c>
      <c r="I74" s="17">
        <v>0</v>
      </c>
      <c r="J74" s="25">
        <f t="shared" si="5"/>
        <v>4</v>
      </c>
      <c r="K74" s="17">
        <v>0</v>
      </c>
      <c r="L74" s="17">
        <v>0</v>
      </c>
      <c r="M74" s="17">
        <v>1</v>
      </c>
      <c r="N74" s="17">
        <v>0</v>
      </c>
      <c r="O74" s="17">
        <v>0</v>
      </c>
      <c r="P74" s="17">
        <v>1</v>
      </c>
    </row>
    <row r="75" spans="2:33" x14ac:dyDescent="0.25">
      <c r="B75" s="9">
        <v>4</v>
      </c>
      <c r="D75" t="s">
        <v>1473</v>
      </c>
      <c r="E75" s="17">
        <v>4</v>
      </c>
      <c r="F75" s="17">
        <v>5</v>
      </c>
      <c r="G75" s="93">
        <v>3</v>
      </c>
      <c r="H75" s="72">
        <f t="shared" si="4"/>
        <v>8</v>
      </c>
      <c r="I75" s="17">
        <v>2</v>
      </c>
      <c r="J75" s="25">
        <f t="shared" si="5"/>
        <v>2</v>
      </c>
      <c r="K75" s="17">
        <v>0</v>
      </c>
      <c r="L75" s="17">
        <v>1</v>
      </c>
      <c r="M75" s="17">
        <v>0</v>
      </c>
      <c r="N75" s="17">
        <v>0</v>
      </c>
      <c r="O75" s="17">
        <v>0</v>
      </c>
      <c r="P75" s="17">
        <v>1</v>
      </c>
    </row>
    <row r="76" spans="2:33" x14ac:dyDescent="0.25">
      <c r="B76" s="9">
        <v>5</v>
      </c>
      <c r="D76" t="s">
        <v>30</v>
      </c>
      <c r="E76" s="17">
        <v>6</v>
      </c>
      <c r="F76" s="17">
        <v>5</v>
      </c>
      <c r="G76" s="93">
        <v>3</v>
      </c>
      <c r="H76" s="72">
        <f t="shared" si="4"/>
        <v>8</v>
      </c>
      <c r="I76" s="17">
        <v>4</v>
      </c>
      <c r="J76" s="25">
        <f t="shared" si="5"/>
        <v>1.3333333333333333</v>
      </c>
      <c r="K76" s="17">
        <v>0</v>
      </c>
      <c r="L76" s="17">
        <v>0</v>
      </c>
      <c r="M76" s="17">
        <v>1</v>
      </c>
      <c r="N76" s="17">
        <v>0</v>
      </c>
      <c r="O76" s="17">
        <v>0</v>
      </c>
      <c r="P76" s="17">
        <v>0</v>
      </c>
    </row>
    <row r="77" spans="2:33" x14ac:dyDescent="0.25">
      <c r="B77" s="9">
        <v>6</v>
      </c>
      <c r="D77" t="s">
        <v>434</v>
      </c>
      <c r="E77" s="17">
        <v>6</v>
      </c>
      <c r="F77" s="17">
        <v>4</v>
      </c>
      <c r="G77" s="93">
        <v>3</v>
      </c>
      <c r="H77" s="72">
        <f t="shared" si="4"/>
        <v>7</v>
      </c>
      <c r="I77" s="17">
        <v>2</v>
      </c>
      <c r="J77" s="25">
        <f t="shared" si="5"/>
        <v>1.1666666666666667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Z77" s="17"/>
      <c r="AA77" s="17"/>
      <c r="AB77" s="17"/>
      <c r="AC77" s="31"/>
      <c r="AD77" s="17"/>
      <c r="AE77" s="25"/>
      <c r="AF77" s="17"/>
      <c r="AG77" s="17"/>
    </row>
    <row r="78" spans="2:33" x14ac:dyDescent="0.25">
      <c r="B78" s="9">
        <v>7</v>
      </c>
      <c r="D78" t="s">
        <v>16</v>
      </c>
      <c r="E78" s="17">
        <v>5</v>
      </c>
      <c r="F78" s="17">
        <v>2</v>
      </c>
      <c r="G78" s="93">
        <v>3</v>
      </c>
      <c r="H78" s="72">
        <f t="shared" si="4"/>
        <v>5</v>
      </c>
      <c r="I78" s="17">
        <v>4</v>
      </c>
      <c r="J78" s="25">
        <f t="shared" si="5"/>
        <v>1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</row>
    <row r="79" spans="2:33" x14ac:dyDescent="0.25">
      <c r="B79" s="9">
        <v>8</v>
      </c>
      <c r="D79" t="s">
        <v>358</v>
      </c>
      <c r="E79" s="17">
        <v>6</v>
      </c>
      <c r="F79" s="17">
        <v>1</v>
      </c>
      <c r="G79" s="93">
        <v>2</v>
      </c>
      <c r="H79" s="72">
        <f t="shared" si="4"/>
        <v>3</v>
      </c>
      <c r="I79" s="17">
        <v>0</v>
      </c>
      <c r="J79" s="25">
        <f t="shared" si="5"/>
        <v>0.5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</row>
    <row r="80" spans="2:33" x14ac:dyDescent="0.25">
      <c r="B80" s="9">
        <v>9</v>
      </c>
      <c r="D80" t="s">
        <v>10</v>
      </c>
      <c r="E80" s="17">
        <v>2</v>
      </c>
      <c r="F80" s="17">
        <v>2</v>
      </c>
      <c r="G80" s="93">
        <v>0</v>
      </c>
      <c r="H80" s="72">
        <f t="shared" si="4"/>
        <v>2</v>
      </c>
      <c r="I80" s="17">
        <v>0</v>
      </c>
      <c r="J80" s="25">
        <f t="shared" si="5"/>
        <v>1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</row>
    <row r="81" spans="2:16" x14ac:dyDescent="0.25">
      <c r="B81" s="9">
        <v>10</v>
      </c>
      <c r="D81" t="s">
        <v>8</v>
      </c>
      <c r="E81" s="17">
        <v>2</v>
      </c>
      <c r="F81" s="17">
        <v>1</v>
      </c>
      <c r="G81" s="93">
        <v>1</v>
      </c>
      <c r="H81" s="72">
        <f t="shared" si="4"/>
        <v>2</v>
      </c>
      <c r="I81" s="17">
        <v>0</v>
      </c>
      <c r="J81" s="25">
        <f t="shared" si="5"/>
        <v>1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</row>
    <row r="82" spans="2:16" x14ac:dyDescent="0.25">
      <c r="B82" s="9">
        <v>11</v>
      </c>
      <c r="D82" t="s">
        <v>1188</v>
      </c>
      <c r="E82" s="17">
        <v>2</v>
      </c>
      <c r="F82" s="17">
        <v>1</v>
      </c>
      <c r="G82" s="93">
        <v>1</v>
      </c>
      <c r="H82" s="72">
        <f t="shared" si="4"/>
        <v>2</v>
      </c>
      <c r="I82" s="17">
        <v>0</v>
      </c>
      <c r="J82" s="25">
        <f t="shared" si="5"/>
        <v>1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</row>
    <row r="83" spans="2:16" x14ac:dyDescent="0.25">
      <c r="B83" s="9">
        <v>12</v>
      </c>
      <c r="D83" t="s">
        <v>1182</v>
      </c>
      <c r="E83" s="17">
        <v>4</v>
      </c>
      <c r="F83" s="17">
        <v>1</v>
      </c>
      <c r="G83" s="93">
        <v>0</v>
      </c>
      <c r="H83" s="72">
        <f t="shared" si="4"/>
        <v>1</v>
      </c>
      <c r="I83" s="17">
        <v>0</v>
      </c>
      <c r="J83" s="25">
        <f t="shared" si="5"/>
        <v>0.25</v>
      </c>
      <c r="K83" s="17">
        <v>0</v>
      </c>
      <c r="L83" s="17">
        <v>0</v>
      </c>
      <c r="M83" s="17">
        <v>0</v>
      </c>
      <c r="N83" s="17">
        <v>0</v>
      </c>
      <c r="O83" s="17">
        <v>1</v>
      </c>
      <c r="P83" s="17">
        <v>0</v>
      </c>
    </row>
    <row r="84" spans="2:16" x14ac:dyDescent="0.25">
      <c r="B84" s="9">
        <v>13</v>
      </c>
      <c r="D84" t="s">
        <v>1672</v>
      </c>
      <c r="E84" s="17">
        <v>4</v>
      </c>
      <c r="F84" s="17">
        <v>0</v>
      </c>
      <c r="G84" s="93">
        <v>0</v>
      </c>
      <c r="H84" s="72">
        <f t="shared" si="4"/>
        <v>0</v>
      </c>
      <c r="I84" s="17">
        <v>0</v>
      </c>
      <c r="J84" s="25">
        <f t="shared" si="5"/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</row>
    <row r="85" spans="2:16" x14ac:dyDescent="0.25">
      <c r="B85" s="9">
        <v>14</v>
      </c>
      <c r="D85" t="s">
        <v>225</v>
      </c>
      <c r="E85" s="17">
        <v>6</v>
      </c>
      <c r="F85" s="17">
        <v>0</v>
      </c>
      <c r="G85" s="93">
        <v>0</v>
      </c>
      <c r="H85" s="72">
        <f t="shared" si="4"/>
        <v>0</v>
      </c>
      <c r="I85" s="17">
        <v>4</v>
      </c>
      <c r="J85" s="25">
        <f t="shared" si="5"/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</row>
    <row r="86" spans="2:16" x14ac:dyDescent="0.25">
      <c r="B86" s="9">
        <v>15</v>
      </c>
      <c r="D86" t="s">
        <v>1518</v>
      </c>
      <c r="E86" s="17">
        <v>4</v>
      </c>
      <c r="F86" s="17">
        <v>0</v>
      </c>
      <c r="G86" s="93">
        <v>0</v>
      </c>
      <c r="H86" s="72">
        <f t="shared" si="4"/>
        <v>0</v>
      </c>
      <c r="I86" s="17">
        <v>0</v>
      </c>
      <c r="J86" s="25">
        <f t="shared" si="5"/>
        <v>0</v>
      </c>
      <c r="K86" s="17">
        <v>0</v>
      </c>
      <c r="L86" s="17">
        <v>0</v>
      </c>
      <c r="M86" s="17">
        <v>0</v>
      </c>
      <c r="N86" s="17">
        <v>0</v>
      </c>
      <c r="O86" s="17">
        <v>0</v>
      </c>
      <c r="P86" s="17">
        <v>0</v>
      </c>
    </row>
    <row r="87" spans="2:16" x14ac:dyDescent="0.25">
      <c r="B87" s="9">
        <v>16</v>
      </c>
      <c r="D87" t="s">
        <v>75</v>
      </c>
      <c r="E87" s="17">
        <v>2</v>
      </c>
      <c r="F87" s="17">
        <v>0</v>
      </c>
      <c r="G87" s="93">
        <v>0</v>
      </c>
      <c r="H87" s="72">
        <f t="shared" si="4"/>
        <v>0</v>
      </c>
      <c r="I87" s="17">
        <v>0</v>
      </c>
      <c r="J87" s="25">
        <f t="shared" si="5"/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</row>
    <row r="90" spans="2:16" x14ac:dyDescent="0.25">
      <c r="C90" s="99" t="s">
        <v>1389</v>
      </c>
      <c r="D90" s="99"/>
    </row>
    <row r="91" spans="2:16" x14ac:dyDescent="0.25">
      <c r="D91" s="1"/>
    </row>
    <row r="92" spans="2:16" x14ac:dyDescent="0.25">
      <c r="D92" s="8" t="s">
        <v>0</v>
      </c>
      <c r="E92" s="18" t="s">
        <v>1</v>
      </c>
      <c r="F92" s="18" t="s">
        <v>2</v>
      </c>
      <c r="G92" s="94" t="s">
        <v>3</v>
      </c>
      <c r="H92" s="71" t="s">
        <v>4</v>
      </c>
      <c r="I92" s="18" t="s">
        <v>5</v>
      </c>
      <c r="J92" s="18" t="s">
        <v>38</v>
      </c>
      <c r="K92" s="18" t="s">
        <v>41</v>
      </c>
      <c r="L92" s="18" t="s">
        <v>42</v>
      </c>
      <c r="M92" s="18" t="s">
        <v>45</v>
      </c>
      <c r="N92" s="18" t="s">
        <v>46</v>
      </c>
      <c r="O92" s="18" t="s">
        <v>44</v>
      </c>
      <c r="P92" s="18" t="s">
        <v>43</v>
      </c>
    </row>
    <row r="93" spans="2:16" x14ac:dyDescent="0.25">
      <c r="B93" s="9">
        <v>1</v>
      </c>
      <c r="D93" s="5" t="s">
        <v>7</v>
      </c>
      <c r="E93" s="24">
        <v>22</v>
      </c>
      <c r="F93" s="24">
        <v>18</v>
      </c>
      <c r="G93" s="95">
        <v>10</v>
      </c>
      <c r="H93" s="91">
        <f t="shared" ref="H93:H114" si="6">F93+G93</f>
        <v>28</v>
      </c>
      <c r="I93" s="24">
        <v>0</v>
      </c>
      <c r="J93" s="26">
        <f t="shared" ref="J93:J114" si="7">H93/E93</f>
        <v>1.2727272727272727</v>
      </c>
      <c r="K93" s="24">
        <v>1</v>
      </c>
      <c r="L93" s="24">
        <v>1</v>
      </c>
      <c r="M93" s="24">
        <v>0</v>
      </c>
      <c r="N93" s="24">
        <v>0</v>
      </c>
      <c r="O93" s="24">
        <v>0</v>
      </c>
      <c r="P93" s="24">
        <v>0</v>
      </c>
    </row>
    <row r="94" spans="2:16" x14ac:dyDescent="0.25">
      <c r="B94" s="9">
        <v>2</v>
      </c>
      <c r="D94" s="5" t="s">
        <v>1473</v>
      </c>
      <c r="E94" s="24">
        <v>22</v>
      </c>
      <c r="F94" s="24">
        <v>15</v>
      </c>
      <c r="G94" s="95">
        <v>12</v>
      </c>
      <c r="H94" s="91">
        <f t="shared" si="6"/>
        <v>27</v>
      </c>
      <c r="I94" s="24">
        <v>20</v>
      </c>
      <c r="J94" s="26">
        <f t="shared" si="7"/>
        <v>1.2272727272727273</v>
      </c>
      <c r="K94" s="24">
        <v>0</v>
      </c>
      <c r="L94" s="24">
        <v>0</v>
      </c>
      <c r="M94" s="24">
        <v>1</v>
      </c>
      <c r="N94" s="24">
        <v>0</v>
      </c>
      <c r="O94" s="24">
        <v>2</v>
      </c>
      <c r="P94" s="24">
        <v>2</v>
      </c>
    </row>
    <row r="95" spans="2:16" x14ac:dyDescent="0.25">
      <c r="B95" s="9">
        <v>3</v>
      </c>
      <c r="D95" s="5" t="s">
        <v>30</v>
      </c>
      <c r="E95" s="24">
        <v>24</v>
      </c>
      <c r="F95" s="24">
        <v>13</v>
      </c>
      <c r="G95" s="95">
        <v>14</v>
      </c>
      <c r="H95" s="91">
        <f t="shared" si="6"/>
        <v>27</v>
      </c>
      <c r="I95" s="24">
        <v>6</v>
      </c>
      <c r="J95" s="26">
        <f t="shared" si="7"/>
        <v>1.125</v>
      </c>
      <c r="K95" s="24">
        <v>1</v>
      </c>
      <c r="L95" s="24">
        <v>2</v>
      </c>
      <c r="M95" s="24">
        <v>0</v>
      </c>
      <c r="N95" s="24">
        <v>0</v>
      </c>
      <c r="O95" s="24">
        <v>0</v>
      </c>
      <c r="P95" s="24">
        <v>0</v>
      </c>
    </row>
    <row r="96" spans="2:16" x14ac:dyDescent="0.25">
      <c r="B96" s="9">
        <v>4</v>
      </c>
      <c r="D96" s="5" t="s">
        <v>324</v>
      </c>
      <c r="E96" s="24">
        <v>10</v>
      </c>
      <c r="F96" s="24">
        <v>10</v>
      </c>
      <c r="G96" s="95">
        <v>10</v>
      </c>
      <c r="H96" s="91">
        <f t="shared" si="6"/>
        <v>20</v>
      </c>
      <c r="I96" s="24">
        <v>6</v>
      </c>
      <c r="J96" s="26">
        <f t="shared" si="7"/>
        <v>2</v>
      </c>
      <c r="K96" s="24">
        <v>0</v>
      </c>
      <c r="L96" s="24">
        <v>0</v>
      </c>
      <c r="M96" s="24">
        <v>0</v>
      </c>
      <c r="N96" s="24">
        <v>0</v>
      </c>
      <c r="O96" s="24">
        <v>0</v>
      </c>
      <c r="P96" s="24">
        <v>0</v>
      </c>
    </row>
    <row r="97" spans="2:33" x14ac:dyDescent="0.25">
      <c r="B97" s="9">
        <v>5</v>
      </c>
      <c r="D97" s="5" t="s">
        <v>1178</v>
      </c>
      <c r="E97" s="24">
        <v>12</v>
      </c>
      <c r="F97" s="24">
        <v>9</v>
      </c>
      <c r="G97" s="95">
        <v>7</v>
      </c>
      <c r="H97" s="91">
        <f t="shared" si="6"/>
        <v>16</v>
      </c>
      <c r="I97" s="24">
        <v>2</v>
      </c>
      <c r="J97" s="26">
        <f t="shared" si="7"/>
        <v>1.3333333333333333</v>
      </c>
      <c r="K97" s="24">
        <v>1</v>
      </c>
      <c r="L97" s="24">
        <v>1</v>
      </c>
      <c r="M97" s="24">
        <v>2</v>
      </c>
      <c r="N97" s="24">
        <v>0</v>
      </c>
      <c r="O97" s="24">
        <v>0</v>
      </c>
      <c r="P97" s="24">
        <v>0</v>
      </c>
    </row>
    <row r="98" spans="2:33" x14ac:dyDescent="0.25">
      <c r="B98" s="9">
        <v>6</v>
      </c>
      <c r="D98" s="5" t="s">
        <v>39</v>
      </c>
      <c r="E98" s="24">
        <v>20</v>
      </c>
      <c r="F98" s="24">
        <v>5</v>
      </c>
      <c r="G98" s="95">
        <v>6</v>
      </c>
      <c r="H98" s="91">
        <f t="shared" si="6"/>
        <v>11</v>
      </c>
      <c r="I98" s="24">
        <v>0</v>
      </c>
      <c r="J98" s="26">
        <f t="shared" si="7"/>
        <v>0.55000000000000004</v>
      </c>
      <c r="K98" s="24">
        <v>0</v>
      </c>
      <c r="L98" s="24">
        <v>0</v>
      </c>
      <c r="M98" s="24">
        <v>0</v>
      </c>
      <c r="N98" s="24">
        <v>0</v>
      </c>
      <c r="O98" s="24">
        <v>0</v>
      </c>
      <c r="P98" s="24">
        <v>0</v>
      </c>
    </row>
    <row r="99" spans="2:33" x14ac:dyDescent="0.25">
      <c r="B99" s="9">
        <v>7</v>
      </c>
      <c r="D99" s="5" t="s">
        <v>358</v>
      </c>
      <c r="E99" s="24">
        <v>18</v>
      </c>
      <c r="F99" s="24">
        <v>8</v>
      </c>
      <c r="G99" s="95">
        <v>2</v>
      </c>
      <c r="H99" s="91">
        <f t="shared" si="6"/>
        <v>10</v>
      </c>
      <c r="I99" s="24">
        <v>4</v>
      </c>
      <c r="J99" s="26">
        <f t="shared" si="7"/>
        <v>0.55555555555555558</v>
      </c>
      <c r="K99" s="24">
        <v>1</v>
      </c>
      <c r="L99" s="24">
        <v>0</v>
      </c>
      <c r="M99" s="24">
        <v>0</v>
      </c>
      <c r="N99" s="24">
        <v>0</v>
      </c>
      <c r="O99" s="24">
        <v>0</v>
      </c>
      <c r="P99" s="24">
        <v>0</v>
      </c>
    </row>
    <row r="100" spans="2:33" x14ac:dyDescent="0.25">
      <c r="B100" s="9">
        <v>8</v>
      </c>
      <c r="D100" s="5" t="s">
        <v>10</v>
      </c>
      <c r="E100" s="24">
        <v>15</v>
      </c>
      <c r="F100" s="24">
        <v>7</v>
      </c>
      <c r="G100" s="95">
        <v>3</v>
      </c>
      <c r="H100" s="91">
        <f t="shared" si="6"/>
        <v>10</v>
      </c>
      <c r="I100" s="24">
        <v>4</v>
      </c>
      <c r="J100" s="26">
        <f t="shared" si="7"/>
        <v>0.66666666666666663</v>
      </c>
      <c r="K100" s="24">
        <v>0</v>
      </c>
      <c r="L100" s="24">
        <v>0</v>
      </c>
      <c r="M100" s="24">
        <v>0</v>
      </c>
      <c r="N100" s="24">
        <v>0</v>
      </c>
      <c r="O100" s="24">
        <v>0</v>
      </c>
      <c r="P100" s="24">
        <v>0</v>
      </c>
      <c r="Z100" s="17"/>
      <c r="AA100" s="17"/>
      <c r="AB100" s="17"/>
      <c r="AC100" s="31"/>
      <c r="AD100" s="17"/>
      <c r="AE100" s="25"/>
      <c r="AF100" s="17"/>
      <c r="AG100" s="17"/>
    </row>
    <row r="101" spans="2:33" x14ac:dyDescent="0.25">
      <c r="B101" s="9">
        <v>9</v>
      </c>
      <c r="D101" s="5" t="s">
        <v>14</v>
      </c>
      <c r="E101" s="24">
        <v>16</v>
      </c>
      <c r="F101" s="24">
        <v>3</v>
      </c>
      <c r="G101" s="95">
        <v>4</v>
      </c>
      <c r="H101" s="91">
        <f t="shared" si="6"/>
        <v>7</v>
      </c>
      <c r="I101" s="24">
        <v>6</v>
      </c>
      <c r="J101" s="26">
        <f t="shared" si="7"/>
        <v>0.4375</v>
      </c>
      <c r="K101" s="24">
        <v>1</v>
      </c>
      <c r="L101" s="24">
        <v>0</v>
      </c>
      <c r="M101" s="24">
        <v>0</v>
      </c>
      <c r="N101" s="24">
        <v>1</v>
      </c>
      <c r="O101" s="24">
        <v>0</v>
      </c>
      <c r="P101" s="24">
        <v>0</v>
      </c>
      <c r="Z101" s="17"/>
      <c r="AA101" s="17"/>
      <c r="AB101" s="17"/>
      <c r="AC101" s="31"/>
      <c r="AD101" s="17"/>
      <c r="AE101" s="25"/>
      <c r="AF101" s="17"/>
      <c r="AG101" s="17"/>
    </row>
    <row r="102" spans="2:33" x14ac:dyDescent="0.25">
      <c r="B102" s="9">
        <v>10</v>
      </c>
      <c r="D102" s="5" t="s">
        <v>1188</v>
      </c>
      <c r="E102" s="24">
        <v>8</v>
      </c>
      <c r="F102" s="24">
        <v>1</v>
      </c>
      <c r="G102" s="95">
        <v>4</v>
      </c>
      <c r="H102" s="91">
        <f t="shared" si="6"/>
        <v>5</v>
      </c>
      <c r="I102" s="24">
        <v>0</v>
      </c>
      <c r="J102" s="26">
        <f t="shared" si="7"/>
        <v>0.625</v>
      </c>
      <c r="K102" s="24">
        <v>0</v>
      </c>
      <c r="L102" s="24">
        <v>0</v>
      </c>
      <c r="M102" s="24">
        <v>0</v>
      </c>
      <c r="N102" s="24">
        <v>0</v>
      </c>
      <c r="O102" s="24">
        <v>0</v>
      </c>
      <c r="P102" s="24">
        <v>0</v>
      </c>
      <c r="Z102" s="17"/>
      <c r="AA102" s="17"/>
      <c r="AB102" s="17"/>
      <c r="AC102" s="31"/>
      <c r="AD102" s="17"/>
      <c r="AE102" s="25"/>
      <c r="AF102" s="17"/>
      <c r="AG102" s="17"/>
    </row>
    <row r="103" spans="2:33" x14ac:dyDescent="0.25">
      <c r="B103" s="9">
        <v>11</v>
      </c>
      <c r="D103" s="5" t="s">
        <v>1182</v>
      </c>
      <c r="E103" s="24">
        <v>14</v>
      </c>
      <c r="F103" s="24">
        <v>2</v>
      </c>
      <c r="G103" s="95">
        <v>2</v>
      </c>
      <c r="H103" s="91">
        <f t="shared" si="6"/>
        <v>4</v>
      </c>
      <c r="I103" s="24">
        <v>0</v>
      </c>
      <c r="J103" s="26">
        <f t="shared" si="7"/>
        <v>0.2857142857142857</v>
      </c>
      <c r="K103" s="24">
        <v>0</v>
      </c>
      <c r="L103" s="24">
        <v>0</v>
      </c>
      <c r="M103" s="24">
        <v>1</v>
      </c>
      <c r="N103" s="24">
        <v>0</v>
      </c>
      <c r="O103" s="24">
        <v>1</v>
      </c>
      <c r="P103" s="24">
        <v>0</v>
      </c>
      <c r="Z103" s="17"/>
      <c r="AA103" s="17"/>
      <c r="AB103" s="17"/>
      <c r="AC103" s="31"/>
      <c r="AD103" s="17"/>
      <c r="AE103" s="25"/>
      <c r="AF103" s="17"/>
      <c r="AG103" s="17"/>
    </row>
    <row r="104" spans="2:33" x14ac:dyDescent="0.25">
      <c r="B104" s="9">
        <v>12</v>
      </c>
      <c r="D104" s="5" t="s">
        <v>1474</v>
      </c>
      <c r="E104" s="24">
        <v>6</v>
      </c>
      <c r="F104" s="24">
        <v>3</v>
      </c>
      <c r="G104" s="95">
        <v>0</v>
      </c>
      <c r="H104" s="91">
        <f t="shared" si="6"/>
        <v>3</v>
      </c>
      <c r="I104" s="24">
        <v>4</v>
      </c>
      <c r="J104" s="26">
        <f t="shared" si="7"/>
        <v>0.5</v>
      </c>
      <c r="K104" s="24">
        <v>0</v>
      </c>
      <c r="L104" s="24">
        <v>0</v>
      </c>
      <c r="M104" s="24">
        <v>0</v>
      </c>
      <c r="N104" s="24">
        <v>1</v>
      </c>
      <c r="O104" s="24">
        <v>0</v>
      </c>
      <c r="P104" s="24">
        <v>0</v>
      </c>
      <c r="Z104" s="17"/>
      <c r="AA104" s="17"/>
      <c r="AB104" s="17"/>
      <c r="AC104" s="31"/>
      <c r="AD104" s="17"/>
      <c r="AE104" s="25"/>
      <c r="AF104" s="17"/>
      <c r="AG104" s="17"/>
    </row>
    <row r="105" spans="2:33" x14ac:dyDescent="0.25">
      <c r="B105" s="9">
        <v>13</v>
      </c>
      <c r="D105" s="5" t="s">
        <v>8</v>
      </c>
      <c r="E105" s="24">
        <v>4</v>
      </c>
      <c r="F105" s="24">
        <v>2</v>
      </c>
      <c r="G105" s="95">
        <v>1</v>
      </c>
      <c r="H105" s="91">
        <f t="shared" si="6"/>
        <v>3</v>
      </c>
      <c r="I105" s="24">
        <v>2</v>
      </c>
      <c r="J105" s="26">
        <f t="shared" si="7"/>
        <v>0.75</v>
      </c>
      <c r="K105" s="24">
        <v>0</v>
      </c>
      <c r="L105" s="24">
        <v>0</v>
      </c>
      <c r="M105" s="24">
        <v>1</v>
      </c>
      <c r="N105" s="24">
        <v>0</v>
      </c>
      <c r="O105" s="24">
        <v>0</v>
      </c>
      <c r="P105" s="24">
        <v>0</v>
      </c>
      <c r="Z105" s="17"/>
      <c r="AA105" s="17"/>
      <c r="AB105" s="17"/>
      <c r="AC105" s="31"/>
      <c r="AD105" s="17"/>
      <c r="AE105" s="25"/>
      <c r="AF105" s="17"/>
      <c r="AG105" s="17"/>
    </row>
    <row r="106" spans="2:33" x14ac:dyDescent="0.25">
      <c r="B106" s="9">
        <v>14</v>
      </c>
      <c r="D106" s="5" t="s">
        <v>16</v>
      </c>
      <c r="E106" s="24">
        <v>18</v>
      </c>
      <c r="F106" s="24">
        <v>1</v>
      </c>
      <c r="G106" s="95">
        <v>2</v>
      </c>
      <c r="H106" s="91">
        <f t="shared" si="6"/>
        <v>3</v>
      </c>
      <c r="I106" s="24">
        <v>18</v>
      </c>
      <c r="J106" s="26">
        <f t="shared" si="7"/>
        <v>0.16666666666666666</v>
      </c>
      <c r="K106" s="24">
        <v>1</v>
      </c>
      <c r="L106" s="24">
        <v>0</v>
      </c>
      <c r="M106" s="24">
        <v>0</v>
      </c>
      <c r="N106" s="24">
        <v>0</v>
      </c>
      <c r="O106" s="24">
        <v>0</v>
      </c>
      <c r="P106" s="24">
        <v>0</v>
      </c>
      <c r="Z106" s="17"/>
      <c r="AA106" s="17"/>
      <c r="AB106" s="17"/>
      <c r="AC106" s="31"/>
      <c r="AD106" s="17"/>
      <c r="AE106" s="25"/>
      <c r="AF106" s="17"/>
      <c r="AG106" s="17"/>
    </row>
    <row r="107" spans="2:33" x14ac:dyDescent="0.25">
      <c r="B107" s="9">
        <v>15</v>
      </c>
      <c r="D107" s="5" t="s">
        <v>225</v>
      </c>
      <c r="E107" s="24">
        <v>20</v>
      </c>
      <c r="F107" s="24">
        <v>1</v>
      </c>
      <c r="G107" s="95">
        <v>2</v>
      </c>
      <c r="H107" s="91">
        <f t="shared" si="6"/>
        <v>3</v>
      </c>
      <c r="I107" s="24">
        <v>8</v>
      </c>
      <c r="J107" s="26">
        <f t="shared" si="7"/>
        <v>0.15</v>
      </c>
      <c r="K107" s="24">
        <v>0</v>
      </c>
      <c r="L107" s="24">
        <v>0</v>
      </c>
      <c r="M107" s="24">
        <v>0</v>
      </c>
      <c r="N107" s="24">
        <v>0</v>
      </c>
      <c r="O107" s="24">
        <v>0</v>
      </c>
      <c r="P107" s="24">
        <v>0</v>
      </c>
      <c r="Z107" s="17"/>
      <c r="AA107" s="17"/>
      <c r="AB107" s="17"/>
      <c r="AC107" s="31"/>
      <c r="AD107" s="17"/>
      <c r="AE107" s="25"/>
      <c r="AF107" s="17"/>
      <c r="AG107" s="17"/>
    </row>
    <row r="108" spans="2:33" x14ac:dyDescent="0.25">
      <c r="B108" s="9">
        <v>16</v>
      </c>
      <c r="D108" s="5" t="s">
        <v>1518</v>
      </c>
      <c r="E108" s="24">
        <v>8</v>
      </c>
      <c r="F108" s="24">
        <v>1</v>
      </c>
      <c r="G108" s="95">
        <v>1</v>
      </c>
      <c r="H108" s="91">
        <f t="shared" si="6"/>
        <v>2</v>
      </c>
      <c r="I108" s="24">
        <v>4</v>
      </c>
      <c r="J108" s="26">
        <f t="shared" si="7"/>
        <v>0.25</v>
      </c>
      <c r="K108" s="24">
        <v>0</v>
      </c>
      <c r="L108" s="24">
        <v>0</v>
      </c>
      <c r="M108" s="24">
        <v>0</v>
      </c>
      <c r="N108" s="24">
        <v>0</v>
      </c>
      <c r="O108" s="24">
        <v>0</v>
      </c>
      <c r="P108" s="24">
        <v>1</v>
      </c>
      <c r="Z108" s="17"/>
      <c r="AA108" s="17"/>
      <c r="AB108" s="17"/>
      <c r="AC108" s="31"/>
      <c r="AD108" s="17"/>
      <c r="AE108" s="25"/>
      <c r="AF108" s="17"/>
      <c r="AG108" s="17"/>
    </row>
    <row r="109" spans="2:33" x14ac:dyDescent="0.25">
      <c r="B109" s="9">
        <v>17</v>
      </c>
      <c r="D109" s="5" t="s">
        <v>75</v>
      </c>
      <c r="E109" s="24">
        <v>18</v>
      </c>
      <c r="F109" s="24">
        <v>0</v>
      </c>
      <c r="G109" s="95">
        <v>1</v>
      </c>
      <c r="H109" s="91">
        <f t="shared" si="6"/>
        <v>1</v>
      </c>
      <c r="I109" s="24">
        <v>2</v>
      </c>
      <c r="J109" s="26">
        <f t="shared" si="7"/>
        <v>5.5555555555555552E-2</v>
      </c>
      <c r="K109" s="24">
        <v>0</v>
      </c>
      <c r="L109" s="24">
        <v>0</v>
      </c>
      <c r="M109" s="24">
        <v>0</v>
      </c>
      <c r="N109" s="24">
        <v>0</v>
      </c>
      <c r="O109" s="24">
        <v>0</v>
      </c>
      <c r="P109" s="24">
        <v>0</v>
      </c>
      <c r="Z109" s="17"/>
      <c r="AA109" s="17"/>
      <c r="AB109" s="17"/>
      <c r="AC109" s="31"/>
      <c r="AD109" s="17"/>
      <c r="AE109" s="25"/>
      <c r="AF109" s="17"/>
      <c r="AG109" s="17"/>
    </row>
    <row r="110" spans="2:33" x14ac:dyDescent="0.25">
      <c r="B110" s="9">
        <v>18</v>
      </c>
      <c r="D110" s="5" t="s">
        <v>9</v>
      </c>
      <c r="E110" s="24">
        <v>2</v>
      </c>
      <c r="F110" s="24">
        <v>0</v>
      </c>
      <c r="G110" s="95">
        <v>0</v>
      </c>
      <c r="H110" s="91">
        <f t="shared" si="6"/>
        <v>0</v>
      </c>
      <c r="I110" s="24">
        <v>0</v>
      </c>
      <c r="J110" s="26">
        <f t="shared" si="7"/>
        <v>0</v>
      </c>
      <c r="K110" s="24">
        <v>0</v>
      </c>
      <c r="L110" s="24">
        <v>0</v>
      </c>
      <c r="M110" s="24">
        <v>0</v>
      </c>
      <c r="N110" s="24">
        <v>0</v>
      </c>
      <c r="O110" s="24">
        <v>0</v>
      </c>
      <c r="P110" s="24">
        <v>0</v>
      </c>
      <c r="Z110" s="17"/>
      <c r="AA110" s="17"/>
      <c r="AB110" s="17"/>
      <c r="AC110" s="31"/>
      <c r="AD110" s="17"/>
      <c r="AE110" s="25"/>
      <c r="AF110" s="17"/>
      <c r="AG110" s="17"/>
    </row>
    <row r="111" spans="2:33" x14ac:dyDescent="0.25">
      <c r="B111" s="9">
        <v>19</v>
      </c>
      <c r="D111" s="5" t="s">
        <v>1369</v>
      </c>
      <c r="E111" s="24">
        <v>2</v>
      </c>
      <c r="F111" s="24">
        <v>0</v>
      </c>
      <c r="G111" s="95">
        <v>0</v>
      </c>
      <c r="H111" s="91">
        <f t="shared" si="6"/>
        <v>0</v>
      </c>
      <c r="I111" s="24">
        <v>0</v>
      </c>
      <c r="J111" s="26">
        <f t="shared" si="7"/>
        <v>0</v>
      </c>
      <c r="K111" s="24">
        <v>0</v>
      </c>
      <c r="L111" s="24">
        <v>0</v>
      </c>
      <c r="M111" s="24">
        <v>0</v>
      </c>
      <c r="N111" s="24">
        <v>0</v>
      </c>
      <c r="O111" s="24">
        <v>0</v>
      </c>
      <c r="P111" s="24">
        <v>0</v>
      </c>
      <c r="Z111" s="17"/>
      <c r="AA111" s="17"/>
      <c r="AB111" s="17"/>
      <c r="AC111" s="31"/>
      <c r="AD111" s="17"/>
      <c r="AE111" s="25"/>
      <c r="AF111" s="17"/>
      <c r="AG111" s="17"/>
    </row>
    <row r="112" spans="2:33" x14ac:dyDescent="0.25">
      <c r="B112" s="9">
        <v>20</v>
      </c>
      <c r="D112" s="5" t="s">
        <v>1193</v>
      </c>
      <c r="E112" s="24">
        <v>2</v>
      </c>
      <c r="F112" s="24">
        <v>0</v>
      </c>
      <c r="G112" s="95">
        <v>0</v>
      </c>
      <c r="H112" s="91">
        <f t="shared" si="6"/>
        <v>0</v>
      </c>
      <c r="I112" s="24">
        <v>0</v>
      </c>
      <c r="J112" s="26">
        <f t="shared" si="7"/>
        <v>0</v>
      </c>
      <c r="K112" s="24">
        <v>0</v>
      </c>
      <c r="L112" s="24">
        <v>0</v>
      </c>
      <c r="M112" s="24">
        <v>0</v>
      </c>
      <c r="N112" s="24">
        <v>0</v>
      </c>
      <c r="O112" s="24">
        <v>0</v>
      </c>
      <c r="P112" s="24">
        <v>0</v>
      </c>
      <c r="Z112" s="17"/>
      <c r="AA112" s="17"/>
      <c r="AB112" s="17"/>
      <c r="AC112" s="31"/>
      <c r="AD112" s="17"/>
      <c r="AE112" s="25"/>
      <c r="AF112" s="17"/>
      <c r="AG112" s="17"/>
    </row>
    <row r="113" spans="2:33" x14ac:dyDescent="0.25">
      <c r="B113" s="9">
        <v>21</v>
      </c>
      <c r="D113" s="5" t="s">
        <v>12</v>
      </c>
      <c r="E113" s="24">
        <v>2</v>
      </c>
      <c r="F113" s="24">
        <v>0</v>
      </c>
      <c r="G113" s="95">
        <v>0</v>
      </c>
      <c r="H113" s="91">
        <f t="shared" si="6"/>
        <v>0</v>
      </c>
      <c r="I113" s="24">
        <v>0</v>
      </c>
      <c r="J113" s="26">
        <f t="shared" si="7"/>
        <v>0</v>
      </c>
      <c r="K113" s="24">
        <v>0</v>
      </c>
      <c r="L113" s="24">
        <v>0</v>
      </c>
      <c r="M113" s="24">
        <v>0</v>
      </c>
      <c r="N113" s="24">
        <v>0</v>
      </c>
      <c r="O113" s="24">
        <v>0</v>
      </c>
      <c r="P113" s="24">
        <v>0</v>
      </c>
      <c r="Z113" s="17"/>
      <c r="AA113" s="17"/>
      <c r="AB113" s="17"/>
      <c r="AC113" s="31"/>
      <c r="AD113" s="17"/>
      <c r="AE113" s="25"/>
      <c r="AF113" s="17"/>
      <c r="AG113" s="17"/>
    </row>
    <row r="114" spans="2:33" x14ac:dyDescent="0.25">
      <c r="B114" s="9">
        <v>22</v>
      </c>
      <c r="D114" s="5" t="s">
        <v>435</v>
      </c>
      <c r="E114" s="24">
        <v>4</v>
      </c>
      <c r="F114" s="24">
        <v>0</v>
      </c>
      <c r="G114" s="95">
        <v>0</v>
      </c>
      <c r="H114" s="91">
        <f t="shared" si="6"/>
        <v>0</v>
      </c>
      <c r="I114" s="24">
        <v>0</v>
      </c>
      <c r="J114" s="26">
        <f t="shared" si="7"/>
        <v>0</v>
      </c>
      <c r="K114" s="24">
        <v>0</v>
      </c>
      <c r="L114" s="24">
        <v>0</v>
      </c>
      <c r="M114" s="24">
        <v>0</v>
      </c>
      <c r="N114" s="24">
        <v>0</v>
      </c>
      <c r="O114" s="24">
        <v>0</v>
      </c>
      <c r="P114" s="24">
        <v>0</v>
      </c>
      <c r="Z114" s="17"/>
      <c r="AA114" s="17"/>
      <c r="AB114" s="17"/>
      <c r="AC114" s="31"/>
      <c r="AD114" s="17"/>
      <c r="AE114" s="25"/>
      <c r="AF114" s="17"/>
      <c r="AG114" s="17"/>
    </row>
    <row r="115" spans="2:33" x14ac:dyDescent="0.25">
      <c r="Z115" s="17"/>
      <c r="AA115" s="17"/>
      <c r="AB115" s="17"/>
      <c r="AC115" s="31"/>
      <c r="AD115" s="17"/>
      <c r="AE115" s="25"/>
      <c r="AF115" s="17"/>
      <c r="AG115" s="17"/>
    </row>
    <row r="116" spans="2:33" x14ac:dyDescent="0.25">
      <c r="Z116" s="17"/>
      <c r="AA116" s="17"/>
      <c r="AB116" s="17"/>
      <c r="AC116" s="31"/>
      <c r="AD116" s="17"/>
      <c r="AE116" s="25"/>
      <c r="AF116" s="17"/>
      <c r="AG116" s="17"/>
    </row>
    <row r="117" spans="2:33" x14ac:dyDescent="0.25">
      <c r="C117" s="99" t="s">
        <v>1154</v>
      </c>
      <c r="D117" s="99"/>
      <c r="Z117" s="17"/>
      <c r="AA117" s="17"/>
      <c r="AB117" s="17"/>
      <c r="AC117" s="31"/>
      <c r="AD117" s="17"/>
      <c r="AE117" s="25"/>
      <c r="AF117" s="17"/>
      <c r="AG117" s="17"/>
    </row>
    <row r="118" spans="2:33" x14ac:dyDescent="0.25">
      <c r="Z118" s="22"/>
      <c r="AA118" s="22"/>
      <c r="AB118" s="22"/>
      <c r="AC118" s="22"/>
      <c r="AD118" s="22"/>
      <c r="AE118" s="22"/>
      <c r="AF118" s="22"/>
      <c r="AG118" s="22"/>
    </row>
    <row r="119" spans="2:33" x14ac:dyDescent="0.25">
      <c r="D119" s="8" t="s">
        <v>0</v>
      </c>
      <c r="E119" s="18" t="s">
        <v>1</v>
      </c>
      <c r="F119" s="18" t="s">
        <v>2</v>
      </c>
      <c r="G119" s="94" t="s">
        <v>3</v>
      </c>
      <c r="H119" s="71" t="s">
        <v>4</v>
      </c>
      <c r="I119" s="18" t="s">
        <v>5</v>
      </c>
      <c r="J119" s="18" t="s">
        <v>38</v>
      </c>
      <c r="K119" s="18" t="s">
        <v>41</v>
      </c>
      <c r="L119" s="18" t="s">
        <v>42</v>
      </c>
      <c r="M119" s="18" t="s">
        <v>45</v>
      </c>
      <c r="N119" s="18" t="s">
        <v>46</v>
      </c>
      <c r="O119" s="18" t="s">
        <v>44</v>
      </c>
      <c r="P119" s="18" t="s">
        <v>43</v>
      </c>
    </row>
    <row r="120" spans="2:33" x14ac:dyDescent="0.25">
      <c r="B120" s="9">
        <v>1</v>
      </c>
      <c r="D120" s="5" t="s">
        <v>324</v>
      </c>
      <c r="E120" s="24">
        <v>24</v>
      </c>
      <c r="F120" s="24">
        <v>32</v>
      </c>
      <c r="G120" s="95">
        <v>25</v>
      </c>
      <c r="H120" s="91">
        <f t="shared" ref="H120:H141" si="8">F120+G120</f>
        <v>57</v>
      </c>
      <c r="I120" s="24">
        <v>8</v>
      </c>
      <c r="J120" s="26">
        <f t="shared" ref="J120:J141" si="9">H120/E120</f>
        <v>2.375</v>
      </c>
      <c r="K120" s="24">
        <v>0</v>
      </c>
      <c r="L120" s="24">
        <v>2</v>
      </c>
      <c r="M120" s="24">
        <v>1</v>
      </c>
      <c r="N120" s="24">
        <v>0</v>
      </c>
      <c r="O120" s="24">
        <v>0</v>
      </c>
      <c r="P120" s="24">
        <v>0</v>
      </c>
      <c r="Z120" s="17"/>
      <c r="AA120" s="17"/>
      <c r="AB120" s="17"/>
      <c r="AC120" s="17"/>
      <c r="AD120" s="17"/>
      <c r="AE120" s="17"/>
      <c r="AF120" s="17"/>
      <c r="AG120" s="17"/>
    </row>
    <row r="121" spans="2:33" x14ac:dyDescent="0.25">
      <c r="B121" s="9">
        <v>2</v>
      </c>
      <c r="D121" s="5" t="s">
        <v>7</v>
      </c>
      <c r="E121" s="24">
        <v>22</v>
      </c>
      <c r="F121" s="24">
        <v>23</v>
      </c>
      <c r="G121" s="95">
        <v>20</v>
      </c>
      <c r="H121" s="91">
        <f t="shared" si="8"/>
        <v>43</v>
      </c>
      <c r="I121" s="24">
        <v>10</v>
      </c>
      <c r="J121" s="26">
        <f t="shared" si="9"/>
        <v>1.9545454545454546</v>
      </c>
      <c r="K121" s="24">
        <v>2</v>
      </c>
      <c r="L121" s="24">
        <v>1</v>
      </c>
      <c r="M121" s="24">
        <v>1</v>
      </c>
      <c r="N121" s="24">
        <v>0</v>
      </c>
      <c r="O121" s="24">
        <v>0</v>
      </c>
      <c r="P121" s="24">
        <v>0</v>
      </c>
      <c r="Z121" s="17"/>
      <c r="AA121" s="17"/>
      <c r="AB121" s="17"/>
      <c r="AC121" s="31"/>
      <c r="AD121" s="17"/>
      <c r="AE121" s="25"/>
      <c r="AF121" s="17"/>
      <c r="AG121" s="17"/>
    </row>
    <row r="122" spans="2:33" x14ac:dyDescent="0.25">
      <c r="B122" s="9">
        <v>3</v>
      </c>
      <c r="D122" s="5" t="s">
        <v>356</v>
      </c>
      <c r="E122" s="24">
        <v>16</v>
      </c>
      <c r="F122" s="24">
        <v>23</v>
      </c>
      <c r="G122" s="95">
        <v>8</v>
      </c>
      <c r="H122" s="91">
        <f t="shared" si="8"/>
        <v>31</v>
      </c>
      <c r="I122" s="24">
        <v>2</v>
      </c>
      <c r="J122" s="26">
        <f t="shared" si="9"/>
        <v>1.9375</v>
      </c>
      <c r="K122" s="24">
        <v>0</v>
      </c>
      <c r="L122" s="24">
        <v>2</v>
      </c>
      <c r="M122" s="24">
        <v>4</v>
      </c>
      <c r="N122" s="24">
        <v>0</v>
      </c>
      <c r="O122" s="24">
        <v>0</v>
      </c>
      <c r="P122" s="24">
        <v>1</v>
      </c>
      <c r="Z122" s="17"/>
      <c r="AA122" s="17"/>
      <c r="AB122" s="17"/>
      <c r="AC122" s="31"/>
      <c r="AD122" s="17"/>
      <c r="AE122" s="25"/>
      <c r="AF122" s="17"/>
      <c r="AG122" s="17"/>
    </row>
    <row r="123" spans="2:33" x14ac:dyDescent="0.25">
      <c r="B123" s="9">
        <v>4</v>
      </c>
      <c r="D123" s="5" t="s">
        <v>30</v>
      </c>
      <c r="E123" s="24">
        <v>22</v>
      </c>
      <c r="F123" s="24">
        <v>11</v>
      </c>
      <c r="G123" s="95">
        <v>17</v>
      </c>
      <c r="H123" s="91">
        <f t="shared" si="8"/>
        <v>28</v>
      </c>
      <c r="I123" s="24">
        <v>18</v>
      </c>
      <c r="J123" s="26">
        <f t="shared" si="9"/>
        <v>1.2727272727272727</v>
      </c>
      <c r="K123" s="24">
        <v>0</v>
      </c>
      <c r="L123" s="24">
        <v>0</v>
      </c>
      <c r="M123" s="24">
        <v>0</v>
      </c>
      <c r="N123" s="24">
        <v>0</v>
      </c>
      <c r="O123" s="24">
        <v>0</v>
      </c>
      <c r="P123" s="24">
        <v>0</v>
      </c>
      <c r="Z123" s="17"/>
      <c r="AA123" s="17"/>
      <c r="AB123" s="17"/>
      <c r="AC123" s="31"/>
      <c r="AD123" s="17"/>
      <c r="AE123" s="25"/>
      <c r="AF123" s="17"/>
      <c r="AG123" s="17"/>
    </row>
    <row r="124" spans="2:33" x14ac:dyDescent="0.25">
      <c r="B124" s="9">
        <v>5</v>
      </c>
      <c r="D124" s="5" t="s">
        <v>16</v>
      </c>
      <c r="E124" s="24">
        <v>23</v>
      </c>
      <c r="F124" s="24">
        <v>9</v>
      </c>
      <c r="G124" s="95">
        <v>12</v>
      </c>
      <c r="H124" s="91">
        <f t="shared" si="8"/>
        <v>21</v>
      </c>
      <c r="I124" s="24">
        <v>8</v>
      </c>
      <c r="J124" s="26">
        <f t="shared" si="9"/>
        <v>0.91304347826086951</v>
      </c>
      <c r="K124" s="24">
        <v>0</v>
      </c>
      <c r="L124" s="24">
        <v>0</v>
      </c>
      <c r="M124" s="24">
        <v>3</v>
      </c>
      <c r="N124" s="24">
        <v>0</v>
      </c>
      <c r="O124" s="24">
        <v>0</v>
      </c>
      <c r="P124" s="24">
        <v>0</v>
      </c>
      <c r="Z124" s="17"/>
      <c r="AA124" s="17"/>
      <c r="AB124" s="17"/>
      <c r="AC124" s="31"/>
      <c r="AD124" s="17"/>
      <c r="AE124" s="25"/>
      <c r="AF124" s="17"/>
      <c r="AG124" s="17"/>
    </row>
    <row r="125" spans="2:33" x14ac:dyDescent="0.25">
      <c r="B125" s="9">
        <v>6</v>
      </c>
      <c r="D125" s="5" t="s">
        <v>1178</v>
      </c>
      <c r="E125" s="24">
        <v>18</v>
      </c>
      <c r="F125" s="24">
        <v>7</v>
      </c>
      <c r="G125" s="95">
        <v>13</v>
      </c>
      <c r="H125" s="91">
        <f t="shared" si="8"/>
        <v>20</v>
      </c>
      <c r="I125" s="24">
        <v>4</v>
      </c>
      <c r="J125" s="26">
        <f t="shared" si="9"/>
        <v>1.1111111111111112</v>
      </c>
      <c r="K125" s="24">
        <v>1</v>
      </c>
      <c r="L125" s="24">
        <v>0</v>
      </c>
      <c r="M125" s="24">
        <v>1</v>
      </c>
      <c r="N125" s="24">
        <v>0</v>
      </c>
      <c r="O125" s="24">
        <v>0</v>
      </c>
      <c r="P125" s="24">
        <v>1</v>
      </c>
      <c r="Z125" s="17"/>
      <c r="AA125" s="17"/>
      <c r="AB125" s="17"/>
      <c r="AC125" s="31"/>
      <c r="AD125" s="17"/>
      <c r="AE125" s="25"/>
      <c r="AF125" s="17"/>
      <c r="AG125" s="17"/>
    </row>
    <row r="126" spans="2:33" x14ac:dyDescent="0.25">
      <c r="B126" s="9">
        <v>7</v>
      </c>
      <c r="D126" s="5" t="s">
        <v>10</v>
      </c>
      <c r="E126" s="24">
        <v>18</v>
      </c>
      <c r="F126" s="24">
        <v>6</v>
      </c>
      <c r="G126" s="95">
        <v>10</v>
      </c>
      <c r="H126" s="91">
        <f t="shared" si="8"/>
        <v>16</v>
      </c>
      <c r="I126" s="24">
        <v>0</v>
      </c>
      <c r="J126" s="26">
        <f t="shared" si="9"/>
        <v>0.88888888888888884</v>
      </c>
      <c r="K126" s="24">
        <v>0</v>
      </c>
      <c r="L126" s="24">
        <v>0</v>
      </c>
      <c r="M126" s="24">
        <v>2</v>
      </c>
      <c r="N126" s="24">
        <v>0</v>
      </c>
      <c r="O126" s="24">
        <v>0</v>
      </c>
      <c r="P126" s="24">
        <v>0</v>
      </c>
      <c r="Z126" s="17"/>
      <c r="AA126" s="17"/>
      <c r="AB126" s="17"/>
      <c r="AC126" s="31"/>
      <c r="AD126" s="17"/>
      <c r="AE126" s="25"/>
      <c r="AF126" s="17"/>
      <c r="AG126" s="17"/>
    </row>
    <row r="127" spans="2:33" x14ac:dyDescent="0.25">
      <c r="B127" s="9">
        <v>8</v>
      </c>
      <c r="D127" s="5" t="s">
        <v>358</v>
      </c>
      <c r="E127" s="24">
        <v>20</v>
      </c>
      <c r="F127" s="24">
        <v>4</v>
      </c>
      <c r="G127" s="95">
        <v>12</v>
      </c>
      <c r="H127" s="91">
        <f t="shared" si="8"/>
        <v>16</v>
      </c>
      <c r="I127" s="24">
        <v>4</v>
      </c>
      <c r="J127" s="26">
        <f t="shared" si="9"/>
        <v>0.8</v>
      </c>
      <c r="K127" s="24">
        <v>0</v>
      </c>
      <c r="L127" s="24">
        <v>0</v>
      </c>
      <c r="M127" s="24">
        <v>3</v>
      </c>
      <c r="N127" s="24">
        <v>0</v>
      </c>
      <c r="O127" s="24">
        <v>0</v>
      </c>
      <c r="P127" s="24">
        <v>0</v>
      </c>
      <c r="Z127" s="17"/>
      <c r="AA127" s="17"/>
      <c r="AB127" s="17"/>
      <c r="AC127" s="31"/>
      <c r="AD127" s="17"/>
      <c r="AE127" s="25"/>
      <c r="AF127" s="17"/>
      <c r="AG127" s="17"/>
    </row>
    <row r="128" spans="2:33" x14ac:dyDescent="0.25">
      <c r="B128" s="9">
        <v>9</v>
      </c>
      <c r="D128" s="5" t="s">
        <v>8</v>
      </c>
      <c r="E128" s="24">
        <v>11</v>
      </c>
      <c r="F128" s="24">
        <v>13</v>
      </c>
      <c r="G128" s="95">
        <v>2</v>
      </c>
      <c r="H128" s="91">
        <f t="shared" si="8"/>
        <v>15</v>
      </c>
      <c r="I128" s="24">
        <v>6</v>
      </c>
      <c r="J128" s="26">
        <f t="shared" si="9"/>
        <v>1.3636363636363635</v>
      </c>
      <c r="K128" s="24">
        <v>2</v>
      </c>
      <c r="L128" s="24">
        <v>0</v>
      </c>
      <c r="M128" s="24">
        <v>1</v>
      </c>
      <c r="N128" s="24">
        <v>0</v>
      </c>
      <c r="O128" s="24">
        <v>0</v>
      </c>
      <c r="P128" s="24">
        <v>0</v>
      </c>
      <c r="Z128" s="17"/>
      <c r="AA128" s="17"/>
      <c r="AB128" s="17"/>
      <c r="AC128" s="31"/>
      <c r="AD128" s="17"/>
      <c r="AE128" s="25"/>
      <c r="AF128" s="17"/>
      <c r="AG128" s="17"/>
    </row>
    <row r="129" spans="2:33" x14ac:dyDescent="0.25">
      <c r="B129" s="9">
        <v>10</v>
      </c>
      <c r="D129" s="5" t="s">
        <v>438</v>
      </c>
      <c r="E129" s="24">
        <v>10</v>
      </c>
      <c r="F129" s="24">
        <v>9</v>
      </c>
      <c r="G129" s="95">
        <v>3</v>
      </c>
      <c r="H129" s="91">
        <f t="shared" si="8"/>
        <v>12</v>
      </c>
      <c r="I129" s="24">
        <v>6</v>
      </c>
      <c r="J129" s="26">
        <f t="shared" si="9"/>
        <v>1.2</v>
      </c>
      <c r="K129" s="24">
        <v>0</v>
      </c>
      <c r="L129" s="24">
        <v>0</v>
      </c>
      <c r="M129" s="24">
        <v>1</v>
      </c>
      <c r="N129" s="24">
        <v>0</v>
      </c>
      <c r="O129" s="24">
        <v>0</v>
      </c>
      <c r="P129" s="24">
        <v>0</v>
      </c>
      <c r="Z129" s="17"/>
      <c r="AA129" s="17"/>
      <c r="AB129" s="17"/>
      <c r="AC129" s="31"/>
      <c r="AD129" s="17"/>
      <c r="AE129" s="25"/>
      <c r="AF129" s="17"/>
      <c r="AG129" s="17"/>
    </row>
    <row r="130" spans="2:33" x14ac:dyDescent="0.25">
      <c r="B130" s="9">
        <v>11</v>
      </c>
      <c r="D130" s="5" t="s">
        <v>225</v>
      </c>
      <c r="E130" s="24">
        <v>22</v>
      </c>
      <c r="F130" s="24">
        <v>2</v>
      </c>
      <c r="G130" s="95">
        <v>7</v>
      </c>
      <c r="H130" s="91">
        <f t="shared" si="8"/>
        <v>9</v>
      </c>
      <c r="I130" s="24">
        <v>8</v>
      </c>
      <c r="J130" s="26">
        <f t="shared" si="9"/>
        <v>0.40909090909090912</v>
      </c>
      <c r="K130" s="24">
        <v>0</v>
      </c>
      <c r="L130" s="24">
        <v>0</v>
      </c>
      <c r="M130" s="24">
        <v>0</v>
      </c>
      <c r="N130" s="24">
        <v>0</v>
      </c>
      <c r="O130" s="24">
        <v>0</v>
      </c>
      <c r="P130" s="24">
        <v>0</v>
      </c>
      <c r="Z130" s="17"/>
      <c r="AA130" s="17"/>
      <c r="AB130" s="17"/>
      <c r="AC130" s="31"/>
      <c r="AD130" s="17"/>
      <c r="AE130" s="25"/>
      <c r="AF130" s="17"/>
      <c r="AG130" s="17"/>
    </row>
    <row r="131" spans="2:33" x14ac:dyDescent="0.25">
      <c r="B131" s="9">
        <v>12</v>
      </c>
      <c r="D131" s="5" t="s">
        <v>39</v>
      </c>
      <c r="E131" s="24">
        <v>24</v>
      </c>
      <c r="F131" s="24">
        <v>5</v>
      </c>
      <c r="G131" s="95">
        <v>3</v>
      </c>
      <c r="H131" s="91">
        <f t="shared" si="8"/>
        <v>8</v>
      </c>
      <c r="I131" s="24">
        <v>2</v>
      </c>
      <c r="J131" s="26">
        <f t="shared" si="9"/>
        <v>0.33333333333333331</v>
      </c>
      <c r="K131" s="24">
        <v>0</v>
      </c>
      <c r="L131" s="24">
        <v>0</v>
      </c>
      <c r="M131" s="24">
        <v>1</v>
      </c>
      <c r="N131" s="24">
        <v>0</v>
      </c>
      <c r="O131" s="24">
        <v>0</v>
      </c>
      <c r="P131" s="24">
        <v>0</v>
      </c>
      <c r="Z131" s="17"/>
      <c r="AA131" s="17"/>
      <c r="AB131" s="17"/>
      <c r="AC131" s="31"/>
      <c r="AD131" s="17"/>
      <c r="AE131" s="25"/>
      <c r="AF131" s="17"/>
      <c r="AG131" s="17"/>
    </row>
    <row r="132" spans="2:33" x14ac:dyDescent="0.25">
      <c r="B132" s="9">
        <v>13</v>
      </c>
      <c r="D132" s="5" t="s">
        <v>12</v>
      </c>
      <c r="E132" s="24">
        <v>8</v>
      </c>
      <c r="F132" s="24">
        <v>2</v>
      </c>
      <c r="G132" s="95">
        <v>2</v>
      </c>
      <c r="H132" s="91">
        <f t="shared" si="8"/>
        <v>4</v>
      </c>
      <c r="I132" s="24">
        <v>4</v>
      </c>
      <c r="J132" s="26">
        <f t="shared" si="9"/>
        <v>0.5</v>
      </c>
      <c r="K132" s="24">
        <v>0</v>
      </c>
      <c r="L132" s="24">
        <v>0</v>
      </c>
      <c r="M132" s="24">
        <v>0</v>
      </c>
      <c r="N132" s="24">
        <v>0</v>
      </c>
      <c r="O132" s="24">
        <v>0</v>
      </c>
      <c r="P132" s="24">
        <v>0</v>
      </c>
      <c r="Z132" s="17"/>
      <c r="AA132" s="17"/>
      <c r="AB132" s="17"/>
      <c r="AC132" s="31"/>
      <c r="AD132" s="17"/>
      <c r="AE132" s="25"/>
      <c r="AF132" s="17"/>
      <c r="AG132" s="17"/>
    </row>
    <row r="133" spans="2:33" x14ac:dyDescent="0.25">
      <c r="B133" s="9">
        <v>14</v>
      </c>
      <c r="D133" s="5" t="s">
        <v>1188</v>
      </c>
      <c r="E133" s="24">
        <v>3</v>
      </c>
      <c r="F133" s="24">
        <v>2</v>
      </c>
      <c r="G133" s="95">
        <v>1</v>
      </c>
      <c r="H133" s="91">
        <f t="shared" si="8"/>
        <v>3</v>
      </c>
      <c r="I133" s="24">
        <v>0</v>
      </c>
      <c r="J133" s="26">
        <f t="shared" si="9"/>
        <v>1</v>
      </c>
      <c r="K133" s="24">
        <v>0</v>
      </c>
      <c r="L133" s="24">
        <v>0</v>
      </c>
      <c r="M133" s="24">
        <v>0</v>
      </c>
      <c r="N133" s="24">
        <v>0</v>
      </c>
      <c r="O133" s="24">
        <v>0</v>
      </c>
      <c r="P133" s="24">
        <v>0</v>
      </c>
      <c r="Z133" s="17"/>
      <c r="AA133" s="17"/>
      <c r="AB133" s="17"/>
      <c r="AC133" s="31"/>
      <c r="AD133" s="17"/>
      <c r="AE133" s="25"/>
      <c r="AF133" s="17"/>
      <c r="AG133" s="17"/>
    </row>
    <row r="134" spans="2:33" x14ac:dyDescent="0.25">
      <c r="B134" s="9">
        <v>15</v>
      </c>
      <c r="D134" s="5" t="s">
        <v>13</v>
      </c>
      <c r="E134" s="24">
        <v>1</v>
      </c>
      <c r="F134" s="24">
        <v>0</v>
      </c>
      <c r="G134" s="95">
        <v>1</v>
      </c>
      <c r="H134" s="91">
        <f t="shared" si="8"/>
        <v>1</v>
      </c>
      <c r="I134" s="24">
        <v>0</v>
      </c>
      <c r="J134" s="26">
        <f t="shared" si="9"/>
        <v>1</v>
      </c>
      <c r="K134" s="24">
        <v>0</v>
      </c>
      <c r="L134" s="24">
        <v>0</v>
      </c>
      <c r="M134" s="24">
        <v>0</v>
      </c>
      <c r="N134" s="24">
        <v>0</v>
      </c>
      <c r="O134" s="24">
        <v>0</v>
      </c>
      <c r="P134" s="24">
        <v>0</v>
      </c>
      <c r="Z134" s="17"/>
      <c r="AA134" s="17"/>
      <c r="AB134" s="17"/>
      <c r="AC134" s="31"/>
      <c r="AD134" s="17"/>
      <c r="AE134" s="25"/>
      <c r="AF134" s="17"/>
      <c r="AG134" s="17"/>
    </row>
    <row r="135" spans="2:33" x14ac:dyDescent="0.25">
      <c r="B135" s="9">
        <v>16</v>
      </c>
      <c r="D135" s="5" t="s">
        <v>75</v>
      </c>
      <c r="E135" s="24">
        <v>21</v>
      </c>
      <c r="F135" s="24">
        <v>0</v>
      </c>
      <c r="G135" s="95">
        <v>1</v>
      </c>
      <c r="H135" s="91">
        <f t="shared" si="8"/>
        <v>1</v>
      </c>
      <c r="I135" s="24">
        <v>0</v>
      </c>
      <c r="J135" s="26">
        <f t="shared" si="9"/>
        <v>4.7619047619047616E-2</v>
      </c>
      <c r="K135" s="24">
        <v>0</v>
      </c>
      <c r="L135" s="24">
        <v>0</v>
      </c>
      <c r="M135" s="24">
        <v>0</v>
      </c>
      <c r="N135" s="24">
        <v>0</v>
      </c>
      <c r="O135" s="24">
        <v>0</v>
      </c>
      <c r="P135" s="24">
        <v>0</v>
      </c>
      <c r="Z135" s="17"/>
      <c r="AA135" s="17"/>
      <c r="AB135" s="17"/>
      <c r="AC135" s="31"/>
      <c r="AD135" s="17"/>
      <c r="AE135" s="25"/>
      <c r="AF135" s="17"/>
      <c r="AG135" s="17"/>
    </row>
    <row r="136" spans="2:33" x14ac:dyDescent="0.25">
      <c r="B136" s="9">
        <v>17</v>
      </c>
      <c r="D136" s="5" t="s">
        <v>435</v>
      </c>
      <c r="E136" s="24">
        <v>2</v>
      </c>
      <c r="F136" s="24">
        <v>0</v>
      </c>
      <c r="G136" s="95">
        <v>0</v>
      </c>
      <c r="H136" s="91">
        <f t="shared" si="8"/>
        <v>0</v>
      </c>
      <c r="I136" s="24">
        <v>0</v>
      </c>
      <c r="J136" s="26">
        <f t="shared" si="9"/>
        <v>0</v>
      </c>
      <c r="K136" s="24">
        <v>0</v>
      </c>
      <c r="L136" s="24">
        <v>0</v>
      </c>
      <c r="M136" s="24">
        <v>0</v>
      </c>
      <c r="N136" s="24">
        <v>0</v>
      </c>
      <c r="O136" s="24">
        <v>0</v>
      </c>
      <c r="P136" s="24">
        <v>0</v>
      </c>
      <c r="Z136" s="17"/>
      <c r="AA136" s="17"/>
      <c r="AB136" s="17"/>
      <c r="AC136" s="31"/>
      <c r="AD136" s="17"/>
      <c r="AE136" s="25"/>
      <c r="AF136" s="17"/>
      <c r="AG136" s="17"/>
    </row>
    <row r="137" spans="2:33" x14ac:dyDescent="0.25">
      <c r="B137" s="9">
        <v>18</v>
      </c>
      <c r="D137" s="5" t="s">
        <v>14</v>
      </c>
      <c r="E137" s="24">
        <v>3</v>
      </c>
      <c r="F137" s="24">
        <v>0</v>
      </c>
      <c r="G137" s="95">
        <v>0</v>
      </c>
      <c r="H137" s="91">
        <f t="shared" si="8"/>
        <v>0</v>
      </c>
      <c r="I137" s="24">
        <v>0</v>
      </c>
      <c r="J137" s="26">
        <f t="shared" si="9"/>
        <v>0</v>
      </c>
      <c r="K137" s="24">
        <v>0</v>
      </c>
      <c r="L137" s="24">
        <v>0</v>
      </c>
      <c r="M137" s="24">
        <v>0</v>
      </c>
      <c r="N137" s="24">
        <v>0</v>
      </c>
      <c r="O137" s="24">
        <v>0</v>
      </c>
      <c r="P137" s="24">
        <v>0</v>
      </c>
      <c r="Z137" s="17"/>
      <c r="AA137" s="17"/>
      <c r="AB137" s="17"/>
      <c r="AC137" s="31"/>
      <c r="AD137" s="17"/>
      <c r="AE137" s="25"/>
      <c r="AF137" s="17"/>
      <c r="AG137" s="17"/>
    </row>
    <row r="138" spans="2:33" x14ac:dyDescent="0.25">
      <c r="B138" s="9">
        <v>19</v>
      </c>
      <c r="D138" s="5" t="s">
        <v>9</v>
      </c>
      <c r="E138" s="24">
        <v>2</v>
      </c>
      <c r="F138" s="24">
        <v>0</v>
      </c>
      <c r="G138" s="95">
        <v>0</v>
      </c>
      <c r="H138" s="91">
        <f t="shared" si="8"/>
        <v>0</v>
      </c>
      <c r="I138" s="24">
        <v>2</v>
      </c>
      <c r="J138" s="26">
        <f t="shared" si="9"/>
        <v>0</v>
      </c>
      <c r="K138" s="24">
        <v>0</v>
      </c>
      <c r="L138" s="24">
        <v>0</v>
      </c>
      <c r="M138" s="24">
        <v>0</v>
      </c>
      <c r="N138" s="24">
        <v>0</v>
      </c>
      <c r="O138" s="24">
        <v>0</v>
      </c>
      <c r="P138" s="24">
        <v>0</v>
      </c>
      <c r="Z138" s="17"/>
      <c r="AA138" s="17"/>
      <c r="AB138" s="17"/>
      <c r="AC138" s="31"/>
      <c r="AD138" s="17"/>
      <c r="AE138" s="25"/>
      <c r="AF138" s="17"/>
      <c r="AG138" s="17"/>
    </row>
    <row r="139" spans="2:33" x14ac:dyDescent="0.25">
      <c r="B139" s="9">
        <v>20</v>
      </c>
      <c r="D139" s="5" t="s">
        <v>1193</v>
      </c>
      <c r="E139" s="24">
        <v>1</v>
      </c>
      <c r="F139" s="24">
        <v>0</v>
      </c>
      <c r="G139" s="95">
        <v>0</v>
      </c>
      <c r="H139" s="91">
        <f t="shared" si="8"/>
        <v>0</v>
      </c>
      <c r="I139" s="24">
        <v>0</v>
      </c>
      <c r="J139" s="26">
        <f t="shared" si="9"/>
        <v>0</v>
      </c>
      <c r="K139" s="24">
        <v>0</v>
      </c>
      <c r="L139" s="24">
        <v>0</v>
      </c>
      <c r="M139" s="24">
        <v>0</v>
      </c>
      <c r="N139" s="24">
        <v>0</v>
      </c>
      <c r="O139" s="24">
        <v>0</v>
      </c>
      <c r="P139" s="24">
        <v>0</v>
      </c>
      <c r="Z139" s="17"/>
      <c r="AA139" s="17"/>
      <c r="AB139" s="17"/>
      <c r="AC139" s="31"/>
      <c r="AD139" s="17"/>
      <c r="AE139" s="25"/>
      <c r="AF139" s="17"/>
      <c r="AG139" s="17"/>
    </row>
    <row r="140" spans="2:33" x14ac:dyDescent="0.25">
      <c r="B140" s="9">
        <v>21</v>
      </c>
      <c r="D140" s="5" t="s">
        <v>1191</v>
      </c>
      <c r="E140" s="24">
        <v>1</v>
      </c>
      <c r="F140" s="24">
        <v>0</v>
      </c>
      <c r="G140" s="95">
        <v>0</v>
      </c>
      <c r="H140" s="91">
        <f t="shared" si="8"/>
        <v>0</v>
      </c>
      <c r="I140" s="24">
        <v>0</v>
      </c>
      <c r="J140" s="26">
        <f t="shared" si="9"/>
        <v>0</v>
      </c>
      <c r="K140" s="24">
        <v>0</v>
      </c>
      <c r="L140" s="24">
        <v>0</v>
      </c>
      <c r="M140" s="24">
        <v>0</v>
      </c>
      <c r="N140" s="24">
        <v>0</v>
      </c>
      <c r="O140" s="24">
        <v>0</v>
      </c>
      <c r="P140" s="24">
        <v>0</v>
      </c>
    </row>
    <row r="141" spans="2:33" x14ac:dyDescent="0.25">
      <c r="B141" s="9">
        <v>22</v>
      </c>
      <c r="D141" s="5" t="s">
        <v>1182</v>
      </c>
      <c r="E141" s="24">
        <v>1</v>
      </c>
      <c r="F141" s="24">
        <v>0</v>
      </c>
      <c r="G141" s="95">
        <v>0</v>
      </c>
      <c r="H141" s="91">
        <f t="shared" si="8"/>
        <v>0</v>
      </c>
      <c r="I141" s="24">
        <v>0</v>
      </c>
      <c r="J141" s="26">
        <f t="shared" si="9"/>
        <v>0</v>
      </c>
      <c r="K141" s="24">
        <v>0</v>
      </c>
      <c r="L141" s="24">
        <v>0</v>
      </c>
      <c r="M141" s="24">
        <v>0</v>
      </c>
      <c r="N141" s="24">
        <v>0</v>
      </c>
      <c r="O141" s="24">
        <v>0</v>
      </c>
      <c r="P141" s="24">
        <v>0</v>
      </c>
      <c r="Z141" s="17"/>
      <c r="AA141" s="17"/>
      <c r="AB141" s="17"/>
      <c r="AC141" s="31"/>
      <c r="AD141" s="17"/>
      <c r="AE141" s="25"/>
      <c r="AF141" s="17"/>
      <c r="AG141" s="17"/>
    </row>
    <row r="144" spans="2:33" x14ac:dyDescent="0.25">
      <c r="C144" s="1" t="s">
        <v>473</v>
      </c>
      <c r="Z144" s="22"/>
      <c r="AA144" s="22"/>
      <c r="AB144" s="22"/>
      <c r="AC144" s="22"/>
      <c r="AD144" s="22"/>
      <c r="AE144" s="22"/>
      <c r="AF144" s="22"/>
      <c r="AG144" s="22"/>
    </row>
    <row r="145" spans="2:33" x14ac:dyDescent="0.25">
      <c r="Z145" s="17"/>
      <c r="AA145" s="17"/>
      <c r="AB145" s="17"/>
      <c r="AC145" s="31"/>
      <c r="AD145" s="17"/>
      <c r="AE145" s="25"/>
      <c r="AF145" s="17"/>
      <c r="AG145" s="17"/>
    </row>
    <row r="146" spans="2:33" x14ac:dyDescent="0.25">
      <c r="D146" s="8" t="s">
        <v>0</v>
      </c>
      <c r="E146" s="18" t="s">
        <v>1</v>
      </c>
      <c r="F146" s="18" t="s">
        <v>2</v>
      </c>
      <c r="G146" s="94" t="s">
        <v>3</v>
      </c>
      <c r="H146" s="71" t="s">
        <v>4</v>
      </c>
      <c r="I146" s="18" t="s">
        <v>5</v>
      </c>
      <c r="J146" s="18" t="s">
        <v>38</v>
      </c>
      <c r="K146" s="18" t="s">
        <v>41</v>
      </c>
      <c r="L146" s="18" t="s">
        <v>42</v>
      </c>
      <c r="M146" s="18" t="s">
        <v>45</v>
      </c>
      <c r="N146" s="18" t="s">
        <v>46</v>
      </c>
      <c r="O146" s="18" t="s">
        <v>44</v>
      </c>
      <c r="P146" s="18" t="s">
        <v>43</v>
      </c>
      <c r="Z146" s="17"/>
      <c r="AA146" s="17"/>
      <c r="AB146" s="17"/>
      <c r="AC146" s="31"/>
      <c r="AD146" s="17"/>
      <c r="AE146" s="25"/>
      <c r="AF146" s="17"/>
      <c r="AG146" s="17"/>
    </row>
    <row r="147" spans="2:33" x14ac:dyDescent="0.25">
      <c r="B147" s="9">
        <v>1</v>
      </c>
      <c r="D147" s="5" t="s">
        <v>13</v>
      </c>
      <c r="E147" s="24">
        <v>19</v>
      </c>
      <c r="F147" s="24">
        <v>31</v>
      </c>
      <c r="G147" s="95">
        <v>19</v>
      </c>
      <c r="H147" s="91">
        <f t="shared" ref="H147:H164" si="10">F147+G147</f>
        <v>50</v>
      </c>
      <c r="I147" s="24">
        <v>10</v>
      </c>
      <c r="J147" s="26">
        <f t="shared" ref="J147:J164" si="11">H147/E147</f>
        <v>2.6315789473684212</v>
      </c>
      <c r="K147" s="24">
        <v>3</v>
      </c>
      <c r="L147" s="24">
        <v>0</v>
      </c>
      <c r="M147" s="24">
        <v>2</v>
      </c>
      <c r="N147" s="24">
        <v>0</v>
      </c>
      <c r="O147" s="24">
        <v>0</v>
      </c>
      <c r="P147" s="24">
        <v>1</v>
      </c>
      <c r="Z147" s="17"/>
      <c r="AA147" s="17"/>
      <c r="AB147" s="17"/>
      <c r="AC147" s="31"/>
      <c r="AD147" s="17"/>
      <c r="AE147" s="25"/>
      <c r="AF147" s="17"/>
      <c r="AG147" s="17"/>
    </row>
    <row r="148" spans="2:33" x14ac:dyDescent="0.25">
      <c r="B148" s="9">
        <v>2</v>
      </c>
      <c r="D148" s="5" t="s">
        <v>7</v>
      </c>
      <c r="E148" s="24">
        <v>23</v>
      </c>
      <c r="F148" s="24">
        <v>24</v>
      </c>
      <c r="G148" s="95">
        <v>20</v>
      </c>
      <c r="H148" s="91">
        <f t="shared" si="10"/>
        <v>44</v>
      </c>
      <c r="I148" s="24">
        <v>14</v>
      </c>
      <c r="J148" s="26">
        <f t="shared" si="11"/>
        <v>1.9130434782608696</v>
      </c>
      <c r="K148" s="24">
        <v>2</v>
      </c>
      <c r="L148" s="24">
        <v>1</v>
      </c>
      <c r="M148" s="24">
        <v>2</v>
      </c>
      <c r="N148" s="24">
        <v>0</v>
      </c>
      <c r="O148" s="24">
        <v>0</v>
      </c>
      <c r="P148" s="24">
        <v>0</v>
      </c>
      <c r="Z148" s="17"/>
      <c r="AA148" s="17"/>
      <c r="AB148" s="17"/>
      <c r="AC148" s="31"/>
      <c r="AD148" s="17"/>
      <c r="AE148" s="25"/>
      <c r="AF148" s="17"/>
      <c r="AG148" s="17"/>
    </row>
    <row r="149" spans="2:33" x14ac:dyDescent="0.25">
      <c r="B149" s="9">
        <v>3</v>
      </c>
      <c r="D149" s="5" t="s">
        <v>30</v>
      </c>
      <c r="E149" s="24">
        <v>21</v>
      </c>
      <c r="F149" s="24">
        <v>14</v>
      </c>
      <c r="G149" s="95">
        <v>22</v>
      </c>
      <c r="H149" s="91">
        <f t="shared" si="10"/>
        <v>36</v>
      </c>
      <c r="I149" s="24">
        <v>16</v>
      </c>
      <c r="J149" s="26">
        <f t="shared" si="11"/>
        <v>1.7142857142857142</v>
      </c>
      <c r="K149" s="24">
        <v>0</v>
      </c>
      <c r="L149" s="24">
        <v>1</v>
      </c>
      <c r="M149" s="24">
        <v>2</v>
      </c>
      <c r="N149" s="24">
        <v>1</v>
      </c>
      <c r="O149" s="24">
        <v>0</v>
      </c>
      <c r="P149" s="24">
        <v>1</v>
      </c>
      <c r="Z149" s="17"/>
      <c r="AA149" s="17"/>
      <c r="AB149" s="17"/>
      <c r="AC149" s="31"/>
      <c r="AD149" s="17"/>
      <c r="AE149" s="25"/>
      <c r="AF149" s="17"/>
      <c r="AG149" s="17"/>
    </row>
    <row r="150" spans="2:33" x14ac:dyDescent="0.25">
      <c r="B150" s="9">
        <v>4</v>
      </c>
      <c r="D150" s="5" t="s">
        <v>356</v>
      </c>
      <c r="E150" s="24">
        <v>13</v>
      </c>
      <c r="F150" s="24">
        <v>20</v>
      </c>
      <c r="G150" s="95">
        <v>11</v>
      </c>
      <c r="H150" s="91">
        <f t="shared" si="10"/>
        <v>31</v>
      </c>
      <c r="I150" s="24">
        <v>2</v>
      </c>
      <c r="J150" s="26">
        <f t="shared" si="11"/>
        <v>2.3846153846153846</v>
      </c>
      <c r="K150" s="24">
        <v>0</v>
      </c>
      <c r="L150" s="24">
        <v>0</v>
      </c>
      <c r="M150" s="24">
        <v>3</v>
      </c>
      <c r="N150" s="24">
        <v>0</v>
      </c>
      <c r="O150" s="24">
        <v>3</v>
      </c>
      <c r="P150" s="24">
        <v>0</v>
      </c>
      <c r="Z150" s="17"/>
      <c r="AA150" s="17"/>
      <c r="AB150" s="17"/>
      <c r="AC150" s="31"/>
      <c r="AD150" s="17"/>
      <c r="AE150" s="25"/>
      <c r="AF150" s="17"/>
      <c r="AG150" s="17"/>
    </row>
    <row r="151" spans="2:33" x14ac:dyDescent="0.25">
      <c r="B151" s="9">
        <v>5</v>
      </c>
      <c r="D151" s="5" t="s">
        <v>39</v>
      </c>
      <c r="E151" s="24">
        <v>20</v>
      </c>
      <c r="F151" s="24">
        <v>14</v>
      </c>
      <c r="G151" s="95">
        <v>8</v>
      </c>
      <c r="H151" s="91">
        <f t="shared" si="10"/>
        <v>22</v>
      </c>
      <c r="I151" s="24">
        <v>6</v>
      </c>
      <c r="J151" s="26">
        <f t="shared" si="11"/>
        <v>1.1000000000000001</v>
      </c>
      <c r="K151" s="24">
        <v>0</v>
      </c>
      <c r="L151" s="24">
        <v>0</v>
      </c>
      <c r="M151" s="24">
        <v>0</v>
      </c>
      <c r="N151" s="24">
        <v>0</v>
      </c>
      <c r="O151" s="24">
        <v>0</v>
      </c>
      <c r="P151" s="24">
        <v>0</v>
      </c>
      <c r="Z151" s="17"/>
      <c r="AA151" s="17"/>
      <c r="AB151" s="17"/>
      <c r="AC151" s="31"/>
      <c r="AD151" s="17"/>
      <c r="AE151" s="25"/>
      <c r="AF151" s="17"/>
      <c r="AG151" s="17"/>
    </row>
    <row r="152" spans="2:33" x14ac:dyDescent="0.25">
      <c r="B152" s="9">
        <v>6</v>
      </c>
      <c r="D152" s="5" t="s">
        <v>324</v>
      </c>
      <c r="E152" s="24">
        <v>18</v>
      </c>
      <c r="F152" s="24">
        <v>13</v>
      </c>
      <c r="G152" s="95">
        <v>9</v>
      </c>
      <c r="H152" s="91">
        <f t="shared" si="10"/>
        <v>22</v>
      </c>
      <c r="I152" s="24">
        <v>4</v>
      </c>
      <c r="J152" s="26">
        <f t="shared" si="11"/>
        <v>1.2222222222222223</v>
      </c>
      <c r="K152" s="24">
        <v>0</v>
      </c>
      <c r="L152" s="24">
        <v>0</v>
      </c>
      <c r="M152" s="24">
        <v>0</v>
      </c>
      <c r="N152" s="24">
        <v>0</v>
      </c>
      <c r="O152" s="24">
        <v>0</v>
      </c>
      <c r="P152" s="24">
        <v>0</v>
      </c>
      <c r="Z152" s="17"/>
      <c r="AA152" s="17"/>
      <c r="AB152" s="17"/>
      <c r="AC152" s="31"/>
      <c r="AD152" s="17"/>
      <c r="AE152" s="25"/>
      <c r="AF152" s="17"/>
      <c r="AG152" s="17"/>
    </row>
    <row r="153" spans="2:33" x14ac:dyDescent="0.25">
      <c r="B153" s="9">
        <v>7</v>
      </c>
      <c r="D153" s="5" t="s">
        <v>14</v>
      </c>
      <c r="E153" s="24">
        <v>15</v>
      </c>
      <c r="F153" s="24">
        <v>9</v>
      </c>
      <c r="G153" s="95">
        <v>10</v>
      </c>
      <c r="H153" s="91">
        <f t="shared" si="10"/>
        <v>19</v>
      </c>
      <c r="I153" s="24">
        <v>8</v>
      </c>
      <c r="J153" s="26">
        <f t="shared" si="11"/>
        <v>1.2666666666666666</v>
      </c>
      <c r="K153" s="24">
        <v>1</v>
      </c>
      <c r="L153" s="24">
        <v>0</v>
      </c>
      <c r="M153" s="24">
        <v>1</v>
      </c>
      <c r="N153" s="24">
        <v>0</v>
      </c>
      <c r="O153" s="24">
        <v>0</v>
      </c>
      <c r="P153" s="24">
        <v>0</v>
      </c>
      <c r="Z153" s="17"/>
      <c r="AA153" s="17"/>
      <c r="AB153" s="17"/>
      <c r="AC153" s="31"/>
      <c r="AD153" s="17"/>
      <c r="AE153" s="25"/>
      <c r="AF153" s="17"/>
      <c r="AG153" s="17"/>
    </row>
    <row r="154" spans="2:33" x14ac:dyDescent="0.25">
      <c r="B154" s="9">
        <v>8</v>
      </c>
      <c r="D154" s="5" t="s">
        <v>10</v>
      </c>
      <c r="E154" s="24">
        <v>18</v>
      </c>
      <c r="F154" s="24">
        <v>7</v>
      </c>
      <c r="G154" s="95">
        <v>11</v>
      </c>
      <c r="H154" s="91">
        <f t="shared" si="10"/>
        <v>18</v>
      </c>
      <c r="I154" s="24">
        <v>0</v>
      </c>
      <c r="J154" s="26">
        <f t="shared" si="11"/>
        <v>1</v>
      </c>
      <c r="K154" s="24">
        <v>0</v>
      </c>
      <c r="L154" s="24">
        <v>0</v>
      </c>
      <c r="M154" s="24">
        <v>2</v>
      </c>
      <c r="N154" s="24">
        <v>0</v>
      </c>
      <c r="O154" s="24">
        <v>0</v>
      </c>
      <c r="P154" s="24">
        <v>0</v>
      </c>
      <c r="Z154" s="17"/>
      <c r="AA154" s="17"/>
      <c r="AB154" s="17"/>
      <c r="AC154" s="31"/>
      <c r="AD154" s="17"/>
      <c r="AE154" s="25"/>
      <c r="AF154" s="17"/>
      <c r="AG154" s="17"/>
    </row>
    <row r="155" spans="2:33" x14ac:dyDescent="0.25">
      <c r="B155" s="9">
        <v>9</v>
      </c>
      <c r="D155" s="5" t="s">
        <v>358</v>
      </c>
      <c r="E155" s="24">
        <v>21</v>
      </c>
      <c r="F155" s="24">
        <v>10</v>
      </c>
      <c r="G155" s="95">
        <v>3</v>
      </c>
      <c r="H155" s="91">
        <f t="shared" si="10"/>
        <v>13</v>
      </c>
      <c r="I155" s="24">
        <v>2</v>
      </c>
      <c r="J155" s="26">
        <f t="shared" si="11"/>
        <v>0.61904761904761907</v>
      </c>
      <c r="K155" s="24">
        <v>2</v>
      </c>
      <c r="L155" s="24">
        <v>0</v>
      </c>
      <c r="M155" s="24">
        <v>1</v>
      </c>
      <c r="N155" s="24">
        <v>0</v>
      </c>
      <c r="O155" s="24">
        <v>0</v>
      </c>
      <c r="P155" s="24">
        <v>0</v>
      </c>
      <c r="Z155" s="17"/>
      <c r="AA155" s="17"/>
      <c r="AB155" s="17"/>
      <c r="AC155" s="17"/>
      <c r="AD155" s="17"/>
      <c r="AE155" s="17"/>
      <c r="AF155" s="17"/>
      <c r="AG155" s="17"/>
    </row>
    <row r="156" spans="2:33" x14ac:dyDescent="0.25">
      <c r="B156" s="9">
        <v>10</v>
      </c>
      <c r="D156" s="5" t="s">
        <v>8</v>
      </c>
      <c r="E156" s="24">
        <v>11</v>
      </c>
      <c r="F156" s="24">
        <v>6</v>
      </c>
      <c r="G156" s="95">
        <v>6</v>
      </c>
      <c r="H156" s="91">
        <f t="shared" si="10"/>
        <v>12</v>
      </c>
      <c r="I156" s="24">
        <v>8</v>
      </c>
      <c r="J156" s="26">
        <f t="shared" si="11"/>
        <v>1.0909090909090908</v>
      </c>
      <c r="K156" s="24">
        <v>1</v>
      </c>
      <c r="L156" s="24">
        <v>0</v>
      </c>
      <c r="M156" s="24">
        <v>1</v>
      </c>
      <c r="N156" s="24">
        <v>0</v>
      </c>
      <c r="O156" s="24">
        <v>0</v>
      </c>
      <c r="P156" s="24">
        <v>0</v>
      </c>
    </row>
    <row r="157" spans="2:33" x14ac:dyDescent="0.25">
      <c r="B157" s="9">
        <v>11</v>
      </c>
      <c r="D157" s="5" t="s">
        <v>16</v>
      </c>
      <c r="E157" s="24">
        <v>13</v>
      </c>
      <c r="F157" s="24">
        <v>1</v>
      </c>
      <c r="G157" s="95">
        <v>5</v>
      </c>
      <c r="H157" s="91">
        <f t="shared" si="10"/>
        <v>6</v>
      </c>
      <c r="I157" s="24">
        <v>2</v>
      </c>
      <c r="J157" s="26">
        <f t="shared" si="11"/>
        <v>0.46153846153846156</v>
      </c>
      <c r="K157" s="24">
        <v>0</v>
      </c>
      <c r="L157" s="24">
        <v>0</v>
      </c>
      <c r="M157" s="24">
        <v>0</v>
      </c>
      <c r="N157" s="24">
        <v>0</v>
      </c>
      <c r="O157" s="24">
        <v>0</v>
      </c>
      <c r="P157" s="24">
        <v>0</v>
      </c>
    </row>
    <row r="158" spans="2:33" x14ac:dyDescent="0.25">
      <c r="B158" s="9">
        <v>12</v>
      </c>
      <c r="D158" s="5" t="s">
        <v>225</v>
      </c>
      <c r="E158" s="24">
        <v>21</v>
      </c>
      <c r="F158" s="24">
        <v>3</v>
      </c>
      <c r="G158" s="95">
        <v>2</v>
      </c>
      <c r="H158" s="91">
        <f t="shared" si="10"/>
        <v>5</v>
      </c>
      <c r="I158" s="24">
        <v>6</v>
      </c>
      <c r="J158" s="26">
        <f t="shared" si="11"/>
        <v>0.23809523809523808</v>
      </c>
      <c r="K158" s="24">
        <v>0</v>
      </c>
      <c r="L158" s="24">
        <v>0</v>
      </c>
      <c r="M158" s="24">
        <v>0</v>
      </c>
      <c r="N158" s="24">
        <v>0</v>
      </c>
      <c r="O158" s="24">
        <v>0</v>
      </c>
      <c r="P158" s="24">
        <v>0</v>
      </c>
      <c r="Z158" s="22"/>
      <c r="AA158" s="22"/>
      <c r="AB158" s="22"/>
      <c r="AC158" s="22"/>
      <c r="AD158" s="22"/>
      <c r="AE158" s="22"/>
      <c r="AF158" s="22"/>
      <c r="AG158" s="22"/>
    </row>
    <row r="159" spans="2:33" x14ac:dyDescent="0.25">
      <c r="B159" s="9">
        <v>13</v>
      </c>
      <c r="D159" s="5" t="s">
        <v>12</v>
      </c>
      <c r="E159" s="24">
        <v>11</v>
      </c>
      <c r="F159" s="24">
        <v>0</v>
      </c>
      <c r="G159" s="95">
        <v>5</v>
      </c>
      <c r="H159" s="91">
        <f t="shared" si="10"/>
        <v>5</v>
      </c>
      <c r="I159" s="24">
        <v>0</v>
      </c>
      <c r="J159" s="26">
        <f t="shared" si="11"/>
        <v>0.45454545454545453</v>
      </c>
      <c r="K159" s="24">
        <v>0</v>
      </c>
      <c r="L159" s="24">
        <v>0</v>
      </c>
      <c r="M159" s="24">
        <v>0</v>
      </c>
      <c r="N159" s="24">
        <v>0</v>
      </c>
      <c r="O159" s="24">
        <v>0</v>
      </c>
      <c r="P159" s="24">
        <v>0</v>
      </c>
      <c r="Z159" s="22"/>
      <c r="AA159" s="22"/>
      <c r="AB159" s="22"/>
      <c r="AC159" s="22"/>
      <c r="AD159" s="22"/>
      <c r="AE159" s="22"/>
      <c r="AF159" s="22"/>
      <c r="AG159" s="22"/>
    </row>
    <row r="160" spans="2:33" x14ac:dyDescent="0.25">
      <c r="B160" s="9">
        <v>14</v>
      </c>
      <c r="D160" s="5" t="s">
        <v>438</v>
      </c>
      <c r="E160" s="24">
        <v>4</v>
      </c>
      <c r="F160" s="24">
        <v>2</v>
      </c>
      <c r="G160" s="95">
        <v>2</v>
      </c>
      <c r="H160" s="91">
        <f t="shared" si="10"/>
        <v>4</v>
      </c>
      <c r="I160" s="24">
        <v>2</v>
      </c>
      <c r="J160" s="26">
        <f t="shared" si="11"/>
        <v>1</v>
      </c>
      <c r="K160" s="24">
        <v>0</v>
      </c>
      <c r="L160" s="24">
        <v>0</v>
      </c>
      <c r="M160" s="24">
        <v>0</v>
      </c>
      <c r="N160" s="24">
        <v>0</v>
      </c>
      <c r="O160" s="24">
        <v>0</v>
      </c>
      <c r="P160" s="24">
        <v>0</v>
      </c>
    </row>
    <row r="161" spans="2:16" x14ac:dyDescent="0.25">
      <c r="B161" s="9">
        <v>15</v>
      </c>
      <c r="D161" s="5" t="s">
        <v>9</v>
      </c>
      <c r="E161" s="24">
        <v>7</v>
      </c>
      <c r="F161" s="24">
        <v>1</v>
      </c>
      <c r="G161" s="95">
        <v>1</v>
      </c>
      <c r="H161" s="91">
        <f t="shared" si="10"/>
        <v>2</v>
      </c>
      <c r="I161" s="24">
        <v>2</v>
      </c>
      <c r="J161" s="26">
        <f t="shared" si="11"/>
        <v>0.2857142857142857</v>
      </c>
      <c r="K161" s="24">
        <v>0</v>
      </c>
      <c r="L161" s="24">
        <v>0</v>
      </c>
      <c r="M161" s="24">
        <v>0</v>
      </c>
      <c r="N161" s="24">
        <v>0</v>
      </c>
      <c r="O161" s="24">
        <v>0</v>
      </c>
      <c r="P161" s="24">
        <v>0</v>
      </c>
    </row>
    <row r="162" spans="2:16" x14ac:dyDescent="0.25">
      <c r="B162" s="9">
        <v>16</v>
      </c>
      <c r="D162" s="5" t="s">
        <v>434</v>
      </c>
      <c r="E162" s="24">
        <v>1</v>
      </c>
      <c r="F162" s="24">
        <v>0</v>
      </c>
      <c r="G162" s="95">
        <v>1</v>
      </c>
      <c r="H162" s="91">
        <f t="shared" si="10"/>
        <v>1</v>
      </c>
      <c r="I162" s="24">
        <v>0</v>
      </c>
      <c r="J162" s="26">
        <f t="shared" si="11"/>
        <v>1</v>
      </c>
      <c r="K162" s="24">
        <v>0</v>
      </c>
      <c r="L162" s="24">
        <v>0</v>
      </c>
      <c r="M162" s="24">
        <v>0</v>
      </c>
      <c r="N162" s="24">
        <v>0</v>
      </c>
      <c r="O162" s="24">
        <v>0</v>
      </c>
      <c r="P162" s="24">
        <v>0</v>
      </c>
    </row>
    <row r="163" spans="2:16" x14ac:dyDescent="0.25">
      <c r="B163" s="9">
        <v>17</v>
      </c>
      <c r="D163" s="5" t="s">
        <v>75</v>
      </c>
      <c r="E163" s="24">
        <v>18</v>
      </c>
      <c r="F163" s="24">
        <v>0</v>
      </c>
      <c r="G163" s="95">
        <v>0</v>
      </c>
      <c r="H163" s="91">
        <f t="shared" si="10"/>
        <v>0</v>
      </c>
      <c r="I163" s="24">
        <v>0</v>
      </c>
      <c r="J163" s="26">
        <f t="shared" si="11"/>
        <v>0</v>
      </c>
      <c r="K163" s="24">
        <v>0</v>
      </c>
      <c r="L163" s="24">
        <v>0</v>
      </c>
      <c r="M163" s="24">
        <v>0</v>
      </c>
      <c r="N163" s="24">
        <v>0</v>
      </c>
      <c r="O163" s="24">
        <v>0</v>
      </c>
      <c r="P163" s="24">
        <v>0</v>
      </c>
    </row>
    <row r="164" spans="2:16" x14ac:dyDescent="0.25">
      <c r="B164" s="9">
        <v>18</v>
      </c>
      <c r="D164" s="5" t="s">
        <v>435</v>
      </c>
      <c r="E164" s="24">
        <v>5</v>
      </c>
      <c r="F164" s="24">
        <v>0</v>
      </c>
      <c r="G164" s="95">
        <v>0</v>
      </c>
      <c r="H164" s="91">
        <f t="shared" si="10"/>
        <v>0</v>
      </c>
      <c r="I164" s="24">
        <v>0</v>
      </c>
      <c r="J164" s="26">
        <f t="shared" si="11"/>
        <v>0</v>
      </c>
      <c r="K164" s="24">
        <v>0</v>
      </c>
      <c r="L164" s="24">
        <v>0</v>
      </c>
      <c r="M164" s="24">
        <v>0</v>
      </c>
      <c r="N164" s="24">
        <v>0</v>
      </c>
      <c r="O164" s="24">
        <v>0</v>
      </c>
      <c r="P164" s="24">
        <v>0</v>
      </c>
    </row>
    <row r="167" spans="2:16" x14ac:dyDescent="0.25">
      <c r="C167" s="1" t="s">
        <v>403</v>
      </c>
    </row>
    <row r="169" spans="2:16" x14ac:dyDescent="0.25">
      <c r="D169" s="8" t="s">
        <v>0</v>
      </c>
      <c r="E169" s="18" t="s">
        <v>1</v>
      </c>
      <c r="F169" s="18" t="s">
        <v>2</v>
      </c>
      <c r="G169" s="94" t="s">
        <v>3</v>
      </c>
      <c r="H169" s="71" t="s">
        <v>4</v>
      </c>
      <c r="I169" s="18" t="s">
        <v>5</v>
      </c>
      <c r="J169" s="18" t="s">
        <v>38</v>
      </c>
      <c r="K169" s="18" t="s">
        <v>41</v>
      </c>
      <c r="L169" s="18" t="s">
        <v>42</v>
      </c>
      <c r="M169" s="18" t="s">
        <v>45</v>
      </c>
      <c r="N169" s="18" t="s">
        <v>46</v>
      </c>
      <c r="O169" s="18" t="s">
        <v>44</v>
      </c>
      <c r="P169" s="18" t="s">
        <v>43</v>
      </c>
    </row>
    <row r="170" spans="2:16" x14ac:dyDescent="0.25">
      <c r="B170" s="9">
        <v>1</v>
      </c>
      <c r="D170" s="5" t="s">
        <v>13</v>
      </c>
      <c r="E170" s="24">
        <v>20</v>
      </c>
      <c r="F170" s="24">
        <v>38</v>
      </c>
      <c r="G170" s="95">
        <v>15</v>
      </c>
      <c r="H170" s="91">
        <f t="shared" ref="H170:H185" si="12">F170+G170</f>
        <v>53</v>
      </c>
      <c r="I170" s="24">
        <v>4</v>
      </c>
      <c r="J170" s="26">
        <f t="shared" ref="J170:J185" si="13">H170/E170</f>
        <v>2.65</v>
      </c>
      <c r="K170" s="24">
        <v>2</v>
      </c>
      <c r="L170" s="24">
        <v>2</v>
      </c>
      <c r="M170" s="24">
        <v>3</v>
      </c>
      <c r="N170" s="24">
        <v>0</v>
      </c>
      <c r="O170" s="24">
        <v>4</v>
      </c>
      <c r="P170" s="24">
        <v>0</v>
      </c>
    </row>
    <row r="171" spans="2:16" x14ac:dyDescent="0.25">
      <c r="B171" s="9">
        <v>2</v>
      </c>
      <c r="D171" s="5" t="s">
        <v>30</v>
      </c>
      <c r="E171" s="24">
        <v>19</v>
      </c>
      <c r="F171" s="24">
        <v>14</v>
      </c>
      <c r="G171" s="95">
        <v>26</v>
      </c>
      <c r="H171" s="91">
        <f t="shared" si="12"/>
        <v>40</v>
      </c>
      <c r="I171" s="24">
        <v>2</v>
      </c>
      <c r="J171" s="26">
        <f t="shared" si="13"/>
        <v>2.1052631578947367</v>
      </c>
      <c r="K171" s="24">
        <v>1</v>
      </c>
      <c r="L171" s="24">
        <v>0</v>
      </c>
      <c r="M171" s="24">
        <v>4</v>
      </c>
      <c r="N171" s="24">
        <v>0</v>
      </c>
      <c r="O171" s="24">
        <v>0</v>
      </c>
      <c r="P171" s="24">
        <v>0</v>
      </c>
    </row>
    <row r="172" spans="2:16" x14ac:dyDescent="0.25">
      <c r="B172" s="9">
        <v>3</v>
      </c>
      <c r="D172" s="5" t="s">
        <v>7</v>
      </c>
      <c r="E172" s="24">
        <v>15</v>
      </c>
      <c r="F172" s="24">
        <v>18</v>
      </c>
      <c r="G172" s="95">
        <v>12</v>
      </c>
      <c r="H172" s="91">
        <f t="shared" si="12"/>
        <v>30</v>
      </c>
      <c r="I172" s="24">
        <v>0</v>
      </c>
      <c r="J172" s="26">
        <f t="shared" si="13"/>
        <v>2</v>
      </c>
      <c r="K172" s="24">
        <v>2</v>
      </c>
      <c r="L172" s="24">
        <v>0</v>
      </c>
      <c r="M172" s="24">
        <v>1</v>
      </c>
      <c r="N172" s="24">
        <v>0</v>
      </c>
      <c r="O172" s="24">
        <v>1</v>
      </c>
      <c r="P172" s="24">
        <v>0</v>
      </c>
    </row>
    <row r="173" spans="2:16" x14ac:dyDescent="0.25">
      <c r="B173" s="9">
        <v>4</v>
      </c>
      <c r="D173" s="5" t="s">
        <v>356</v>
      </c>
      <c r="E173" s="24">
        <v>13</v>
      </c>
      <c r="F173" s="24">
        <v>17</v>
      </c>
      <c r="G173" s="95">
        <v>13</v>
      </c>
      <c r="H173" s="91">
        <f t="shared" si="12"/>
        <v>30</v>
      </c>
      <c r="I173" s="24">
        <v>0</v>
      </c>
      <c r="J173" s="26">
        <f t="shared" si="13"/>
        <v>2.3076923076923075</v>
      </c>
      <c r="K173" s="24">
        <v>1</v>
      </c>
      <c r="L173" s="24">
        <v>2</v>
      </c>
      <c r="M173" s="24">
        <v>4</v>
      </c>
      <c r="N173" s="24">
        <v>0</v>
      </c>
      <c r="O173" s="24">
        <v>1</v>
      </c>
      <c r="P173" s="24">
        <v>0</v>
      </c>
    </row>
    <row r="174" spans="2:16" x14ac:dyDescent="0.25">
      <c r="B174" s="9">
        <v>5</v>
      </c>
      <c r="D174" s="5" t="s">
        <v>39</v>
      </c>
      <c r="E174" s="24">
        <v>18</v>
      </c>
      <c r="F174" s="24">
        <v>14</v>
      </c>
      <c r="G174" s="95">
        <v>13</v>
      </c>
      <c r="H174" s="91">
        <f t="shared" si="12"/>
        <v>27</v>
      </c>
      <c r="I174" s="24">
        <v>6</v>
      </c>
      <c r="J174" s="26">
        <f t="shared" si="13"/>
        <v>1.5</v>
      </c>
      <c r="K174" s="24">
        <v>0</v>
      </c>
      <c r="L174" s="24">
        <v>0</v>
      </c>
      <c r="M174" s="24">
        <v>1</v>
      </c>
      <c r="N174" s="24">
        <v>0</v>
      </c>
      <c r="O174" s="24">
        <v>0</v>
      </c>
      <c r="P174" s="24">
        <v>0</v>
      </c>
    </row>
    <row r="175" spans="2:16" x14ac:dyDescent="0.25">
      <c r="B175" s="9">
        <v>6</v>
      </c>
      <c r="D175" s="5" t="s">
        <v>8</v>
      </c>
      <c r="E175" s="24">
        <v>17</v>
      </c>
      <c r="F175" s="24">
        <v>13</v>
      </c>
      <c r="G175" s="95">
        <v>10</v>
      </c>
      <c r="H175" s="91">
        <f t="shared" si="12"/>
        <v>23</v>
      </c>
      <c r="I175" s="24">
        <v>0</v>
      </c>
      <c r="J175" s="26">
        <f t="shared" si="13"/>
        <v>1.3529411764705883</v>
      </c>
      <c r="K175" s="24">
        <v>2</v>
      </c>
      <c r="L175" s="24">
        <v>0</v>
      </c>
      <c r="M175" s="24">
        <v>0</v>
      </c>
      <c r="N175" s="24">
        <v>0</v>
      </c>
      <c r="O175" s="24">
        <v>0</v>
      </c>
      <c r="P175" s="24">
        <v>0</v>
      </c>
    </row>
    <row r="176" spans="2:16" x14ac:dyDescent="0.25">
      <c r="B176" s="9">
        <v>7</v>
      </c>
      <c r="D176" s="5" t="s">
        <v>10</v>
      </c>
      <c r="E176" s="24">
        <v>16</v>
      </c>
      <c r="F176" s="24">
        <v>8</v>
      </c>
      <c r="G176" s="95">
        <v>11</v>
      </c>
      <c r="H176" s="91">
        <f t="shared" si="12"/>
        <v>19</v>
      </c>
      <c r="I176" s="24">
        <v>2</v>
      </c>
      <c r="J176" s="26">
        <f t="shared" si="13"/>
        <v>1.1875</v>
      </c>
      <c r="K176" s="24">
        <v>0</v>
      </c>
      <c r="L176" s="24">
        <v>0</v>
      </c>
      <c r="M176" s="24">
        <v>2</v>
      </c>
      <c r="N176" s="24">
        <v>0</v>
      </c>
      <c r="O176" s="24">
        <v>0</v>
      </c>
      <c r="P176" s="24">
        <v>0</v>
      </c>
    </row>
    <row r="177" spans="2:16" x14ac:dyDescent="0.25">
      <c r="B177" s="9">
        <v>8</v>
      </c>
      <c r="D177" s="5" t="s">
        <v>9</v>
      </c>
      <c r="E177" s="24">
        <v>14</v>
      </c>
      <c r="F177" s="24">
        <v>6</v>
      </c>
      <c r="G177" s="95">
        <v>10</v>
      </c>
      <c r="H177" s="91">
        <f t="shared" si="12"/>
        <v>16</v>
      </c>
      <c r="I177" s="24">
        <v>4</v>
      </c>
      <c r="J177" s="26">
        <f t="shared" si="13"/>
        <v>1.1428571428571428</v>
      </c>
      <c r="K177" s="24">
        <v>1</v>
      </c>
      <c r="L177" s="24">
        <v>0</v>
      </c>
      <c r="M177" s="24">
        <v>1</v>
      </c>
      <c r="N177" s="24">
        <v>0</v>
      </c>
      <c r="O177" s="24">
        <v>0</v>
      </c>
      <c r="P177" s="24">
        <v>0</v>
      </c>
    </row>
    <row r="178" spans="2:16" x14ac:dyDescent="0.25">
      <c r="B178" s="9">
        <v>9</v>
      </c>
      <c r="D178" s="5" t="s">
        <v>12</v>
      </c>
      <c r="E178" s="24">
        <v>17</v>
      </c>
      <c r="F178" s="24">
        <v>6</v>
      </c>
      <c r="G178" s="95">
        <v>7</v>
      </c>
      <c r="H178" s="91">
        <f t="shared" si="12"/>
        <v>13</v>
      </c>
      <c r="I178" s="24">
        <v>10</v>
      </c>
      <c r="J178" s="26">
        <f t="shared" si="13"/>
        <v>0.76470588235294112</v>
      </c>
      <c r="K178" s="24">
        <v>1</v>
      </c>
      <c r="L178" s="24">
        <v>0</v>
      </c>
      <c r="M178" s="24">
        <v>1</v>
      </c>
      <c r="N178" s="24">
        <v>0</v>
      </c>
      <c r="O178" s="24">
        <v>0</v>
      </c>
      <c r="P178" s="24">
        <v>0</v>
      </c>
    </row>
    <row r="179" spans="2:16" x14ac:dyDescent="0.25">
      <c r="B179" s="9">
        <v>10</v>
      </c>
      <c r="D179" s="5" t="s">
        <v>14</v>
      </c>
      <c r="E179" s="24">
        <v>20</v>
      </c>
      <c r="F179" s="24">
        <v>4</v>
      </c>
      <c r="G179" s="95">
        <v>5</v>
      </c>
      <c r="H179" s="91">
        <f t="shared" si="12"/>
        <v>9</v>
      </c>
      <c r="I179" s="24">
        <v>4</v>
      </c>
      <c r="J179" s="26">
        <f t="shared" si="13"/>
        <v>0.45</v>
      </c>
      <c r="K179" s="24">
        <v>0</v>
      </c>
      <c r="L179" s="24">
        <v>0</v>
      </c>
      <c r="M179" s="24">
        <v>1</v>
      </c>
      <c r="N179" s="24">
        <v>0</v>
      </c>
      <c r="O179" s="24">
        <v>0</v>
      </c>
      <c r="P179" s="24">
        <v>0</v>
      </c>
    </row>
    <row r="180" spans="2:16" x14ac:dyDescent="0.25">
      <c r="B180" s="9">
        <v>11</v>
      </c>
      <c r="D180" s="5" t="s">
        <v>324</v>
      </c>
      <c r="E180" s="24">
        <v>11</v>
      </c>
      <c r="F180" s="24">
        <v>5</v>
      </c>
      <c r="G180" s="95">
        <v>2</v>
      </c>
      <c r="H180" s="91">
        <f t="shared" si="12"/>
        <v>7</v>
      </c>
      <c r="I180" s="24">
        <v>4</v>
      </c>
      <c r="J180" s="26">
        <f t="shared" si="13"/>
        <v>0.63636363636363635</v>
      </c>
      <c r="K180" s="24">
        <v>0</v>
      </c>
      <c r="L180" s="24">
        <v>0</v>
      </c>
      <c r="M180" s="24">
        <v>1</v>
      </c>
      <c r="N180" s="24">
        <v>0</v>
      </c>
      <c r="O180" s="24">
        <v>0</v>
      </c>
      <c r="P180" s="24">
        <v>0</v>
      </c>
    </row>
    <row r="181" spans="2:16" x14ac:dyDescent="0.25">
      <c r="B181" s="9">
        <v>12</v>
      </c>
      <c r="D181" s="5" t="s">
        <v>16</v>
      </c>
      <c r="E181" s="24">
        <v>8</v>
      </c>
      <c r="F181" s="24">
        <v>1</v>
      </c>
      <c r="G181" s="95">
        <v>3</v>
      </c>
      <c r="H181" s="91">
        <f t="shared" si="12"/>
        <v>4</v>
      </c>
      <c r="I181" s="24">
        <v>0</v>
      </c>
      <c r="J181" s="26">
        <f t="shared" si="13"/>
        <v>0.5</v>
      </c>
      <c r="K181" s="24">
        <v>0</v>
      </c>
      <c r="L181" s="24">
        <v>0</v>
      </c>
      <c r="M181" s="24">
        <v>0</v>
      </c>
      <c r="N181" s="24">
        <v>0</v>
      </c>
      <c r="O181" s="24">
        <v>0</v>
      </c>
      <c r="P181" s="24">
        <v>0</v>
      </c>
    </row>
    <row r="182" spans="2:16" x14ac:dyDescent="0.25">
      <c r="B182" s="9">
        <v>13</v>
      </c>
      <c r="D182" s="5" t="s">
        <v>225</v>
      </c>
      <c r="E182" s="24">
        <v>16</v>
      </c>
      <c r="F182" s="24">
        <v>2</v>
      </c>
      <c r="G182" s="95">
        <v>1</v>
      </c>
      <c r="H182" s="91">
        <f t="shared" si="12"/>
        <v>3</v>
      </c>
      <c r="I182" s="24">
        <v>6</v>
      </c>
      <c r="J182" s="26">
        <f t="shared" si="13"/>
        <v>0.1875</v>
      </c>
      <c r="K182" s="24">
        <v>0</v>
      </c>
      <c r="L182" s="24">
        <v>0</v>
      </c>
      <c r="M182" s="24">
        <v>1</v>
      </c>
      <c r="N182" s="24">
        <v>0</v>
      </c>
      <c r="O182" s="24">
        <v>1</v>
      </c>
      <c r="P182" s="24">
        <v>0</v>
      </c>
    </row>
    <row r="183" spans="2:16" x14ac:dyDescent="0.25">
      <c r="B183" s="9">
        <v>14</v>
      </c>
      <c r="D183" s="5" t="s">
        <v>358</v>
      </c>
      <c r="E183" s="24">
        <v>11</v>
      </c>
      <c r="F183" s="24">
        <v>1</v>
      </c>
      <c r="G183" s="95">
        <v>0</v>
      </c>
      <c r="H183" s="91">
        <f t="shared" si="12"/>
        <v>1</v>
      </c>
      <c r="I183" s="24">
        <v>0</v>
      </c>
      <c r="J183" s="26">
        <f t="shared" si="13"/>
        <v>9.0909090909090912E-2</v>
      </c>
      <c r="K183" s="24">
        <v>0</v>
      </c>
      <c r="L183" s="24">
        <v>0</v>
      </c>
      <c r="M183" s="24">
        <v>0</v>
      </c>
      <c r="N183" s="24">
        <v>0</v>
      </c>
      <c r="O183" s="24">
        <v>0</v>
      </c>
      <c r="P183" s="24">
        <v>0</v>
      </c>
    </row>
    <row r="184" spans="2:16" x14ac:dyDescent="0.25">
      <c r="B184" s="9">
        <v>15</v>
      </c>
      <c r="D184" s="5" t="s">
        <v>435</v>
      </c>
      <c r="E184" s="24">
        <v>2</v>
      </c>
      <c r="F184" s="24">
        <v>0</v>
      </c>
      <c r="G184" s="95">
        <v>0</v>
      </c>
      <c r="H184" s="91">
        <f t="shared" si="12"/>
        <v>0</v>
      </c>
      <c r="I184" s="24">
        <v>0</v>
      </c>
      <c r="J184" s="26">
        <f t="shared" si="13"/>
        <v>0</v>
      </c>
      <c r="K184" s="24">
        <v>0</v>
      </c>
      <c r="L184" s="24">
        <v>0</v>
      </c>
      <c r="M184" s="24">
        <v>0</v>
      </c>
      <c r="N184" s="24">
        <v>0</v>
      </c>
      <c r="O184" s="24">
        <v>0</v>
      </c>
      <c r="P184" s="24">
        <v>0</v>
      </c>
    </row>
    <row r="185" spans="2:16" x14ac:dyDescent="0.25">
      <c r="B185" s="9">
        <v>16</v>
      </c>
      <c r="D185" s="5" t="s">
        <v>75</v>
      </c>
      <c r="E185" s="24">
        <v>18</v>
      </c>
      <c r="F185" s="24">
        <v>0</v>
      </c>
      <c r="G185" s="95">
        <v>0</v>
      </c>
      <c r="H185" s="91">
        <f t="shared" si="12"/>
        <v>0</v>
      </c>
      <c r="I185" s="24">
        <v>0</v>
      </c>
      <c r="J185" s="26">
        <f t="shared" si="13"/>
        <v>0</v>
      </c>
      <c r="K185" s="24">
        <v>0</v>
      </c>
      <c r="L185" s="24">
        <v>0</v>
      </c>
      <c r="M185" s="24">
        <v>0</v>
      </c>
      <c r="N185" s="24">
        <v>0</v>
      </c>
      <c r="O185" s="24">
        <v>0</v>
      </c>
      <c r="P185" s="24">
        <v>0</v>
      </c>
    </row>
    <row r="188" spans="2:16" x14ac:dyDescent="0.25">
      <c r="C188" s="1" t="s">
        <v>378</v>
      </c>
    </row>
    <row r="190" spans="2:16" x14ac:dyDescent="0.25">
      <c r="D190" s="8" t="s">
        <v>0</v>
      </c>
      <c r="E190" s="18" t="s">
        <v>1</v>
      </c>
      <c r="F190" s="18" t="s">
        <v>2</v>
      </c>
      <c r="G190" s="94" t="s">
        <v>3</v>
      </c>
      <c r="H190" s="71" t="s">
        <v>4</v>
      </c>
      <c r="I190" s="18" t="s">
        <v>5</v>
      </c>
      <c r="J190" s="18" t="s">
        <v>38</v>
      </c>
      <c r="K190" s="18" t="s">
        <v>41</v>
      </c>
      <c r="L190" s="18" t="s">
        <v>42</v>
      </c>
      <c r="M190" s="18" t="s">
        <v>45</v>
      </c>
      <c r="N190" s="18" t="s">
        <v>46</v>
      </c>
      <c r="O190" s="18" t="s">
        <v>44</v>
      </c>
      <c r="P190" s="18" t="s">
        <v>43</v>
      </c>
    </row>
    <row r="191" spans="2:16" x14ac:dyDescent="0.25">
      <c r="B191" s="9">
        <v>1</v>
      </c>
      <c r="D191" s="5" t="s">
        <v>30</v>
      </c>
      <c r="E191" s="24">
        <v>4</v>
      </c>
      <c r="F191" s="24">
        <v>7</v>
      </c>
      <c r="G191" s="95">
        <v>5</v>
      </c>
      <c r="H191" s="91">
        <f t="shared" ref="H191:H203" si="14">F191+G191</f>
        <v>12</v>
      </c>
      <c r="I191" s="24">
        <v>0</v>
      </c>
      <c r="J191" s="26">
        <f t="shared" ref="J191:J203" si="15">H191/E191</f>
        <v>3</v>
      </c>
      <c r="K191" s="24">
        <v>0</v>
      </c>
      <c r="L191" s="24">
        <v>0</v>
      </c>
      <c r="M191" s="24">
        <v>2</v>
      </c>
      <c r="N191" s="24">
        <v>0</v>
      </c>
      <c r="O191" s="24">
        <v>0</v>
      </c>
      <c r="P191" s="24">
        <v>0</v>
      </c>
    </row>
    <row r="192" spans="2:16" x14ac:dyDescent="0.25">
      <c r="B192" s="9">
        <v>2</v>
      </c>
      <c r="D192" s="5" t="s">
        <v>13</v>
      </c>
      <c r="E192" s="24">
        <v>2</v>
      </c>
      <c r="F192" s="24">
        <v>5</v>
      </c>
      <c r="G192" s="95">
        <v>1</v>
      </c>
      <c r="H192" s="91">
        <f t="shared" si="14"/>
        <v>6</v>
      </c>
      <c r="I192" s="24">
        <v>0</v>
      </c>
      <c r="J192" s="26">
        <f t="shared" si="15"/>
        <v>3</v>
      </c>
      <c r="K192" s="24">
        <v>0</v>
      </c>
      <c r="L192" s="24">
        <v>1</v>
      </c>
      <c r="M192" s="24">
        <v>0</v>
      </c>
      <c r="N192" s="24">
        <v>0</v>
      </c>
      <c r="O192" s="24">
        <v>0</v>
      </c>
      <c r="P192" s="24">
        <v>0</v>
      </c>
    </row>
    <row r="193" spans="2:16" x14ac:dyDescent="0.25">
      <c r="B193" s="9">
        <v>3</v>
      </c>
      <c r="D193" s="5" t="s">
        <v>9</v>
      </c>
      <c r="E193" s="24">
        <v>4</v>
      </c>
      <c r="F193" s="24">
        <v>0</v>
      </c>
      <c r="G193" s="95">
        <v>5</v>
      </c>
      <c r="H193" s="91">
        <f t="shared" si="14"/>
        <v>5</v>
      </c>
      <c r="I193" s="24">
        <v>0</v>
      </c>
      <c r="J193" s="26">
        <f t="shared" si="15"/>
        <v>1.25</v>
      </c>
      <c r="K193" s="24">
        <v>0</v>
      </c>
      <c r="L193" s="24">
        <v>0</v>
      </c>
      <c r="M193" s="24">
        <v>0</v>
      </c>
      <c r="N193" s="24">
        <v>0</v>
      </c>
      <c r="O193" s="24">
        <v>0</v>
      </c>
      <c r="P193" s="24">
        <v>0</v>
      </c>
    </row>
    <row r="194" spans="2:16" x14ac:dyDescent="0.25">
      <c r="B194" s="9">
        <v>4</v>
      </c>
      <c r="D194" s="5" t="s">
        <v>14</v>
      </c>
      <c r="E194" s="24">
        <v>4</v>
      </c>
      <c r="F194" s="24">
        <v>4</v>
      </c>
      <c r="G194" s="95">
        <v>0</v>
      </c>
      <c r="H194" s="91">
        <f t="shared" si="14"/>
        <v>4</v>
      </c>
      <c r="I194" s="24">
        <v>0</v>
      </c>
      <c r="J194" s="26">
        <f t="shared" si="15"/>
        <v>1</v>
      </c>
      <c r="K194" s="24">
        <v>0</v>
      </c>
      <c r="L194" s="24">
        <v>0</v>
      </c>
      <c r="M194" s="24">
        <v>1</v>
      </c>
      <c r="N194" s="24">
        <v>0</v>
      </c>
      <c r="O194" s="24">
        <v>0</v>
      </c>
      <c r="P194" s="24">
        <v>0</v>
      </c>
    </row>
    <row r="195" spans="2:16" x14ac:dyDescent="0.25">
      <c r="B195" s="9">
        <v>5</v>
      </c>
      <c r="D195" s="5" t="s">
        <v>400</v>
      </c>
      <c r="E195" s="24">
        <v>2</v>
      </c>
      <c r="F195" s="24">
        <v>3</v>
      </c>
      <c r="G195" s="95">
        <v>1</v>
      </c>
      <c r="H195" s="91">
        <f t="shared" si="14"/>
        <v>4</v>
      </c>
      <c r="I195" s="24">
        <v>0</v>
      </c>
      <c r="J195" s="26">
        <f t="shared" si="15"/>
        <v>2</v>
      </c>
      <c r="K195" s="24">
        <v>0</v>
      </c>
      <c r="L195" s="24">
        <v>0</v>
      </c>
      <c r="M195" s="24">
        <v>0</v>
      </c>
      <c r="N195" s="24">
        <v>0</v>
      </c>
      <c r="O195" s="24">
        <v>0</v>
      </c>
      <c r="P195" s="24">
        <v>0</v>
      </c>
    </row>
    <row r="196" spans="2:16" x14ac:dyDescent="0.25">
      <c r="B196" s="9">
        <v>6</v>
      </c>
      <c r="D196" s="5" t="s">
        <v>39</v>
      </c>
      <c r="E196" s="24">
        <v>4</v>
      </c>
      <c r="F196" s="24">
        <v>2</v>
      </c>
      <c r="G196" s="95">
        <v>2</v>
      </c>
      <c r="H196" s="91">
        <f t="shared" si="14"/>
        <v>4</v>
      </c>
      <c r="I196" s="24">
        <v>0</v>
      </c>
      <c r="J196" s="26">
        <f t="shared" si="15"/>
        <v>1</v>
      </c>
      <c r="K196" s="24">
        <v>0</v>
      </c>
      <c r="L196" s="24">
        <v>0</v>
      </c>
      <c r="M196" s="24">
        <v>0</v>
      </c>
      <c r="N196" s="24">
        <v>0</v>
      </c>
      <c r="O196" s="24">
        <v>0</v>
      </c>
      <c r="P196" s="24">
        <v>0</v>
      </c>
    </row>
    <row r="197" spans="2:16" x14ac:dyDescent="0.25">
      <c r="B197" s="9">
        <v>7</v>
      </c>
      <c r="D197" s="5" t="s">
        <v>16</v>
      </c>
      <c r="E197" s="24">
        <v>4</v>
      </c>
      <c r="F197" s="24">
        <v>1</v>
      </c>
      <c r="G197" s="95">
        <v>3</v>
      </c>
      <c r="H197" s="91">
        <f t="shared" si="14"/>
        <v>4</v>
      </c>
      <c r="I197" s="24">
        <v>0</v>
      </c>
      <c r="J197" s="26">
        <f t="shared" si="15"/>
        <v>1</v>
      </c>
      <c r="K197" s="24">
        <v>0</v>
      </c>
      <c r="L197" s="24">
        <v>0</v>
      </c>
      <c r="M197" s="24">
        <v>0</v>
      </c>
      <c r="N197" s="24">
        <v>0</v>
      </c>
      <c r="O197" s="24">
        <v>0</v>
      </c>
      <c r="P197" s="24">
        <v>0</v>
      </c>
    </row>
    <row r="198" spans="2:16" x14ac:dyDescent="0.25">
      <c r="B198" s="9">
        <v>8</v>
      </c>
      <c r="D198" s="5" t="s">
        <v>225</v>
      </c>
      <c r="E198" s="24">
        <v>4</v>
      </c>
      <c r="F198" s="24">
        <v>1</v>
      </c>
      <c r="G198" s="95">
        <v>2</v>
      </c>
      <c r="H198" s="91">
        <f t="shared" si="14"/>
        <v>3</v>
      </c>
      <c r="I198" s="24">
        <v>2</v>
      </c>
      <c r="J198" s="26">
        <f t="shared" si="15"/>
        <v>0.75</v>
      </c>
      <c r="K198" s="24">
        <v>0</v>
      </c>
      <c r="L198" s="24">
        <v>0</v>
      </c>
      <c r="M198" s="24">
        <v>0</v>
      </c>
      <c r="N198" s="24">
        <v>0</v>
      </c>
      <c r="O198" s="24">
        <v>0</v>
      </c>
      <c r="P198" s="24">
        <v>0</v>
      </c>
    </row>
    <row r="199" spans="2:16" x14ac:dyDescent="0.25">
      <c r="B199" s="9">
        <v>9</v>
      </c>
      <c r="D199" s="5" t="s">
        <v>8</v>
      </c>
      <c r="E199" s="24">
        <v>3</v>
      </c>
      <c r="F199" s="24">
        <v>2</v>
      </c>
      <c r="G199" s="95">
        <v>0</v>
      </c>
      <c r="H199" s="91">
        <f t="shared" si="14"/>
        <v>2</v>
      </c>
      <c r="I199" s="24">
        <v>0</v>
      </c>
      <c r="J199" s="26">
        <f t="shared" si="15"/>
        <v>0.66666666666666663</v>
      </c>
      <c r="K199" s="24">
        <v>0</v>
      </c>
      <c r="L199" s="24">
        <v>0</v>
      </c>
      <c r="M199" s="24">
        <v>0</v>
      </c>
      <c r="N199" s="24">
        <v>0</v>
      </c>
      <c r="O199" s="24">
        <v>0</v>
      </c>
      <c r="P199" s="24">
        <v>0</v>
      </c>
    </row>
    <row r="200" spans="2:16" x14ac:dyDescent="0.25">
      <c r="B200" s="9">
        <v>10</v>
      </c>
      <c r="D200" s="5" t="s">
        <v>356</v>
      </c>
      <c r="E200" s="24">
        <v>2</v>
      </c>
      <c r="F200" s="24">
        <v>1</v>
      </c>
      <c r="G200" s="95">
        <v>1</v>
      </c>
      <c r="H200" s="91">
        <f t="shared" si="14"/>
        <v>2</v>
      </c>
      <c r="I200" s="24">
        <v>0</v>
      </c>
      <c r="J200" s="26">
        <f t="shared" si="15"/>
        <v>1</v>
      </c>
      <c r="K200" s="24">
        <v>0</v>
      </c>
      <c r="L200" s="24">
        <v>0</v>
      </c>
      <c r="M200" s="24">
        <v>0</v>
      </c>
      <c r="N200" s="24">
        <v>0</v>
      </c>
      <c r="O200" s="24">
        <v>0</v>
      </c>
      <c r="P200" s="24">
        <v>0</v>
      </c>
    </row>
    <row r="201" spans="2:16" x14ac:dyDescent="0.25">
      <c r="B201" s="9">
        <v>11</v>
      </c>
      <c r="D201" s="5" t="s">
        <v>402</v>
      </c>
      <c r="E201" s="24">
        <v>2</v>
      </c>
      <c r="F201" s="24">
        <v>0</v>
      </c>
      <c r="G201" s="95">
        <v>2</v>
      </c>
      <c r="H201" s="91">
        <f t="shared" si="14"/>
        <v>2</v>
      </c>
      <c r="I201" s="24">
        <v>0</v>
      </c>
      <c r="J201" s="26">
        <f t="shared" si="15"/>
        <v>1</v>
      </c>
      <c r="K201" s="24">
        <v>0</v>
      </c>
      <c r="L201" s="24">
        <v>0</v>
      </c>
      <c r="M201" s="24">
        <v>0</v>
      </c>
      <c r="N201" s="24">
        <v>0</v>
      </c>
      <c r="O201" s="24">
        <v>0</v>
      </c>
      <c r="P201" s="24">
        <v>0</v>
      </c>
    </row>
    <row r="202" spans="2:16" x14ac:dyDescent="0.25">
      <c r="B202" s="9">
        <v>12</v>
      </c>
      <c r="D202" s="5" t="s">
        <v>10</v>
      </c>
      <c r="E202" s="24">
        <v>4</v>
      </c>
      <c r="F202" s="24">
        <v>0</v>
      </c>
      <c r="G202" s="95">
        <v>2</v>
      </c>
      <c r="H202" s="91">
        <f t="shared" si="14"/>
        <v>2</v>
      </c>
      <c r="I202" s="24">
        <v>0</v>
      </c>
      <c r="J202" s="26">
        <f t="shared" si="15"/>
        <v>0.5</v>
      </c>
      <c r="K202" s="24">
        <v>0</v>
      </c>
      <c r="L202" s="24">
        <v>0</v>
      </c>
      <c r="M202" s="24">
        <v>0</v>
      </c>
      <c r="N202" s="24">
        <v>0</v>
      </c>
      <c r="O202" s="24">
        <v>0</v>
      </c>
      <c r="P202" s="24">
        <v>0</v>
      </c>
    </row>
    <row r="203" spans="2:16" x14ac:dyDescent="0.25">
      <c r="B203" s="9">
        <v>13</v>
      </c>
      <c r="D203" s="5" t="s">
        <v>294</v>
      </c>
      <c r="E203" s="24">
        <v>4</v>
      </c>
      <c r="F203" s="24">
        <v>0</v>
      </c>
      <c r="G203" s="95">
        <v>0</v>
      </c>
      <c r="H203" s="91">
        <f t="shared" si="14"/>
        <v>0</v>
      </c>
      <c r="I203" s="24">
        <v>0</v>
      </c>
      <c r="J203" s="26">
        <f t="shared" si="15"/>
        <v>0</v>
      </c>
      <c r="K203" s="24">
        <v>0</v>
      </c>
      <c r="L203" s="24">
        <v>0</v>
      </c>
      <c r="M203" s="24">
        <v>0</v>
      </c>
      <c r="N203" s="24">
        <v>0</v>
      </c>
      <c r="O203" s="24">
        <v>0</v>
      </c>
      <c r="P203" s="24">
        <v>0</v>
      </c>
    </row>
    <row r="206" spans="2:16" x14ac:dyDescent="0.25">
      <c r="C206" s="1" t="s">
        <v>349</v>
      </c>
    </row>
    <row r="208" spans="2:16" x14ac:dyDescent="0.25">
      <c r="D208" s="8" t="s">
        <v>0</v>
      </c>
      <c r="E208" s="18" t="s">
        <v>1</v>
      </c>
      <c r="F208" s="18" t="s">
        <v>2</v>
      </c>
      <c r="G208" s="94" t="s">
        <v>3</v>
      </c>
      <c r="H208" s="71" t="s">
        <v>4</v>
      </c>
      <c r="I208" s="18" t="s">
        <v>5</v>
      </c>
      <c r="J208" s="18" t="s">
        <v>38</v>
      </c>
      <c r="K208" s="18" t="s">
        <v>41</v>
      </c>
      <c r="L208" s="18" t="s">
        <v>42</v>
      </c>
      <c r="M208" s="18" t="s">
        <v>45</v>
      </c>
      <c r="N208" s="18" t="s">
        <v>46</v>
      </c>
      <c r="O208" s="18" t="s">
        <v>44</v>
      </c>
      <c r="P208" s="18" t="s">
        <v>43</v>
      </c>
    </row>
    <row r="209" spans="2:16" x14ac:dyDescent="0.25">
      <c r="B209" s="9">
        <v>1</v>
      </c>
      <c r="D209" s="5" t="s">
        <v>356</v>
      </c>
      <c r="E209" s="24">
        <v>14</v>
      </c>
      <c r="F209" s="24">
        <v>27</v>
      </c>
      <c r="G209" s="95">
        <v>17</v>
      </c>
      <c r="H209" s="91">
        <f t="shared" ref="H209:H222" si="16">F209+G209</f>
        <v>44</v>
      </c>
      <c r="I209" s="24">
        <v>2</v>
      </c>
      <c r="J209" s="26">
        <f t="shared" ref="J209:J222" si="17">H209/E209</f>
        <v>3.1428571428571428</v>
      </c>
      <c r="K209" s="24">
        <v>5</v>
      </c>
      <c r="L209" s="24">
        <v>0</v>
      </c>
      <c r="M209" s="24">
        <v>3</v>
      </c>
      <c r="N209" s="24">
        <v>0</v>
      </c>
      <c r="O209" s="24">
        <v>0</v>
      </c>
      <c r="P209" s="24">
        <v>0</v>
      </c>
    </row>
    <row r="210" spans="2:16" x14ac:dyDescent="0.25">
      <c r="B210" s="9">
        <v>2</v>
      </c>
      <c r="D210" s="5" t="s">
        <v>13</v>
      </c>
      <c r="E210" s="24">
        <v>14</v>
      </c>
      <c r="F210" s="24">
        <v>25</v>
      </c>
      <c r="G210" s="95">
        <v>9</v>
      </c>
      <c r="H210" s="91">
        <f t="shared" si="16"/>
        <v>34</v>
      </c>
      <c r="I210" s="24">
        <v>8</v>
      </c>
      <c r="J210" s="26">
        <f t="shared" si="17"/>
        <v>2.4285714285714284</v>
      </c>
      <c r="K210" s="24">
        <v>1</v>
      </c>
      <c r="L210" s="24">
        <v>0</v>
      </c>
      <c r="M210" s="24">
        <v>1</v>
      </c>
      <c r="N210" s="24">
        <v>0</v>
      </c>
      <c r="O210" s="24">
        <v>1</v>
      </c>
      <c r="P210" s="24">
        <v>1</v>
      </c>
    </row>
    <row r="211" spans="2:16" x14ac:dyDescent="0.25">
      <c r="B211" s="9">
        <v>3</v>
      </c>
      <c r="D211" s="5" t="s">
        <v>8</v>
      </c>
      <c r="E211" s="24">
        <v>12</v>
      </c>
      <c r="F211" s="24">
        <v>12</v>
      </c>
      <c r="G211" s="95">
        <v>12</v>
      </c>
      <c r="H211" s="91">
        <f t="shared" si="16"/>
        <v>24</v>
      </c>
      <c r="I211" s="24">
        <v>0</v>
      </c>
      <c r="J211" s="26">
        <f t="shared" si="17"/>
        <v>2</v>
      </c>
      <c r="K211" s="24">
        <v>0</v>
      </c>
      <c r="L211" s="24">
        <v>0</v>
      </c>
      <c r="M211" s="24">
        <v>3</v>
      </c>
      <c r="N211" s="24">
        <v>0</v>
      </c>
      <c r="O211" s="24">
        <v>0</v>
      </c>
      <c r="P211" s="24">
        <v>0</v>
      </c>
    </row>
    <row r="212" spans="2:16" x14ac:dyDescent="0.25">
      <c r="B212" s="9">
        <v>4</v>
      </c>
      <c r="D212" s="5" t="s">
        <v>10</v>
      </c>
      <c r="E212" s="24">
        <v>14</v>
      </c>
      <c r="F212" s="24">
        <v>8</v>
      </c>
      <c r="G212" s="95">
        <v>12</v>
      </c>
      <c r="H212" s="91">
        <f t="shared" si="16"/>
        <v>20</v>
      </c>
      <c r="I212" s="24">
        <v>0</v>
      </c>
      <c r="J212" s="26">
        <f t="shared" si="17"/>
        <v>1.4285714285714286</v>
      </c>
      <c r="K212" s="24">
        <v>3</v>
      </c>
      <c r="L212" s="24">
        <v>0</v>
      </c>
      <c r="M212" s="24">
        <v>1</v>
      </c>
      <c r="N212" s="24">
        <v>0</v>
      </c>
      <c r="O212" s="24">
        <v>0</v>
      </c>
      <c r="P212" s="24">
        <v>0</v>
      </c>
    </row>
    <row r="213" spans="2:16" x14ac:dyDescent="0.25">
      <c r="B213" s="9">
        <v>5</v>
      </c>
      <c r="D213" s="5" t="s">
        <v>30</v>
      </c>
      <c r="E213" s="24">
        <v>14</v>
      </c>
      <c r="F213" s="24">
        <v>7</v>
      </c>
      <c r="G213" s="95">
        <v>12</v>
      </c>
      <c r="H213" s="91">
        <f t="shared" si="16"/>
        <v>19</v>
      </c>
      <c r="I213" s="24">
        <v>4</v>
      </c>
      <c r="J213" s="26">
        <f t="shared" si="17"/>
        <v>1.3571428571428572</v>
      </c>
      <c r="K213" s="24">
        <v>0</v>
      </c>
      <c r="L213" s="24">
        <v>0</v>
      </c>
      <c r="M213" s="24">
        <v>1</v>
      </c>
      <c r="N213" s="24">
        <v>0</v>
      </c>
      <c r="O213" s="24">
        <v>0</v>
      </c>
      <c r="P213" s="24">
        <v>0</v>
      </c>
    </row>
    <row r="214" spans="2:16" x14ac:dyDescent="0.25">
      <c r="B214" s="9">
        <v>6</v>
      </c>
      <c r="D214" s="5" t="s">
        <v>39</v>
      </c>
      <c r="E214" s="24">
        <v>14</v>
      </c>
      <c r="F214" s="24">
        <v>7</v>
      </c>
      <c r="G214" s="95">
        <v>10</v>
      </c>
      <c r="H214" s="91">
        <f t="shared" si="16"/>
        <v>17</v>
      </c>
      <c r="I214" s="24">
        <v>0</v>
      </c>
      <c r="J214" s="26">
        <f t="shared" si="17"/>
        <v>1.2142857142857142</v>
      </c>
      <c r="K214" s="24">
        <v>2</v>
      </c>
      <c r="L214" s="24">
        <v>0</v>
      </c>
      <c r="M214" s="24">
        <v>1</v>
      </c>
      <c r="N214" s="24">
        <v>0</v>
      </c>
      <c r="O214" s="24">
        <v>0</v>
      </c>
      <c r="P214" s="24">
        <v>0</v>
      </c>
    </row>
    <row r="215" spans="2:16" x14ac:dyDescent="0.25">
      <c r="B215" s="9">
        <v>7</v>
      </c>
      <c r="D215" s="5" t="s">
        <v>14</v>
      </c>
      <c r="E215" s="24">
        <v>12</v>
      </c>
      <c r="F215" s="24">
        <v>3</v>
      </c>
      <c r="G215" s="95">
        <v>6</v>
      </c>
      <c r="H215" s="91">
        <f t="shared" si="16"/>
        <v>9</v>
      </c>
      <c r="I215" s="24">
        <v>0</v>
      </c>
      <c r="J215" s="26">
        <f t="shared" si="17"/>
        <v>0.75</v>
      </c>
      <c r="K215" s="24">
        <v>0</v>
      </c>
      <c r="L215" s="24">
        <v>0</v>
      </c>
      <c r="M215" s="24">
        <v>0</v>
      </c>
      <c r="N215" s="24">
        <v>0</v>
      </c>
      <c r="O215" s="24">
        <v>0</v>
      </c>
      <c r="P215" s="24">
        <v>0</v>
      </c>
    </row>
    <row r="216" spans="2:16" x14ac:dyDescent="0.25">
      <c r="B216" s="9">
        <v>8</v>
      </c>
      <c r="D216" s="5" t="s">
        <v>9</v>
      </c>
      <c r="E216" s="24">
        <v>12</v>
      </c>
      <c r="F216" s="24">
        <v>2</v>
      </c>
      <c r="G216" s="95">
        <v>6</v>
      </c>
      <c r="H216" s="91">
        <f t="shared" si="16"/>
        <v>8</v>
      </c>
      <c r="I216" s="24">
        <v>2</v>
      </c>
      <c r="J216" s="26">
        <f t="shared" si="17"/>
        <v>0.66666666666666663</v>
      </c>
      <c r="K216" s="24">
        <v>0</v>
      </c>
      <c r="L216" s="24">
        <v>0</v>
      </c>
      <c r="M216" s="24">
        <v>0</v>
      </c>
      <c r="N216" s="24">
        <v>0</v>
      </c>
      <c r="O216" s="24">
        <v>0</v>
      </c>
      <c r="P216" s="24">
        <v>0</v>
      </c>
    </row>
    <row r="217" spans="2:16" x14ac:dyDescent="0.25">
      <c r="B217" s="9">
        <v>9</v>
      </c>
      <c r="D217" s="5" t="s">
        <v>16</v>
      </c>
      <c r="E217" s="24">
        <v>10</v>
      </c>
      <c r="F217" s="24">
        <v>2</v>
      </c>
      <c r="G217" s="95">
        <v>3</v>
      </c>
      <c r="H217" s="91">
        <f t="shared" si="16"/>
        <v>5</v>
      </c>
      <c r="I217" s="24">
        <v>0</v>
      </c>
      <c r="J217" s="26">
        <f t="shared" si="17"/>
        <v>0.5</v>
      </c>
      <c r="K217" s="24">
        <v>0</v>
      </c>
      <c r="L217" s="24">
        <v>0</v>
      </c>
      <c r="M217" s="24">
        <v>0</v>
      </c>
      <c r="N217" s="24">
        <v>0</v>
      </c>
      <c r="O217" s="24">
        <v>0</v>
      </c>
      <c r="P217" s="24">
        <v>0</v>
      </c>
    </row>
    <row r="218" spans="2:16" x14ac:dyDescent="0.25">
      <c r="B218" s="9">
        <v>10</v>
      </c>
      <c r="D218" s="5" t="s">
        <v>12</v>
      </c>
      <c r="E218" s="24">
        <v>13</v>
      </c>
      <c r="F218" s="24">
        <v>2</v>
      </c>
      <c r="G218" s="95">
        <v>3</v>
      </c>
      <c r="H218" s="91">
        <f t="shared" si="16"/>
        <v>5</v>
      </c>
      <c r="I218" s="24">
        <v>0</v>
      </c>
      <c r="J218" s="26">
        <f t="shared" si="17"/>
        <v>0.38461538461538464</v>
      </c>
      <c r="K218" s="24">
        <v>1</v>
      </c>
      <c r="L218" s="24">
        <v>0</v>
      </c>
      <c r="M218" s="24">
        <v>0</v>
      </c>
      <c r="N218" s="24">
        <v>0</v>
      </c>
      <c r="O218" s="24">
        <v>0</v>
      </c>
      <c r="P218" s="24">
        <v>0</v>
      </c>
    </row>
    <row r="219" spans="2:16" x14ac:dyDescent="0.25">
      <c r="B219" s="9">
        <v>11</v>
      </c>
      <c r="D219" s="5" t="s">
        <v>7</v>
      </c>
      <c r="E219" s="24">
        <v>2</v>
      </c>
      <c r="F219" s="24">
        <v>2</v>
      </c>
      <c r="G219" s="95">
        <v>1</v>
      </c>
      <c r="H219" s="91">
        <f t="shared" si="16"/>
        <v>3</v>
      </c>
      <c r="I219" s="24">
        <v>0</v>
      </c>
      <c r="J219" s="26">
        <f t="shared" si="17"/>
        <v>1.5</v>
      </c>
      <c r="K219" s="24">
        <v>0</v>
      </c>
      <c r="L219" s="24">
        <v>0</v>
      </c>
      <c r="M219" s="24">
        <v>0</v>
      </c>
      <c r="N219" s="24">
        <v>0</v>
      </c>
      <c r="O219" s="24">
        <v>0</v>
      </c>
      <c r="P219" s="24">
        <v>0</v>
      </c>
    </row>
    <row r="220" spans="2:16" x14ac:dyDescent="0.25">
      <c r="B220" s="9">
        <v>12</v>
      </c>
      <c r="D220" s="5" t="s">
        <v>225</v>
      </c>
      <c r="E220" s="24">
        <v>12</v>
      </c>
      <c r="F220" s="24">
        <v>1</v>
      </c>
      <c r="G220" s="95">
        <v>2</v>
      </c>
      <c r="H220" s="91">
        <f t="shared" si="16"/>
        <v>3</v>
      </c>
      <c r="I220" s="24">
        <v>0</v>
      </c>
      <c r="J220" s="26">
        <f t="shared" si="17"/>
        <v>0.25</v>
      </c>
      <c r="K220" s="24">
        <v>0</v>
      </c>
      <c r="L220" s="24">
        <v>0</v>
      </c>
      <c r="M220" s="24">
        <v>0</v>
      </c>
      <c r="N220" s="24">
        <v>0</v>
      </c>
      <c r="O220" s="24">
        <v>0</v>
      </c>
      <c r="P220" s="24">
        <v>0</v>
      </c>
    </row>
    <row r="221" spans="2:16" x14ac:dyDescent="0.25">
      <c r="B221" s="9">
        <v>13</v>
      </c>
      <c r="D221" s="5" t="s">
        <v>15</v>
      </c>
      <c r="E221" s="24">
        <v>2</v>
      </c>
      <c r="F221" s="24">
        <v>0</v>
      </c>
      <c r="G221" s="95">
        <v>1</v>
      </c>
      <c r="H221" s="91">
        <f t="shared" si="16"/>
        <v>1</v>
      </c>
      <c r="I221" s="24">
        <v>2</v>
      </c>
      <c r="J221" s="26">
        <f t="shared" si="17"/>
        <v>0.5</v>
      </c>
      <c r="K221" s="24">
        <v>0</v>
      </c>
      <c r="L221" s="24">
        <v>0</v>
      </c>
      <c r="M221" s="24">
        <v>0</v>
      </c>
      <c r="N221" s="24">
        <v>0</v>
      </c>
      <c r="O221" s="24">
        <v>0</v>
      </c>
      <c r="P221" s="24">
        <v>0</v>
      </c>
    </row>
    <row r="222" spans="2:16" x14ac:dyDescent="0.25">
      <c r="B222" s="9">
        <v>14</v>
      </c>
      <c r="D222" s="5" t="s">
        <v>75</v>
      </c>
      <c r="E222" s="24">
        <v>14</v>
      </c>
      <c r="F222" s="24">
        <v>0</v>
      </c>
      <c r="G222" s="95">
        <v>0</v>
      </c>
      <c r="H222" s="91">
        <f t="shared" si="16"/>
        <v>0</v>
      </c>
      <c r="I222" s="24">
        <v>0</v>
      </c>
      <c r="J222" s="26">
        <f t="shared" si="17"/>
        <v>0</v>
      </c>
      <c r="K222" s="24">
        <v>0</v>
      </c>
      <c r="L222" s="24">
        <v>0</v>
      </c>
      <c r="M222" s="24">
        <v>0</v>
      </c>
      <c r="N222" s="24">
        <v>0</v>
      </c>
      <c r="O222" s="24">
        <v>0</v>
      </c>
      <c r="P222" s="24">
        <v>0</v>
      </c>
    </row>
    <row r="223" spans="2:16" x14ac:dyDescent="0.25">
      <c r="J223" s="25"/>
    </row>
    <row r="224" spans="2:16" x14ac:dyDescent="0.25">
      <c r="J224" s="25"/>
    </row>
    <row r="225" spans="2:16" x14ac:dyDescent="0.25">
      <c r="C225" s="1" t="s">
        <v>319</v>
      </c>
    </row>
    <row r="227" spans="2:16" x14ac:dyDescent="0.25">
      <c r="D227" s="8" t="s">
        <v>0</v>
      </c>
      <c r="E227" s="18" t="s">
        <v>1</v>
      </c>
      <c r="F227" s="18" t="s">
        <v>2</v>
      </c>
      <c r="G227" s="94" t="s">
        <v>3</v>
      </c>
      <c r="H227" s="71" t="s">
        <v>4</v>
      </c>
      <c r="I227" s="18" t="s">
        <v>5</v>
      </c>
      <c r="J227" s="18" t="s">
        <v>38</v>
      </c>
      <c r="K227" s="18" t="s">
        <v>41</v>
      </c>
      <c r="L227" s="18" t="s">
        <v>42</v>
      </c>
      <c r="M227" s="18" t="s">
        <v>45</v>
      </c>
      <c r="N227" s="18" t="s">
        <v>46</v>
      </c>
      <c r="O227" s="18" t="s">
        <v>44</v>
      </c>
      <c r="P227" s="18" t="s">
        <v>43</v>
      </c>
    </row>
    <row r="228" spans="2:16" x14ac:dyDescent="0.25">
      <c r="B228" s="9">
        <v>1</v>
      </c>
      <c r="D228" s="5" t="s">
        <v>13</v>
      </c>
      <c r="E228" s="24">
        <v>19</v>
      </c>
      <c r="F228" s="24">
        <v>23</v>
      </c>
      <c r="G228" s="95">
        <v>15</v>
      </c>
      <c r="H228" s="91">
        <f t="shared" ref="H228:H246" si="18">F228+G228</f>
        <v>38</v>
      </c>
      <c r="I228" s="24">
        <v>38</v>
      </c>
      <c r="J228" s="26">
        <f t="shared" ref="J228:J246" si="19">H228/E228</f>
        <v>2</v>
      </c>
      <c r="K228" s="24">
        <v>5</v>
      </c>
      <c r="L228" s="24">
        <v>1</v>
      </c>
      <c r="M228" s="24">
        <v>1</v>
      </c>
      <c r="N228" s="24">
        <v>0</v>
      </c>
      <c r="O228" s="24">
        <v>0</v>
      </c>
      <c r="P228" s="24">
        <v>0</v>
      </c>
    </row>
    <row r="229" spans="2:16" x14ac:dyDescent="0.25">
      <c r="B229" s="9">
        <v>2</v>
      </c>
      <c r="D229" s="5" t="s">
        <v>8</v>
      </c>
      <c r="E229" s="24">
        <v>20</v>
      </c>
      <c r="F229" s="24">
        <v>17</v>
      </c>
      <c r="G229" s="95">
        <v>18</v>
      </c>
      <c r="H229" s="91">
        <f t="shared" si="18"/>
        <v>35</v>
      </c>
      <c r="I229" s="24">
        <v>14</v>
      </c>
      <c r="J229" s="26">
        <f t="shared" si="19"/>
        <v>1.75</v>
      </c>
      <c r="K229" s="24">
        <v>0</v>
      </c>
      <c r="L229" s="24">
        <v>0</v>
      </c>
      <c r="M229" s="24">
        <v>1</v>
      </c>
      <c r="N229" s="24">
        <v>0</v>
      </c>
      <c r="O229" s="24">
        <v>0</v>
      </c>
      <c r="P229" s="24">
        <v>0</v>
      </c>
    </row>
    <row r="230" spans="2:16" x14ac:dyDescent="0.25">
      <c r="B230" s="9">
        <v>3</v>
      </c>
      <c r="D230" s="5" t="s">
        <v>30</v>
      </c>
      <c r="E230" s="24">
        <v>18</v>
      </c>
      <c r="F230" s="24">
        <v>16</v>
      </c>
      <c r="G230" s="95">
        <v>10</v>
      </c>
      <c r="H230" s="91">
        <f t="shared" si="18"/>
        <v>26</v>
      </c>
      <c r="I230" s="24">
        <v>6</v>
      </c>
      <c r="J230" s="26">
        <f t="shared" si="19"/>
        <v>1.4444444444444444</v>
      </c>
      <c r="K230" s="24">
        <v>1</v>
      </c>
      <c r="L230" s="24">
        <v>0</v>
      </c>
      <c r="M230" s="24">
        <v>3</v>
      </c>
      <c r="N230" s="24">
        <v>0</v>
      </c>
      <c r="O230" s="24">
        <v>0</v>
      </c>
      <c r="P230" s="24">
        <v>0</v>
      </c>
    </row>
    <row r="231" spans="2:16" x14ac:dyDescent="0.25">
      <c r="B231" s="9">
        <v>4</v>
      </c>
      <c r="D231" s="5" t="s">
        <v>10</v>
      </c>
      <c r="E231" s="24">
        <v>20</v>
      </c>
      <c r="F231" s="24">
        <v>12</v>
      </c>
      <c r="G231" s="95">
        <v>8</v>
      </c>
      <c r="H231" s="91">
        <f t="shared" si="18"/>
        <v>20</v>
      </c>
      <c r="I231" s="24">
        <v>8</v>
      </c>
      <c r="J231" s="26">
        <f t="shared" si="19"/>
        <v>1</v>
      </c>
      <c r="K231" s="24">
        <v>0</v>
      </c>
      <c r="L231" s="24">
        <v>0</v>
      </c>
      <c r="M231" s="24">
        <v>2</v>
      </c>
      <c r="N231" s="24">
        <v>0</v>
      </c>
      <c r="O231" s="24">
        <v>1</v>
      </c>
      <c r="P231" s="24">
        <v>0</v>
      </c>
    </row>
    <row r="232" spans="2:16" x14ac:dyDescent="0.25">
      <c r="B232" s="9">
        <v>5</v>
      </c>
      <c r="D232" s="5" t="s">
        <v>39</v>
      </c>
      <c r="E232" s="24">
        <v>14</v>
      </c>
      <c r="F232" s="24">
        <v>8</v>
      </c>
      <c r="G232" s="95">
        <v>8</v>
      </c>
      <c r="H232" s="91">
        <f t="shared" si="18"/>
        <v>16</v>
      </c>
      <c r="I232" s="24">
        <v>2</v>
      </c>
      <c r="J232" s="26">
        <f t="shared" si="19"/>
        <v>1.1428571428571428</v>
      </c>
      <c r="K232" s="24">
        <v>2</v>
      </c>
      <c r="L232" s="24">
        <v>0</v>
      </c>
      <c r="M232" s="24">
        <v>0</v>
      </c>
      <c r="N232" s="24">
        <v>0</v>
      </c>
      <c r="O232" s="24">
        <v>0</v>
      </c>
      <c r="P232" s="24">
        <v>0</v>
      </c>
    </row>
    <row r="233" spans="2:16" x14ac:dyDescent="0.25">
      <c r="B233" s="9">
        <v>6</v>
      </c>
      <c r="D233" s="5" t="s">
        <v>9</v>
      </c>
      <c r="E233" s="24">
        <v>16</v>
      </c>
      <c r="F233" s="24">
        <v>3</v>
      </c>
      <c r="G233" s="95">
        <v>9</v>
      </c>
      <c r="H233" s="91">
        <f t="shared" si="18"/>
        <v>12</v>
      </c>
      <c r="I233" s="24">
        <v>6</v>
      </c>
      <c r="J233" s="26">
        <f t="shared" si="19"/>
        <v>0.75</v>
      </c>
      <c r="K233" s="24">
        <v>1</v>
      </c>
      <c r="L233" s="24">
        <v>0</v>
      </c>
      <c r="M233" s="24">
        <v>0</v>
      </c>
      <c r="N233" s="24">
        <v>0</v>
      </c>
      <c r="O233" s="24">
        <v>0</v>
      </c>
      <c r="P233" s="24">
        <v>0</v>
      </c>
    </row>
    <row r="234" spans="2:16" x14ac:dyDescent="0.25">
      <c r="B234" s="9">
        <v>7</v>
      </c>
      <c r="D234" s="5" t="s">
        <v>12</v>
      </c>
      <c r="E234" s="24">
        <v>15</v>
      </c>
      <c r="F234" s="24">
        <v>7</v>
      </c>
      <c r="G234" s="95">
        <v>3</v>
      </c>
      <c r="H234" s="91">
        <f t="shared" si="18"/>
        <v>10</v>
      </c>
      <c r="I234" s="24">
        <v>6</v>
      </c>
      <c r="J234" s="26">
        <f t="shared" si="19"/>
        <v>0.66666666666666663</v>
      </c>
      <c r="K234" s="24">
        <v>0</v>
      </c>
      <c r="L234" s="24">
        <v>0</v>
      </c>
      <c r="M234" s="24">
        <v>0</v>
      </c>
      <c r="N234" s="24">
        <v>0</v>
      </c>
      <c r="O234" s="24">
        <v>0</v>
      </c>
      <c r="P234" s="24">
        <v>0</v>
      </c>
    </row>
    <row r="235" spans="2:16" x14ac:dyDescent="0.25">
      <c r="B235" s="9">
        <v>8</v>
      </c>
      <c r="D235" s="5" t="s">
        <v>14</v>
      </c>
      <c r="E235" s="24">
        <v>17</v>
      </c>
      <c r="F235" s="24">
        <v>6</v>
      </c>
      <c r="G235" s="95">
        <v>4</v>
      </c>
      <c r="H235" s="91">
        <f t="shared" si="18"/>
        <v>10</v>
      </c>
      <c r="I235" s="24">
        <v>4</v>
      </c>
      <c r="J235" s="26">
        <f t="shared" si="19"/>
        <v>0.58823529411764708</v>
      </c>
      <c r="K235" s="24">
        <v>2</v>
      </c>
      <c r="L235" s="24">
        <v>1</v>
      </c>
      <c r="M235" s="24">
        <v>0</v>
      </c>
      <c r="N235" s="24">
        <v>0</v>
      </c>
      <c r="O235" s="24">
        <v>0</v>
      </c>
      <c r="P235" s="24">
        <v>0</v>
      </c>
    </row>
    <row r="236" spans="2:16" x14ac:dyDescent="0.25">
      <c r="B236" s="9">
        <v>9</v>
      </c>
      <c r="D236" s="5" t="s">
        <v>225</v>
      </c>
      <c r="E236" s="24">
        <v>16</v>
      </c>
      <c r="F236" s="24">
        <v>3</v>
      </c>
      <c r="G236" s="95">
        <v>7</v>
      </c>
      <c r="H236" s="91">
        <f t="shared" si="18"/>
        <v>10</v>
      </c>
      <c r="I236" s="24">
        <v>9</v>
      </c>
      <c r="J236" s="26">
        <f t="shared" si="19"/>
        <v>0.625</v>
      </c>
      <c r="K236" s="24">
        <v>0</v>
      </c>
      <c r="L236" s="24">
        <v>0</v>
      </c>
      <c r="M236" s="24">
        <v>1</v>
      </c>
      <c r="N236" s="24">
        <v>0</v>
      </c>
      <c r="O236" s="24">
        <v>0</v>
      </c>
      <c r="P236" s="24">
        <v>0</v>
      </c>
    </row>
    <row r="237" spans="2:16" x14ac:dyDescent="0.25">
      <c r="B237" s="9">
        <v>10</v>
      </c>
      <c r="D237" s="5" t="s">
        <v>16</v>
      </c>
      <c r="E237" s="24">
        <v>13</v>
      </c>
      <c r="F237" s="24">
        <v>3</v>
      </c>
      <c r="G237" s="95">
        <v>3</v>
      </c>
      <c r="H237" s="91">
        <f t="shared" si="18"/>
        <v>6</v>
      </c>
      <c r="I237" s="24">
        <v>13</v>
      </c>
      <c r="J237" s="26">
        <f t="shared" si="19"/>
        <v>0.46153846153846156</v>
      </c>
      <c r="K237" s="24">
        <v>0</v>
      </c>
      <c r="L237" s="24">
        <v>0</v>
      </c>
      <c r="M237" s="24">
        <v>0</v>
      </c>
      <c r="N237" s="24">
        <v>0</v>
      </c>
      <c r="O237" s="24">
        <v>0</v>
      </c>
      <c r="P237" s="24">
        <v>0</v>
      </c>
    </row>
    <row r="238" spans="2:16" x14ac:dyDescent="0.25">
      <c r="B238" s="9">
        <v>11</v>
      </c>
      <c r="D238" s="5" t="s">
        <v>290</v>
      </c>
      <c r="E238" s="24">
        <v>4</v>
      </c>
      <c r="F238" s="24">
        <v>4</v>
      </c>
      <c r="G238" s="95">
        <v>1</v>
      </c>
      <c r="H238" s="91">
        <f t="shared" si="18"/>
        <v>5</v>
      </c>
      <c r="I238" s="24">
        <v>5</v>
      </c>
      <c r="J238" s="26">
        <f t="shared" si="19"/>
        <v>1.25</v>
      </c>
      <c r="K238" s="24">
        <v>0</v>
      </c>
      <c r="L238" s="24">
        <v>0</v>
      </c>
      <c r="M238" s="24">
        <v>0</v>
      </c>
      <c r="N238" s="24">
        <v>0</v>
      </c>
      <c r="O238" s="24">
        <v>0</v>
      </c>
      <c r="P238" s="24">
        <v>0</v>
      </c>
    </row>
    <row r="239" spans="2:16" x14ac:dyDescent="0.25">
      <c r="B239" s="9">
        <v>12</v>
      </c>
      <c r="D239" s="5" t="s">
        <v>7</v>
      </c>
      <c r="E239" s="24">
        <v>2</v>
      </c>
      <c r="F239" s="24">
        <v>3</v>
      </c>
      <c r="G239" s="95">
        <v>1</v>
      </c>
      <c r="H239" s="91">
        <f t="shared" si="18"/>
        <v>4</v>
      </c>
      <c r="I239" s="24">
        <v>0</v>
      </c>
      <c r="J239" s="26">
        <f t="shared" si="19"/>
        <v>2</v>
      </c>
      <c r="K239" s="24">
        <v>0</v>
      </c>
      <c r="L239" s="24">
        <v>0</v>
      </c>
      <c r="M239" s="24">
        <v>0</v>
      </c>
      <c r="N239" s="24">
        <v>0</v>
      </c>
      <c r="O239" s="24">
        <v>0</v>
      </c>
      <c r="P239" s="24">
        <v>0</v>
      </c>
    </row>
    <row r="240" spans="2:16" x14ac:dyDescent="0.25">
      <c r="B240" s="9">
        <v>13</v>
      </c>
      <c r="D240" s="5" t="s">
        <v>255</v>
      </c>
      <c r="E240" s="24">
        <v>2</v>
      </c>
      <c r="F240" s="24">
        <v>0</v>
      </c>
      <c r="G240" s="95">
        <v>1</v>
      </c>
      <c r="H240" s="91">
        <f t="shared" si="18"/>
        <v>1</v>
      </c>
      <c r="I240" s="24">
        <v>0</v>
      </c>
      <c r="J240" s="26">
        <f t="shared" si="19"/>
        <v>0.5</v>
      </c>
      <c r="K240" s="24">
        <v>0</v>
      </c>
      <c r="L240" s="24">
        <v>0</v>
      </c>
      <c r="M240" s="24">
        <v>0</v>
      </c>
      <c r="N240" s="24">
        <v>0</v>
      </c>
      <c r="O240" s="24">
        <v>0</v>
      </c>
      <c r="P240" s="24">
        <v>0</v>
      </c>
    </row>
    <row r="241" spans="2:16" x14ac:dyDescent="0.25">
      <c r="B241" s="9">
        <v>14</v>
      </c>
      <c r="D241" s="5" t="s">
        <v>254</v>
      </c>
      <c r="E241" s="24">
        <v>4</v>
      </c>
      <c r="F241" s="24">
        <v>0</v>
      </c>
      <c r="G241" s="95">
        <v>1</v>
      </c>
      <c r="H241" s="91">
        <f t="shared" si="18"/>
        <v>1</v>
      </c>
      <c r="I241" s="24">
        <v>0</v>
      </c>
      <c r="J241" s="26">
        <f t="shared" si="19"/>
        <v>0.25</v>
      </c>
      <c r="K241" s="24">
        <v>0</v>
      </c>
      <c r="L241" s="24">
        <v>0</v>
      </c>
      <c r="M241" s="24">
        <v>0</v>
      </c>
      <c r="N241" s="24">
        <v>0</v>
      </c>
      <c r="O241" s="24">
        <v>0</v>
      </c>
      <c r="P241" s="24">
        <v>0</v>
      </c>
    </row>
    <row r="242" spans="2:16" x14ac:dyDescent="0.25">
      <c r="B242" s="9">
        <v>15</v>
      </c>
      <c r="D242" s="5" t="s">
        <v>75</v>
      </c>
      <c r="E242" s="24">
        <v>20</v>
      </c>
      <c r="F242" s="24">
        <v>0</v>
      </c>
      <c r="G242" s="95">
        <v>1</v>
      </c>
      <c r="H242" s="91">
        <f t="shared" si="18"/>
        <v>1</v>
      </c>
      <c r="I242" s="24">
        <v>0</v>
      </c>
      <c r="J242" s="26">
        <f t="shared" si="19"/>
        <v>0.05</v>
      </c>
      <c r="K242" s="24">
        <v>0</v>
      </c>
      <c r="L242" s="24">
        <v>0</v>
      </c>
      <c r="M242" s="24">
        <v>0</v>
      </c>
      <c r="N242" s="24">
        <v>0</v>
      </c>
      <c r="O242" s="24">
        <v>0</v>
      </c>
      <c r="P242" s="24">
        <v>0</v>
      </c>
    </row>
    <row r="243" spans="2:16" x14ac:dyDescent="0.25">
      <c r="B243" s="9">
        <v>16</v>
      </c>
      <c r="D243" s="5" t="s">
        <v>22</v>
      </c>
      <c r="E243" s="24">
        <v>4</v>
      </c>
      <c r="F243" s="24">
        <v>0</v>
      </c>
      <c r="G243" s="95">
        <v>0</v>
      </c>
      <c r="H243" s="91">
        <f t="shared" si="18"/>
        <v>0</v>
      </c>
      <c r="I243" s="24">
        <v>2</v>
      </c>
      <c r="J243" s="26">
        <f t="shared" si="19"/>
        <v>0</v>
      </c>
      <c r="K243" s="24">
        <v>0</v>
      </c>
      <c r="L243" s="24">
        <v>0</v>
      </c>
      <c r="M243" s="24">
        <v>0</v>
      </c>
      <c r="N243" s="24">
        <v>0</v>
      </c>
      <c r="O243" s="24">
        <v>0</v>
      </c>
      <c r="P243" s="24">
        <v>0</v>
      </c>
    </row>
    <row r="244" spans="2:16" x14ac:dyDescent="0.25">
      <c r="B244" s="9">
        <v>17</v>
      </c>
      <c r="D244" s="5" t="s">
        <v>34</v>
      </c>
      <c r="E244" s="24">
        <v>1</v>
      </c>
      <c r="F244" s="24">
        <v>0</v>
      </c>
      <c r="G244" s="95">
        <v>0</v>
      </c>
      <c r="H244" s="91">
        <f t="shared" si="18"/>
        <v>0</v>
      </c>
      <c r="I244" s="24">
        <v>0</v>
      </c>
      <c r="J244" s="26">
        <f t="shared" si="19"/>
        <v>0</v>
      </c>
      <c r="K244" s="24">
        <v>0</v>
      </c>
      <c r="L244" s="24">
        <v>0</v>
      </c>
      <c r="M244" s="24">
        <v>0</v>
      </c>
      <c r="N244" s="24">
        <v>0</v>
      </c>
      <c r="O244" s="24">
        <v>0</v>
      </c>
      <c r="P244" s="24">
        <v>0</v>
      </c>
    </row>
    <row r="245" spans="2:16" x14ac:dyDescent="0.25">
      <c r="B245" s="9">
        <v>18</v>
      </c>
      <c r="D245" s="5" t="s">
        <v>36</v>
      </c>
      <c r="E245" s="24">
        <v>1</v>
      </c>
      <c r="F245" s="24">
        <v>0</v>
      </c>
      <c r="G245" s="95">
        <v>0</v>
      </c>
      <c r="H245" s="91">
        <f t="shared" si="18"/>
        <v>0</v>
      </c>
      <c r="I245" s="24">
        <v>0</v>
      </c>
      <c r="J245" s="26">
        <f t="shared" si="19"/>
        <v>0</v>
      </c>
      <c r="K245" s="24">
        <v>0</v>
      </c>
      <c r="L245" s="24">
        <v>0</v>
      </c>
      <c r="M245" s="24">
        <v>0</v>
      </c>
      <c r="N245" s="24">
        <v>0</v>
      </c>
      <c r="O245" s="24">
        <v>0</v>
      </c>
      <c r="P245" s="24">
        <v>0</v>
      </c>
    </row>
    <row r="246" spans="2:16" x14ac:dyDescent="0.25">
      <c r="B246" s="9">
        <v>19</v>
      </c>
      <c r="D246" s="5" t="s">
        <v>17</v>
      </c>
      <c r="E246" s="24">
        <v>2</v>
      </c>
      <c r="F246" s="24">
        <v>0</v>
      </c>
      <c r="G246" s="95">
        <v>0</v>
      </c>
      <c r="H246" s="91">
        <f t="shared" si="18"/>
        <v>0</v>
      </c>
      <c r="I246" s="24">
        <v>0</v>
      </c>
      <c r="J246" s="26">
        <f t="shared" si="19"/>
        <v>0</v>
      </c>
      <c r="K246" s="24">
        <v>0</v>
      </c>
      <c r="L246" s="24">
        <v>0</v>
      </c>
      <c r="M246" s="24">
        <v>0</v>
      </c>
      <c r="N246" s="24">
        <v>0</v>
      </c>
      <c r="O246" s="24">
        <v>0</v>
      </c>
      <c r="P246" s="24">
        <v>0</v>
      </c>
    </row>
    <row r="247" spans="2:16" x14ac:dyDescent="0.25">
      <c r="J247" s="25"/>
    </row>
    <row r="248" spans="2:16" x14ac:dyDescent="0.25">
      <c r="J248" s="25"/>
    </row>
    <row r="249" spans="2:16" x14ac:dyDescent="0.25">
      <c r="C249" s="1" t="s">
        <v>220</v>
      </c>
    </row>
    <row r="251" spans="2:16" x14ac:dyDescent="0.25">
      <c r="D251" s="8" t="s">
        <v>0</v>
      </c>
      <c r="E251" s="18" t="s">
        <v>1</v>
      </c>
      <c r="F251" s="18" t="s">
        <v>2</v>
      </c>
      <c r="G251" s="94" t="s">
        <v>3</v>
      </c>
      <c r="H251" s="71" t="s">
        <v>4</v>
      </c>
      <c r="I251" s="18" t="s">
        <v>5</v>
      </c>
      <c r="J251" s="18" t="s">
        <v>38</v>
      </c>
      <c r="K251" s="18" t="s">
        <v>41</v>
      </c>
      <c r="L251" s="18" t="s">
        <v>42</v>
      </c>
      <c r="M251" s="18" t="s">
        <v>45</v>
      </c>
      <c r="N251" s="18" t="s">
        <v>46</v>
      </c>
      <c r="O251" s="18" t="s">
        <v>44</v>
      </c>
      <c r="P251" s="18" t="s">
        <v>43</v>
      </c>
    </row>
    <row r="252" spans="2:16" x14ac:dyDescent="0.25">
      <c r="B252" s="9">
        <v>1</v>
      </c>
      <c r="D252" s="5" t="s">
        <v>13</v>
      </c>
      <c r="E252" s="24">
        <v>24</v>
      </c>
      <c r="F252" s="24">
        <v>38</v>
      </c>
      <c r="G252" s="95">
        <v>15</v>
      </c>
      <c r="H252" s="91">
        <f t="shared" ref="H252:H271" si="20">F252+G252</f>
        <v>53</v>
      </c>
      <c r="I252" s="24">
        <v>29</v>
      </c>
      <c r="J252" s="26">
        <f t="shared" ref="J252:J271" si="21">H252/E252</f>
        <v>2.2083333333333335</v>
      </c>
      <c r="K252" s="24">
        <v>2</v>
      </c>
      <c r="L252" s="24">
        <v>4</v>
      </c>
      <c r="M252" s="24">
        <v>5</v>
      </c>
      <c r="N252" s="24">
        <v>0</v>
      </c>
      <c r="O252" s="24">
        <v>0</v>
      </c>
      <c r="P252" s="24">
        <v>0</v>
      </c>
    </row>
    <row r="253" spans="2:16" x14ac:dyDescent="0.25">
      <c r="B253" s="9">
        <v>2</v>
      </c>
      <c r="D253" s="5" t="s">
        <v>30</v>
      </c>
      <c r="E253" s="24">
        <v>18</v>
      </c>
      <c r="F253" s="24">
        <v>17</v>
      </c>
      <c r="G253" s="95">
        <v>19</v>
      </c>
      <c r="H253" s="91">
        <f t="shared" si="20"/>
        <v>36</v>
      </c>
      <c r="I253" s="24">
        <v>4</v>
      </c>
      <c r="J253" s="26">
        <f t="shared" si="21"/>
        <v>2</v>
      </c>
      <c r="K253" s="24">
        <v>0</v>
      </c>
      <c r="L253" s="24">
        <v>1</v>
      </c>
      <c r="M253" s="24">
        <v>0</v>
      </c>
      <c r="N253" s="24">
        <v>0</v>
      </c>
      <c r="O253" s="24">
        <v>2</v>
      </c>
      <c r="P253" s="24">
        <v>0</v>
      </c>
    </row>
    <row r="254" spans="2:16" x14ac:dyDescent="0.25">
      <c r="B254" s="9">
        <v>3</v>
      </c>
      <c r="D254" s="5" t="s">
        <v>7</v>
      </c>
      <c r="E254" s="24">
        <v>10</v>
      </c>
      <c r="F254" s="24">
        <v>18</v>
      </c>
      <c r="G254" s="95">
        <v>8</v>
      </c>
      <c r="H254" s="91">
        <f t="shared" si="20"/>
        <v>26</v>
      </c>
      <c r="I254" s="24">
        <v>0</v>
      </c>
      <c r="J254" s="26">
        <f t="shared" si="21"/>
        <v>2.6</v>
      </c>
      <c r="K254" s="24">
        <v>0</v>
      </c>
      <c r="L254" s="24">
        <v>0</v>
      </c>
      <c r="M254" s="24">
        <v>2</v>
      </c>
      <c r="N254" s="24">
        <v>0</v>
      </c>
      <c r="O254" s="24">
        <v>0</v>
      </c>
      <c r="P254" s="24">
        <v>0</v>
      </c>
    </row>
    <row r="255" spans="2:16" x14ac:dyDescent="0.25">
      <c r="B255" s="9">
        <v>4</v>
      </c>
      <c r="D255" s="5" t="s">
        <v>39</v>
      </c>
      <c r="E255" s="24">
        <v>24</v>
      </c>
      <c r="F255" s="24">
        <v>13</v>
      </c>
      <c r="G255" s="95">
        <v>13</v>
      </c>
      <c r="H255" s="91">
        <f t="shared" si="20"/>
        <v>26</v>
      </c>
      <c r="I255" s="24">
        <v>2</v>
      </c>
      <c r="J255" s="26">
        <f t="shared" si="21"/>
        <v>1.0833333333333333</v>
      </c>
      <c r="K255" s="24">
        <v>2</v>
      </c>
      <c r="L255" s="24">
        <v>0</v>
      </c>
      <c r="M255" s="24">
        <v>0</v>
      </c>
      <c r="N255" s="24">
        <v>0</v>
      </c>
      <c r="O255" s="24">
        <v>0</v>
      </c>
      <c r="P255" s="24">
        <v>0</v>
      </c>
    </row>
    <row r="256" spans="2:16" x14ac:dyDescent="0.25">
      <c r="B256" s="9">
        <v>5</v>
      </c>
      <c r="D256" s="5" t="s">
        <v>10</v>
      </c>
      <c r="E256" s="24">
        <v>21</v>
      </c>
      <c r="F256" s="24">
        <v>13</v>
      </c>
      <c r="G256" s="95">
        <v>5</v>
      </c>
      <c r="H256" s="91">
        <f t="shared" si="20"/>
        <v>18</v>
      </c>
      <c r="I256" s="24">
        <v>4</v>
      </c>
      <c r="J256" s="26">
        <f t="shared" si="21"/>
        <v>0.8571428571428571</v>
      </c>
      <c r="K256" s="24">
        <v>0</v>
      </c>
      <c r="L256" s="24">
        <v>1</v>
      </c>
      <c r="M256" s="24">
        <v>0</v>
      </c>
      <c r="N256" s="24">
        <v>0</v>
      </c>
      <c r="O256" s="24">
        <v>1</v>
      </c>
      <c r="P256" s="24">
        <v>0</v>
      </c>
    </row>
    <row r="257" spans="2:33" x14ac:dyDescent="0.25">
      <c r="B257" s="9">
        <v>6</v>
      </c>
      <c r="D257" s="5" t="s">
        <v>14</v>
      </c>
      <c r="E257" s="24">
        <v>22</v>
      </c>
      <c r="F257" s="24">
        <v>9</v>
      </c>
      <c r="G257" s="95">
        <v>9</v>
      </c>
      <c r="H257" s="91">
        <f t="shared" si="20"/>
        <v>18</v>
      </c>
      <c r="I257" s="24">
        <v>8</v>
      </c>
      <c r="J257" s="26">
        <f t="shared" si="21"/>
        <v>0.81818181818181823</v>
      </c>
      <c r="K257" s="24">
        <v>2</v>
      </c>
      <c r="L257" s="24">
        <v>0</v>
      </c>
      <c r="M257" s="24">
        <v>1</v>
      </c>
      <c r="N257" s="24">
        <v>0</v>
      </c>
      <c r="O257" s="24">
        <v>0</v>
      </c>
      <c r="P257" s="24">
        <v>0</v>
      </c>
    </row>
    <row r="258" spans="2:33" x14ac:dyDescent="0.25">
      <c r="B258" s="9">
        <v>7</v>
      </c>
      <c r="D258" s="5" t="s">
        <v>8</v>
      </c>
      <c r="E258" s="24">
        <v>16</v>
      </c>
      <c r="F258" s="24">
        <v>7</v>
      </c>
      <c r="G258" s="95">
        <v>9</v>
      </c>
      <c r="H258" s="91">
        <f t="shared" si="20"/>
        <v>16</v>
      </c>
      <c r="I258" s="24">
        <v>8</v>
      </c>
      <c r="J258" s="26">
        <f t="shared" si="21"/>
        <v>1</v>
      </c>
      <c r="K258" s="24">
        <v>2</v>
      </c>
      <c r="L258" s="24">
        <v>0</v>
      </c>
      <c r="M258" s="24">
        <v>0</v>
      </c>
      <c r="N258" s="24">
        <v>0</v>
      </c>
      <c r="O258" s="24">
        <v>0</v>
      </c>
      <c r="P258" s="24">
        <v>0</v>
      </c>
    </row>
    <row r="259" spans="2:33" x14ac:dyDescent="0.25">
      <c r="B259" s="9">
        <v>8</v>
      </c>
      <c r="D259" s="5" t="s">
        <v>225</v>
      </c>
      <c r="E259" s="24">
        <v>13</v>
      </c>
      <c r="F259" s="24">
        <v>3</v>
      </c>
      <c r="G259" s="95">
        <v>12</v>
      </c>
      <c r="H259" s="91">
        <f t="shared" si="20"/>
        <v>15</v>
      </c>
      <c r="I259" s="24">
        <v>0</v>
      </c>
      <c r="J259" s="26">
        <f t="shared" si="21"/>
        <v>1.1538461538461537</v>
      </c>
      <c r="K259" s="24">
        <v>0</v>
      </c>
      <c r="L259" s="24">
        <v>0</v>
      </c>
      <c r="M259" s="24">
        <v>0</v>
      </c>
      <c r="N259" s="24">
        <v>0</v>
      </c>
      <c r="O259" s="24">
        <v>0</v>
      </c>
      <c r="P259" s="24">
        <v>0</v>
      </c>
    </row>
    <row r="260" spans="2:33" x14ac:dyDescent="0.25">
      <c r="B260" s="9">
        <v>9</v>
      </c>
      <c r="D260" s="5" t="s">
        <v>16</v>
      </c>
      <c r="E260" s="24">
        <v>22</v>
      </c>
      <c r="F260" s="24">
        <v>2</v>
      </c>
      <c r="G260" s="95">
        <v>10</v>
      </c>
      <c r="H260" s="91">
        <f t="shared" si="20"/>
        <v>12</v>
      </c>
      <c r="I260" s="24">
        <v>31</v>
      </c>
      <c r="J260" s="26">
        <f t="shared" si="21"/>
        <v>0.54545454545454541</v>
      </c>
      <c r="K260" s="24">
        <v>0</v>
      </c>
      <c r="L260" s="24">
        <v>0</v>
      </c>
      <c r="M260" s="24">
        <v>0</v>
      </c>
      <c r="N260" s="24">
        <v>0</v>
      </c>
      <c r="O260" s="24">
        <v>0</v>
      </c>
      <c r="P260" s="24">
        <v>0</v>
      </c>
    </row>
    <row r="261" spans="2:33" x14ac:dyDescent="0.25">
      <c r="B261" s="9">
        <v>10</v>
      </c>
      <c r="D261" s="5" t="s">
        <v>9</v>
      </c>
      <c r="E261" s="24">
        <v>24</v>
      </c>
      <c r="F261" s="24">
        <v>6</v>
      </c>
      <c r="G261" s="95">
        <v>4</v>
      </c>
      <c r="H261" s="91">
        <f t="shared" si="20"/>
        <v>10</v>
      </c>
      <c r="I261" s="24">
        <v>10</v>
      </c>
      <c r="J261" s="26">
        <f t="shared" si="21"/>
        <v>0.41666666666666669</v>
      </c>
      <c r="K261" s="24">
        <v>0</v>
      </c>
      <c r="L261" s="24">
        <v>1</v>
      </c>
      <c r="M261" s="24">
        <v>0</v>
      </c>
      <c r="N261" s="24">
        <v>0</v>
      </c>
      <c r="O261" s="24">
        <v>0</v>
      </c>
      <c r="P261" s="24">
        <v>0</v>
      </c>
    </row>
    <row r="262" spans="2:33" x14ac:dyDescent="0.25">
      <c r="B262" s="9">
        <v>11</v>
      </c>
      <c r="D262" s="5" t="s">
        <v>290</v>
      </c>
      <c r="E262" s="24">
        <v>8</v>
      </c>
      <c r="F262" s="24">
        <v>5</v>
      </c>
      <c r="G262" s="95">
        <v>3</v>
      </c>
      <c r="H262" s="91">
        <f t="shared" si="20"/>
        <v>8</v>
      </c>
      <c r="I262" s="24">
        <v>14</v>
      </c>
      <c r="J262" s="26">
        <f t="shared" si="21"/>
        <v>1</v>
      </c>
      <c r="K262" s="24">
        <v>0</v>
      </c>
      <c r="L262" s="24">
        <v>0</v>
      </c>
      <c r="M262" s="24">
        <v>0</v>
      </c>
      <c r="N262" s="24">
        <v>0</v>
      </c>
      <c r="O262" s="24">
        <v>0</v>
      </c>
      <c r="P262" s="24">
        <v>0</v>
      </c>
    </row>
    <row r="263" spans="2:33" x14ac:dyDescent="0.25">
      <c r="B263" s="9">
        <v>12</v>
      </c>
      <c r="D263" s="5" t="s">
        <v>12</v>
      </c>
      <c r="E263" s="24">
        <v>14</v>
      </c>
      <c r="F263" s="24">
        <v>1</v>
      </c>
      <c r="G263" s="95">
        <v>7</v>
      </c>
      <c r="H263" s="91">
        <f t="shared" si="20"/>
        <v>8</v>
      </c>
      <c r="I263" s="24">
        <v>4</v>
      </c>
      <c r="J263" s="26">
        <f t="shared" si="21"/>
        <v>0.5714285714285714</v>
      </c>
      <c r="K263" s="24">
        <v>0</v>
      </c>
      <c r="L263" s="24">
        <v>0</v>
      </c>
      <c r="M263" s="24">
        <v>0</v>
      </c>
      <c r="N263" s="24">
        <v>0</v>
      </c>
      <c r="O263" s="24">
        <v>0</v>
      </c>
      <c r="P263" s="24">
        <v>0</v>
      </c>
      <c r="Z263" s="17"/>
      <c r="AA263" s="17"/>
      <c r="AB263" s="17"/>
      <c r="AC263" s="31"/>
      <c r="AD263" s="17"/>
      <c r="AE263" s="25"/>
      <c r="AF263" s="17"/>
      <c r="AG263" s="17"/>
    </row>
    <row r="264" spans="2:33" x14ac:dyDescent="0.25">
      <c r="B264" s="9">
        <v>13</v>
      </c>
      <c r="D264" s="5" t="s">
        <v>11</v>
      </c>
      <c r="E264" s="24">
        <v>12</v>
      </c>
      <c r="F264" s="24">
        <v>0</v>
      </c>
      <c r="G264" s="95">
        <v>3</v>
      </c>
      <c r="H264" s="91">
        <f t="shared" si="20"/>
        <v>3</v>
      </c>
      <c r="I264" s="24">
        <v>2</v>
      </c>
      <c r="J264" s="26">
        <f t="shared" si="21"/>
        <v>0.25</v>
      </c>
      <c r="K264" s="24">
        <v>0</v>
      </c>
      <c r="L264" s="24">
        <v>0</v>
      </c>
      <c r="M264" s="24">
        <v>0</v>
      </c>
      <c r="N264" s="24">
        <v>0</v>
      </c>
      <c r="O264" s="24">
        <v>0</v>
      </c>
      <c r="P264" s="24">
        <v>0</v>
      </c>
    </row>
    <row r="265" spans="2:33" x14ac:dyDescent="0.25">
      <c r="B265" s="9">
        <v>14</v>
      </c>
      <c r="D265" s="5" t="s">
        <v>75</v>
      </c>
      <c r="E265" s="24">
        <v>20</v>
      </c>
      <c r="F265" s="24">
        <v>0</v>
      </c>
      <c r="G265" s="95">
        <v>3</v>
      </c>
      <c r="H265" s="91">
        <f t="shared" si="20"/>
        <v>3</v>
      </c>
      <c r="I265" s="24">
        <v>2</v>
      </c>
      <c r="J265" s="26">
        <f t="shared" si="21"/>
        <v>0.15</v>
      </c>
      <c r="K265" s="24">
        <v>0</v>
      </c>
      <c r="L265" s="24">
        <v>0</v>
      </c>
      <c r="M265" s="24">
        <v>0</v>
      </c>
      <c r="N265" s="24">
        <v>0</v>
      </c>
      <c r="O265" s="24">
        <v>0</v>
      </c>
      <c r="P265" s="24">
        <v>0</v>
      </c>
    </row>
    <row r="266" spans="2:33" x14ac:dyDescent="0.25">
      <c r="B266" s="9">
        <v>15</v>
      </c>
      <c r="D266" s="5" t="s">
        <v>255</v>
      </c>
      <c r="E266" s="24">
        <v>2</v>
      </c>
      <c r="F266" s="24">
        <v>1</v>
      </c>
      <c r="G266" s="95">
        <v>0</v>
      </c>
      <c r="H266" s="91">
        <f t="shared" si="20"/>
        <v>1</v>
      </c>
      <c r="I266" s="24">
        <v>0</v>
      </c>
      <c r="J266" s="26">
        <f t="shared" si="21"/>
        <v>0.5</v>
      </c>
      <c r="K266" s="24">
        <v>0</v>
      </c>
      <c r="L266" s="24">
        <v>0</v>
      </c>
      <c r="M266" s="24">
        <v>0</v>
      </c>
      <c r="N266" s="24">
        <v>0</v>
      </c>
      <c r="O266" s="24">
        <v>0</v>
      </c>
      <c r="P266" s="24">
        <v>0</v>
      </c>
    </row>
    <row r="267" spans="2:33" x14ac:dyDescent="0.25">
      <c r="B267" s="9">
        <v>16</v>
      </c>
      <c r="D267" s="5" t="s">
        <v>15</v>
      </c>
      <c r="E267" s="24">
        <v>2</v>
      </c>
      <c r="F267" s="24">
        <v>0</v>
      </c>
      <c r="G267" s="95">
        <v>0</v>
      </c>
      <c r="H267" s="91">
        <f t="shared" si="20"/>
        <v>0</v>
      </c>
      <c r="I267" s="24">
        <v>6</v>
      </c>
      <c r="J267" s="26">
        <f t="shared" si="21"/>
        <v>0</v>
      </c>
      <c r="K267" s="24">
        <v>0</v>
      </c>
      <c r="L267" s="24">
        <v>0</v>
      </c>
      <c r="M267" s="24">
        <v>0</v>
      </c>
      <c r="N267" s="24">
        <v>0</v>
      </c>
      <c r="O267" s="24">
        <v>0</v>
      </c>
      <c r="P267" s="24">
        <v>0</v>
      </c>
    </row>
    <row r="268" spans="2:33" x14ac:dyDescent="0.25">
      <c r="B268" s="9">
        <v>17</v>
      </c>
      <c r="D268" s="5" t="s">
        <v>20</v>
      </c>
      <c r="E268" s="24">
        <v>4</v>
      </c>
      <c r="F268" s="24">
        <v>0</v>
      </c>
      <c r="G268" s="95">
        <v>0</v>
      </c>
      <c r="H268" s="91">
        <f t="shared" si="20"/>
        <v>0</v>
      </c>
      <c r="I268" s="24">
        <v>4</v>
      </c>
      <c r="J268" s="26">
        <f t="shared" si="21"/>
        <v>0</v>
      </c>
      <c r="K268" s="24">
        <v>0</v>
      </c>
      <c r="L268" s="24">
        <v>0</v>
      </c>
      <c r="M268" s="24">
        <v>0</v>
      </c>
      <c r="N268" s="24">
        <v>0</v>
      </c>
      <c r="O268" s="24">
        <v>0</v>
      </c>
      <c r="P268" s="24">
        <v>0</v>
      </c>
    </row>
    <row r="269" spans="2:33" x14ac:dyDescent="0.25">
      <c r="B269" s="9">
        <v>18</v>
      </c>
      <c r="D269" s="5" t="s">
        <v>254</v>
      </c>
      <c r="E269" s="24">
        <v>4</v>
      </c>
      <c r="F269" s="24">
        <v>0</v>
      </c>
      <c r="G269" s="95">
        <v>0</v>
      </c>
      <c r="H269" s="91">
        <f t="shared" si="20"/>
        <v>0</v>
      </c>
      <c r="I269" s="24">
        <v>0</v>
      </c>
      <c r="J269" s="26">
        <f t="shared" si="21"/>
        <v>0</v>
      </c>
      <c r="K269" s="24">
        <v>0</v>
      </c>
      <c r="L269" s="24">
        <v>0</v>
      </c>
      <c r="M269" s="24">
        <v>0</v>
      </c>
      <c r="N269" s="24">
        <v>0</v>
      </c>
      <c r="O269" s="24">
        <v>0</v>
      </c>
      <c r="P269" s="24">
        <v>0</v>
      </c>
    </row>
    <row r="270" spans="2:33" x14ac:dyDescent="0.25">
      <c r="B270" s="9">
        <v>19</v>
      </c>
      <c r="D270" s="5" t="s">
        <v>17</v>
      </c>
      <c r="E270" s="24">
        <v>4</v>
      </c>
      <c r="F270" s="24">
        <v>0</v>
      </c>
      <c r="G270" s="95">
        <v>0</v>
      </c>
      <c r="H270" s="91">
        <f t="shared" si="20"/>
        <v>0</v>
      </c>
      <c r="I270" s="24">
        <v>2</v>
      </c>
      <c r="J270" s="26">
        <f t="shared" si="21"/>
        <v>0</v>
      </c>
      <c r="K270" s="24">
        <v>0</v>
      </c>
      <c r="L270" s="24">
        <v>0</v>
      </c>
      <c r="M270" s="24">
        <v>0</v>
      </c>
      <c r="N270" s="24">
        <v>0</v>
      </c>
      <c r="O270" s="24">
        <v>0</v>
      </c>
      <c r="P270" s="24">
        <v>0</v>
      </c>
    </row>
    <row r="271" spans="2:33" x14ac:dyDescent="0.25">
      <c r="B271" s="9">
        <v>20</v>
      </c>
      <c r="D271" s="5" t="s">
        <v>294</v>
      </c>
      <c r="E271" s="24">
        <v>4</v>
      </c>
      <c r="F271" s="24">
        <v>0</v>
      </c>
      <c r="G271" s="95">
        <v>0</v>
      </c>
      <c r="H271" s="91">
        <f t="shared" si="20"/>
        <v>0</v>
      </c>
      <c r="I271" s="24">
        <v>0</v>
      </c>
      <c r="J271" s="26">
        <f t="shared" si="21"/>
        <v>0</v>
      </c>
      <c r="K271" s="24">
        <v>0</v>
      </c>
      <c r="L271" s="24">
        <v>0</v>
      </c>
      <c r="M271" s="24">
        <v>0</v>
      </c>
      <c r="N271" s="24">
        <v>0</v>
      </c>
      <c r="O271" s="24">
        <v>0</v>
      </c>
      <c r="P271" s="24">
        <v>0</v>
      </c>
    </row>
    <row r="272" spans="2:33" x14ac:dyDescent="0.25">
      <c r="J272" s="25"/>
    </row>
    <row r="274" spans="2:33" x14ac:dyDescent="0.25">
      <c r="C274" s="1" t="s">
        <v>81</v>
      </c>
    </row>
    <row r="276" spans="2:33" x14ac:dyDescent="0.25">
      <c r="D276" s="8" t="s">
        <v>0</v>
      </c>
      <c r="E276" s="18" t="s">
        <v>1</v>
      </c>
      <c r="F276" s="18" t="s">
        <v>2</v>
      </c>
      <c r="G276" s="94" t="s">
        <v>3</v>
      </c>
      <c r="H276" s="71" t="s">
        <v>4</v>
      </c>
      <c r="I276" s="18" t="s">
        <v>5</v>
      </c>
      <c r="J276" s="18" t="s">
        <v>38</v>
      </c>
      <c r="K276" s="18" t="s">
        <v>41</v>
      </c>
      <c r="L276" s="18" t="s">
        <v>42</v>
      </c>
      <c r="M276" s="18" t="s">
        <v>45</v>
      </c>
      <c r="N276" s="18" t="s">
        <v>46</v>
      </c>
      <c r="O276" s="18" t="s">
        <v>44</v>
      </c>
      <c r="P276" s="18" t="s">
        <v>43</v>
      </c>
    </row>
    <row r="277" spans="2:33" x14ac:dyDescent="0.25">
      <c r="B277" s="9">
        <v>1</v>
      </c>
      <c r="D277" s="5" t="s">
        <v>13</v>
      </c>
      <c r="E277" s="24">
        <v>24</v>
      </c>
      <c r="F277" s="24">
        <v>46</v>
      </c>
      <c r="G277" s="95">
        <v>23</v>
      </c>
      <c r="H277" s="91">
        <f t="shared" ref="H277:H295" si="22">F277+G277</f>
        <v>69</v>
      </c>
      <c r="I277" s="24">
        <v>30</v>
      </c>
      <c r="J277" s="26">
        <f t="shared" ref="J277:J295" si="23">H277/E277</f>
        <v>2.875</v>
      </c>
      <c r="K277" s="24">
        <v>4</v>
      </c>
      <c r="L277" s="24">
        <v>4</v>
      </c>
      <c r="M277" s="24">
        <v>4</v>
      </c>
      <c r="N277" s="24">
        <v>0</v>
      </c>
      <c r="O277" s="24">
        <v>1</v>
      </c>
      <c r="P277" s="24">
        <v>1</v>
      </c>
    </row>
    <row r="278" spans="2:33" x14ac:dyDescent="0.25">
      <c r="B278" s="9">
        <v>2</v>
      </c>
      <c r="D278" s="5" t="s">
        <v>7</v>
      </c>
      <c r="E278" s="24">
        <v>22</v>
      </c>
      <c r="F278" s="24">
        <v>31</v>
      </c>
      <c r="G278" s="95">
        <v>20</v>
      </c>
      <c r="H278" s="91">
        <f t="shared" si="22"/>
        <v>51</v>
      </c>
      <c r="I278" s="24">
        <v>6</v>
      </c>
      <c r="J278" s="26">
        <f t="shared" si="23"/>
        <v>2.3181818181818183</v>
      </c>
      <c r="K278" s="24">
        <v>3</v>
      </c>
      <c r="L278" s="24">
        <v>3</v>
      </c>
      <c r="M278" s="24">
        <v>2</v>
      </c>
      <c r="N278" s="24">
        <v>1</v>
      </c>
      <c r="O278" s="24">
        <v>0</v>
      </c>
      <c r="P278" s="24">
        <v>0</v>
      </c>
    </row>
    <row r="279" spans="2:33" x14ac:dyDescent="0.25">
      <c r="B279" s="9">
        <v>3</v>
      </c>
      <c r="D279" s="5" t="s">
        <v>8</v>
      </c>
      <c r="E279" s="24">
        <v>22</v>
      </c>
      <c r="F279" s="24">
        <v>22</v>
      </c>
      <c r="G279" s="95">
        <v>14</v>
      </c>
      <c r="H279" s="91">
        <f t="shared" si="22"/>
        <v>36</v>
      </c>
      <c r="I279" s="24">
        <v>18</v>
      </c>
      <c r="J279" s="26">
        <f t="shared" si="23"/>
        <v>1.6363636363636365</v>
      </c>
      <c r="K279" s="24">
        <v>1</v>
      </c>
      <c r="L279" s="24">
        <v>0</v>
      </c>
      <c r="M279" s="24">
        <v>1</v>
      </c>
      <c r="N279" s="24">
        <v>0</v>
      </c>
      <c r="O279" s="24">
        <v>0</v>
      </c>
      <c r="P279" s="24">
        <v>0</v>
      </c>
      <c r="Z279" s="17"/>
      <c r="AA279" s="17"/>
      <c r="AB279" s="17"/>
      <c r="AC279" s="31"/>
      <c r="AD279" s="17"/>
      <c r="AE279" s="25"/>
      <c r="AF279" s="17"/>
      <c r="AG279" s="17"/>
    </row>
    <row r="280" spans="2:33" x14ac:dyDescent="0.25">
      <c r="B280" s="9">
        <v>4</v>
      </c>
      <c r="D280" s="5" t="s">
        <v>10</v>
      </c>
      <c r="E280" s="24">
        <v>20</v>
      </c>
      <c r="F280" s="24">
        <v>14</v>
      </c>
      <c r="G280" s="95">
        <v>15</v>
      </c>
      <c r="H280" s="91">
        <f t="shared" si="22"/>
        <v>29</v>
      </c>
      <c r="I280" s="24">
        <v>6</v>
      </c>
      <c r="J280" s="26">
        <f t="shared" si="23"/>
        <v>1.45</v>
      </c>
      <c r="K280" s="24">
        <v>0</v>
      </c>
      <c r="L280" s="24">
        <v>3</v>
      </c>
      <c r="M280" s="24">
        <v>1</v>
      </c>
      <c r="N280" s="24">
        <v>0</v>
      </c>
      <c r="O280" s="24">
        <v>2</v>
      </c>
      <c r="P280" s="24">
        <v>0</v>
      </c>
    </row>
    <row r="281" spans="2:33" x14ac:dyDescent="0.25">
      <c r="B281" s="9">
        <v>5</v>
      </c>
      <c r="D281" s="5" t="s">
        <v>77</v>
      </c>
      <c r="E281" s="24">
        <v>16</v>
      </c>
      <c r="F281" s="24">
        <v>12</v>
      </c>
      <c r="G281" s="95">
        <v>17</v>
      </c>
      <c r="H281" s="91">
        <f t="shared" si="22"/>
        <v>29</v>
      </c>
      <c r="I281" s="24">
        <v>55</v>
      </c>
      <c r="J281" s="26">
        <f t="shared" si="23"/>
        <v>1.8125</v>
      </c>
      <c r="K281" s="24">
        <v>0</v>
      </c>
      <c r="L281" s="24">
        <v>0</v>
      </c>
      <c r="M281" s="24">
        <v>1</v>
      </c>
      <c r="N281" s="24">
        <v>0</v>
      </c>
      <c r="O281" s="24">
        <v>1</v>
      </c>
      <c r="P281" s="24">
        <v>0</v>
      </c>
    </row>
    <row r="282" spans="2:33" x14ac:dyDescent="0.25">
      <c r="B282" s="9">
        <v>6</v>
      </c>
      <c r="D282" s="5" t="s">
        <v>30</v>
      </c>
      <c r="E282" s="24">
        <v>19</v>
      </c>
      <c r="F282" s="24">
        <v>13</v>
      </c>
      <c r="G282" s="95">
        <v>14</v>
      </c>
      <c r="H282" s="91">
        <f t="shared" si="22"/>
        <v>27</v>
      </c>
      <c r="I282" s="24">
        <v>6</v>
      </c>
      <c r="J282" s="26">
        <f t="shared" si="23"/>
        <v>1.4210526315789473</v>
      </c>
      <c r="K282" s="24">
        <v>0</v>
      </c>
      <c r="L282" s="24">
        <v>1</v>
      </c>
      <c r="M282" s="24">
        <v>0</v>
      </c>
      <c r="N282" s="24">
        <v>0</v>
      </c>
      <c r="O282" s="24">
        <v>0</v>
      </c>
      <c r="P282" s="24">
        <v>0</v>
      </c>
      <c r="Z282" s="17"/>
      <c r="AA282" s="17"/>
      <c r="AB282" s="17"/>
      <c r="AC282" s="31"/>
      <c r="AD282" s="17"/>
      <c r="AE282" s="25"/>
      <c r="AF282" s="17"/>
      <c r="AG282" s="17"/>
    </row>
    <row r="283" spans="2:33" x14ac:dyDescent="0.25">
      <c r="B283" s="9">
        <v>7</v>
      </c>
      <c r="D283" s="5" t="s">
        <v>39</v>
      </c>
      <c r="E283" s="24">
        <v>14</v>
      </c>
      <c r="F283" s="24">
        <v>10</v>
      </c>
      <c r="G283" s="95">
        <v>5</v>
      </c>
      <c r="H283" s="91">
        <f t="shared" si="22"/>
        <v>15</v>
      </c>
      <c r="I283" s="24">
        <v>0</v>
      </c>
      <c r="J283" s="26">
        <f t="shared" si="23"/>
        <v>1.0714285714285714</v>
      </c>
      <c r="K283" s="24">
        <v>0</v>
      </c>
      <c r="L283" s="24">
        <v>0</v>
      </c>
      <c r="M283" s="24">
        <v>0</v>
      </c>
      <c r="N283" s="24">
        <v>0</v>
      </c>
      <c r="O283" s="24">
        <v>0</v>
      </c>
      <c r="P283" s="24">
        <v>0</v>
      </c>
      <c r="Z283" s="17"/>
      <c r="AA283" s="17"/>
      <c r="AB283" s="17"/>
      <c r="AC283" s="31"/>
      <c r="AD283" s="17"/>
      <c r="AE283" s="25"/>
      <c r="AF283" s="17"/>
      <c r="AG283" s="17"/>
    </row>
    <row r="284" spans="2:33" x14ac:dyDescent="0.25">
      <c r="B284" s="9">
        <v>8</v>
      </c>
      <c r="D284" s="5" t="s">
        <v>14</v>
      </c>
      <c r="E284" s="24">
        <v>22</v>
      </c>
      <c r="F284" s="24">
        <v>9</v>
      </c>
      <c r="G284" s="95">
        <v>6</v>
      </c>
      <c r="H284" s="91">
        <f t="shared" si="22"/>
        <v>15</v>
      </c>
      <c r="I284" s="24">
        <v>10</v>
      </c>
      <c r="J284" s="26">
        <f t="shared" si="23"/>
        <v>0.68181818181818177</v>
      </c>
      <c r="K284" s="24">
        <v>0</v>
      </c>
      <c r="L284" s="24">
        <v>0</v>
      </c>
      <c r="M284" s="24">
        <v>0</v>
      </c>
      <c r="N284" s="24">
        <v>0</v>
      </c>
      <c r="O284" s="24">
        <v>0</v>
      </c>
      <c r="P284" s="24">
        <v>0</v>
      </c>
      <c r="Z284" s="17"/>
      <c r="AA284" s="17"/>
      <c r="AB284" s="17"/>
      <c r="AC284" s="31"/>
      <c r="AD284" s="17"/>
      <c r="AE284" s="25"/>
      <c r="AF284" s="17"/>
      <c r="AG284" s="17"/>
    </row>
    <row r="285" spans="2:33" x14ac:dyDescent="0.25">
      <c r="B285" s="9">
        <v>9</v>
      </c>
      <c r="D285" s="5" t="s">
        <v>16</v>
      </c>
      <c r="E285" s="24">
        <v>20</v>
      </c>
      <c r="F285" s="24">
        <v>0</v>
      </c>
      <c r="G285" s="95">
        <v>9</v>
      </c>
      <c r="H285" s="91">
        <f t="shared" si="22"/>
        <v>9</v>
      </c>
      <c r="I285" s="24">
        <v>27</v>
      </c>
      <c r="J285" s="26">
        <f t="shared" si="23"/>
        <v>0.45</v>
      </c>
      <c r="K285" s="24">
        <v>0</v>
      </c>
      <c r="L285" s="24">
        <v>0</v>
      </c>
      <c r="M285" s="24">
        <v>0</v>
      </c>
      <c r="N285" s="24">
        <v>0</v>
      </c>
      <c r="O285" s="24">
        <v>0</v>
      </c>
      <c r="P285" s="24">
        <v>0</v>
      </c>
    </row>
    <row r="286" spans="2:33" x14ac:dyDescent="0.25">
      <c r="B286" s="9">
        <v>10</v>
      </c>
      <c r="D286" s="5" t="s">
        <v>12</v>
      </c>
      <c r="E286" s="24">
        <v>18</v>
      </c>
      <c r="F286" s="24">
        <v>3</v>
      </c>
      <c r="G286" s="95">
        <v>5</v>
      </c>
      <c r="H286" s="91">
        <f t="shared" si="22"/>
        <v>8</v>
      </c>
      <c r="I286" s="24">
        <v>6</v>
      </c>
      <c r="J286" s="26">
        <f t="shared" si="23"/>
        <v>0.44444444444444442</v>
      </c>
      <c r="K286" s="24">
        <v>0</v>
      </c>
      <c r="L286" s="24">
        <v>0</v>
      </c>
      <c r="M286" s="24">
        <v>1</v>
      </c>
      <c r="N286" s="24">
        <v>0</v>
      </c>
      <c r="O286" s="24">
        <v>0</v>
      </c>
      <c r="P286" s="24">
        <v>0</v>
      </c>
    </row>
    <row r="287" spans="2:33" x14ac:dyDescent="0.25">
      <c r="B287" s="9">
        <v>11</v>
      </c>
      <c r="D287" s="5" t="s">
        <v>238</v>
      </c>
      <c r="E287" s="24">
        <v>2</v>
      </c>
      <c r="F287" s="24">
        <v>3</v>
      </c>
      <c r="G287" s="95">
        <v>4</v>
      </c>
      <c r="H287" s="91">
        <f t="shared" si="22"/>
        <v>7</v>
      </c>
      <c r="I287" s="24">
        <v>2</v>
      </c>
      <c r="J287" s="26">
        <f t="shared" si="23"/>
        <v>3.5</v>
      </c>
      <c r="K287" s="24">
        <v>1</v>
      </c>
      <c r="L287" s="24">
        <v>0</v>
      </c>
      <c r="M287" s="24">
        <v>1</v>
      </c>
      <c r="N287" s="24">
        <v>0</v>
      </c>
      <c r="O287" s="24">
        <v>0</v>
      </c>
      <c r="P287" s="24">
        <v>0</v>
      </c>
    </row>
    <row r="288" spans="2:33" x14ac:dyDescent="0.25">
      <c r="B288" s="9">
        <v>12</v>
      </c>
      <c r="D288" s="5" t="s">
        <v>15</v>
      </c>
      <c r="E288" s="24">
        <v>14</v>
      </c>
      <c r="F288" s="24">
        <v>0</v>
      </c>
      <c r="G288" s="95">
        <v>7</v>
      </c>
      <c r="H288" s="91">
        <f t="shared" si="22"/>
        <v>7</v>
      </c>
      <c r="I288" s="24">
        <v>2</v>
      </c>
      <c r="J288" s="26">
        <f t="shared" si="23"/>
        <v>0.5</v>
      </c>
      <c r="K288" s="24">
        <v>0</v>
      </c>
      <c r="L288" s="24">
        <v>0</v>
      </c>
      <c r="M288" s="24">
        <v>0</v>
      </c>
      <c r="N288" s="24">
        <v>0</v>
      </c>
      <c r="O288" s="24">
        <v>0</v>
      </c>
      <c r="P288" s="24">
        <v>0</v>
      </c>
      <c r="Z288" s="22"/>
      <c r="AA288" s="22"/>
      <c r="AB288" s="22"/>
      <c r="AC288" s="22"/>
      <c r="AD288" s="22"/>
      <c r="AE288" s="22"/>
      <c r="AF288" s="22"/>
      <c r="AG288" s="22"/>
    </row>
    <row r="289" spans="2:33" x14ac:dyDescent="0.25">
      <c r="B289" s="9">
        <v>13</v>
      </c>
      <c r="D289" s="5" t="s">
        <v>225</v>
      </c>
      <c r="E289" s="24">
        <v>2</v>
      </c>
      <c r="F289" s="24">
        <v>2</v>
      </c>
      <c r="G289" s="95">
        <v>1</v>
      </c>
      <c r="H289" s="91">
        <f t="shared" si="22"/>
        <v>3</v>
      </c>
      <c r="I289" s="24">
        <v>0</v>
      </c>
      <c r="J289" s="26">
        <f t="shared" si="23"/>
        <v>1.5</v>
      </c>
      <c r="K289" s="24">
        <v>0</v>
      </c>
      <c r="L289" s="24">
        <v>0</v>
      </c>
      <c r="M289" s="24">
        <v>0</v>
      </c>
      <c r="N289" s="24">
        <v>0</v>
      </c>
      <c r="O289" s="24">
        <v>0</v>
      </c>
      <c r="P289" s="24">
        <v>0</v>
      </c>
    </row>
    <row r="290" spans="2:33" x14ac:dyDescent="0.25">
      <c r="B290" s="9">
        <v>14</v>
      </c>
      <c r="D290" s="5" t="s">
        <v>82</v>
      </c>
      <c r="E290" s="24">
        <v>4</v>
      </c>
      <c r="F290" s="24">
        <v>1</v>
      </c>
      <c r="G290" s="95">
        <v>1</v>
      </c>
      <c r="H290" s="91">
        <f t="shared" si="22"/>
        <v>2</v>
      </c>
      <c r="I290" s="24">
        <v>0</v>
      </c>
      <c r="J290" s="26">
        <f t="shared" si="23"/>
        <v>0.5</v>
      </c>
      <c r="K290" s="24">
        <v>0</v>
      </c>
      <c r="L290" s="24">
        <v>0</v>
      </c>
      <c r="M290" s="24">
        <v>0</v>
      </c>
      <c r="N290" s="24">
        <v>0</v>
      </c>
      <c r="O290" s="24">
        <v>0</v>
      </c>
      <c r="P290" s="24">
        <v>0</v>
      </c>
    </row>
    <row r="291" spans="2:33" x14ac:dyDescent="0.25">
      <c r="B291" s="9">
        <v>15</v>
      </c>
      <c r="D291" s="5" t="s">
        <v>91</v>
      </c>
      <c r="E291" s="24">
        <v>4</v>
      </c>
      <c r="F291" s="24">
        <v>0</v>
      </c>
      <c r="G291" s="95">
        <v>1</v>
      </c>
      <c r="H291" s="91">
        <f t="shared" si="22"/>
        <v>1</v>
      </c>
      <c r="I291" s="24">
        <v>0</v>
      </c>
      <c r="J291" s="26">
        <f t="shared" si="23"/>
        <v>0.25</v>
      </c>
      <c r="K291" s="24">
        <v>0</v>
      </c>
      <c r="L291" s="24">
        <v>0</v>
      </c>
      <c r="M291" s="24">
        <v>0</v>
      </c>
      <c r="N291" s="24">
        <v>0</v>
      </c>
      <c r="O291" s="24">
        <v>0</v>
      </c>
      <c r="P291" s="24">
        <v>0</v>
      </c>
      <c r="AC291" s="17"/>
      <c r="AD291" s="17"/>
      <c r="AE291" s="17"/>
      <c r="AF291" s="31"/>
      <c r="AG291" s="17"/>
    </row>
    <row r="292" spans="2:33" x14ac:dyDescent="0.25">
      <c r="B292" s="9">
        <v>16</v>
      </c>
      <c r="D292" s="5" t="s">
        <v>9</v>
      </c>
      <c r="E292" s="24">
        <v>5</v>
      </c>
      <c r="F292" s="24">
        <v>0</v>
      </c>
      <c r="G292" s="95">
        <v>0</v>
      </c>
      <c r="H292" s="91">
        <f t="shared" si="22"/>
        <v>0</v>
      </c>
      <c r="I292" s="24">
        <v>4</v>
      </c>
      <c r="J292" s="26">
        <f t="shared" si="23"/>
        <v>0</v>
      </c>
      <c r="K292" s="24">
        <v>0</v>
      </c>
      <c r="L292" s="24">
        <v>0</v>
      </c>
      <c r="M292" s="24">
        <v>0</v>
      </c>
      <c r="N292" s="24">
        <v>0</v>
      </c>
      <c r="O292" s="24">
        <v>0</v>
      </c>
      <c r="P292" s="24">
        <v>0</v>
      </c>
    </row>
    <row r="293" spans="2:33" x14ac:dyDescent="0.25">
      <c r="B293" s="9">
        <v>17</v>
      </c>
      <c r="D293" s="5" t="s">
        <v>35</v>
      </c>
      <c r="E293" s="24">
        <v>4</v>
      </c>
      <c r="F293" s="24">
        <v>0</v>
      </c>
      <c r="G293" s="95">
        <v>0</v>
      </c>
      <c r="H293" s="91">
        <f t="shared" si="22"/>
        <v>0</v>
      </c>
      <c r="I293" s="24">
        <v>0</v>
      </c>
      <c r="J293" s="26">
        <f t="shared" si="23"/>
        <v>0</v>
      </c>
      <c r="K293" s="24">
        <v>0</v>
      </c>
      <c r="L293" s="24">
        <v>0</v>
      </c>
      <c r="M293" s="24">
        <v>0</v>
      </c>
      <c r="N293" s="24">
        <v>0</v>
      </c>
      <c r="O293" s="24">
        <v>0</v>
      </c>
      <c r="P293" s="24">
        <v>0</v>
      </c>
    </row>
    <row r="294" spans="2:33" x14ac:dyDescent="0.25">
      <c r="B294" s="9">
        <v>18</v>
      </c>
      <c r="D294" s="5" t="s">
        <v>75</v>
      </c>
      <c r="E294" s="24">
        <v>16</v>
      </c>
      <c r="F294" s="24">
        <v>0</v>
      </c>
      <c r="G294" s="95">
        <v>0</v>
      </c>
      <c r="H294" s="91">
        <f t="shared" si="22"/>
        <v>0</v>
      </c>
      <c r="I294" s="24">
        <v>0</v>
      </c>
      <c r="J294" s="26">
        <f t="shared" si="23"/>
        <v>0</v>
      </c>
      <c r="K294" s="24">
        <v>0</v>
      </c>
      <c r="L294" s="24">
        <v>0</v>
      </c>
      <c r="M294" s="24">
        <v>0</v>
      </c>
      <c r="N294" s="24">
        <v>0</v>
      </c>
      <c r="O294" s="24">
        <v>0</v>
      </c>
      <c r="P294" s="24">
        <v>0</v>
      </c>
    </row>
    <row r="295" spans="2:33" x14ac:dyDescent="0.25">
      <c r="B295" s="9">
        <v>19</v>
      </c>
      <c r="D295" s="5" t="s">
        <v>87</v>
      </c>
      <c r="E295" s="24">
        <v>4</v>
      </c>
      <c r="F295" s="24">
        <v>0</v>
      </c>
      <c r="G295" s="95">
        <v>0</v>
      </c>
      <c r="H295" s="91">
        <f t="shared" si="22"/>
        <v>0</v>
      </c>
      <c r="I295" s="24">
        <v>0</v>
      </c>
      <c r="J295" s="26">
        <f t="shared" si="23"/>
        <v>0</v>
      </c>
      <c r="K295" s="24">
        <v>0</v>
      </c>
      <c r="L295" s="24">
        <v>0</v>
      </c>
      <c r="M295" s="24">
        <v>0</v>
      </c>
      <c r="N295" s="24">
        <v>0</v>
      </c>
      <c r="O295" s="24">
        <v>0</v>
      </c>
      <c r="P295" s="24">
        <v>0</v>
      </c>
    </row>
    <row r="296" spans="2:33" x14ac:dyDescent="0.25">
      <c r="J296" s="25"/>
    </row>
    <row r="298" spans="2:33" x14ac:dyDescent="0.25">
      <c r="C298" s="1" t="s">
        <v>80</v>
      </c>
      <c r="AC298" s="17"/>
      <c r="AD298" s="17"/>
      <c r="AE298" s="17"/>
      <c r="AF298" s="31"/>
      <c r="AG298" s="17"/>
    </row>
    <row r="299" spans="2:33" x14ac:dyDescent="0.25">
      <c r="AC299" s="17"/>
      <c r="AD299" s="17"/>
      <c r="AE299" s="17"/>
      <c r="AF299" s="31"/>
      <c r="AG299" s="17"/>
    </row>
    <row r="300" spans="2:33" x14ac:dyDescent="0.25">
      <c r="D300" s="8" t="s">
        <v>0</v>
      </c>
      <c r="E300" s="18" t="s">
        <v>1</v>
      </c>
      <c r="F300" s="18" t="s">
        <v>2</v>
      </c>
      <c r="G300" s="94" t="s">
        <v>3</v>
      </c>
      <c r="H300" s="71" t="s">
        <v>4</v>
      </c>
      <c r="I300" s="18" t="s">
        <v>5</v>
      </c>
      <c r="J300" s="18" t="s">
        <v>38</v>
      </c>
      <c r="K300" s="18" t="s">
        <v>41</v>
      </c>
      <c r="L300" s="18" t="s">
        <v>42</v>
      </c>
      <c r="M300" s="18" t="s">
        <v>45</v>
      </c>
      <c r="N300" s="18" t="s">
        <v>46</v>
      </c>
      <c r="O300" s="18" t="s">
        <v>44</v>
      </c>
      <c r="P300" s="18" t="s">
        <v>43</v>
      </c>
      <c r="AC300" s="17"/>
      <c r="AD300" s="17"/>
      <c r="AE300" s="17"/>
      <c r="AF300" s="31"/>
      <c r="AG300" s="17"/>
    </row>
    <row r="301" spans="2:33" x14ac:dyDescent="0.25">
      <c r="B301" s="9">
        <v>1</v>
      </c>
      <c r="D301" s="5" t="s">
        <v>13</v>
      </c>
      <c r="E301" s="24">
        <v>18</v>
      </c>
      <c r="F301" s="24">
        <v>32</v>
      </c>
      <c r="G301" s="95">
        <v>22</v>
      </c>
      <c r="H301" s="91">
        <f t="shared" ref="H301:H315" si="24">F301+G301</f>
        <v>54</v>
      </c>
      <c r="I301" s="24">
        <v>8</v>
      </c>
      <c r="J301" s="26">
        <f t="shared" ref="J301:J315" si="25">H301/E301</f>
        <v>3</v>
      </c>
      <c r="K301" s="24">
        <v>1</v>
      </c>
      <c r="L301" s="24">
        <v>1</v>
      </c>
      <c r="M301" s="24">
        <v>4</v>
      </c>
      <c r="N301" s="24">
        <v>0</v>
      </c>
      <c r="O301" s="24">
        <v>0</v>
      </c>
      <c r="P301" s="24">
        <v>1</v>
      </c>
    </row>
    <row r="302" spans="2:33" x14ac:dyDescent="0.25">
      <c r="B302" s="9">
        <v>2</v>
      </c>
      <c r="D302" s="5" t="s">
        <v>8</v>
      </c>
      <c r="E302" s="24">
        <v>20</v>
      </c>
      <c r="F302" s="24">
        <v>21</v>
      </c>
      <c r="G302" s="95">
        <v>13</v>
      </c>
      <c r="H302" s="91">
        <f t="shared" si="24"/>
        <v>34</v>
      </c>
      <c r="I302" s="24">
        <v>10</v>
      </c>
      <c r="J302" s="26">
        <f t="shared" si="25"/>
        <v>1.7</v>
      </c>
      <c r="K302" s="24">
        <v>1</v>
      </c>
      <c r="L302" s="24">
        <v>0</v>
      </c>
      <c r="M302" s="24">
        <v>2</v>
      </c>
      <c r="N302" s="24">
        <v>0</v>
      </c>
      <c r="O302" s="24">
        <v>1</v>
      </c>
      <c r="P302" s="24">
        <v>0</v>
      </c>
    </row>
    <row r="303" spans="2:33" x14ac:dyDescent="0.25">
      <c r="B303" s="9">
        <v>3</v>
      </c>
      <c r="D303" s="5" t="s">
        <v>7</v>
      </c>
      <c r="E303" s="24">
        <v>16</v>
      </c>
      <c r="F303" s="24">
        <v>25</v>
      </c>
      <c r="G303" s="95">
        <v>8</v>
      </c>
      <c r="H303" s="91">
        <f t="shared" si="24"/>
        <v>33</v>
      </c>
      <c r="I303" s="24">
        <v>4</v>
      </c>
      <c r="J303" s="26">
        <f t="shared" si="25"/>
        <v>2.0625</v>
      </c>
      <c r="K303" s="24">
        <v>1</v>
      </c>
      <c r="L303" s="24">
        <v>1</v>
      </c>
      <c r="M303" s="24">
        <v>3</v>
      </c>
      <c r="N303" s="24">
        <v>1</v>
      </c>
      <c r="O303" s="24">
        <v>0</v>
      </c>
      <c r="P303" s="24">
        <v>0</v>
      </c>
    </row>
    <row r="304" spans="2:33" x14ac:dyDescent="0.25">
      <c r="B304" s="9">
        <v>4</v>
      </c>
      <c r="D304" s="5" t="s">
        <v>39</v>
      </c>
      <c r="E304" s="24">
        <v>20</v>
      </c>
      <c r="F304" s="24">
        <v>11</v>
      </c>
      <c r="G304" s="95">
        <v>14</v>
      </c>
      <c r="H304" s="91">
        <f t="shared" si="24"/>
        <v>25</v>
      </c>
      <c r="I304" s="24">
        <v>2</v>
      </c>
      <c r="J304" s="26">
        <f t="shared" si="25"/>
        <v>1.25</v>
      </c>
      <c r="K304" s="24">
        <v>0</v>
      </c>
      <c r="L304" s="24">
        <v>0</v>
      </c>
      <c r="M304" s="24">
        <v>2</v>
      </c>
      <c r="N304" s="24">
        <v>0</v>
      </c>
      <c r="O304" s="24">
        <v>0</v>
      </c>
      <c r="P304" s="24">
        <v>0</v>
      </c>
    </row>
    <row r="305" spans="2:33" x14ac:dyDescent="0.25">
      <c r="B305" s="9">
        <v>5</v>
      </c>
      <c r="D305" s="5" t="s">
        <v>9</v>
      </c>
      <c r="E305" s="24">
        <v>18</v>
      </c>
      <c r="F305" s="24">
        <v>10</v>
      </c>
      <c r="G305" s="95">
        <v>9</v>
      </c>
      <c r="H305" s="91">
        <f t="shared" si="24"/>
        <v>19</v>
      </c>
      <c r="I305" s="24">
        <v>2</v>
      </c>
      <c r="J305" s="26">
        <f t="shared" si="25"/>
        <v>1.0555555555555556</v>
      </c>
      <c r="K305" s="24">
        <v>0</v>
      </c>
      <c r="L305" s="24">
        <v>2</v>
      </c>
      <c r="M305" s="24">
        <v>3</v>
      </c>
      <c r="N305" s="24">
        <v>0</v>
      </c>
      <c r="O305" s="24">
        <v>0</v>
      </c>
      <c r="P305" s="24">
        <v>0</v>
      </c>
    </row>
    <row r="306" spans="2:33" x14ac:dyDescent="0.25">
      <c r="B306" s="9">
        <v>6</v>
      </c>
      <c r="D306" s="5" t="s">
        <v>10</v>
      </c>
      <c r="E306" s="24">
        <v>20</v>
      </c>
      <c r="F306" s="24">
        <v>7</v>
      </c>
      <c r="G306" s="95">
        <v>12</v>
      </c>
      <c r="H306" s="91">
        <f t="shared" si="24"/>
        <v>19</v>
      </c>
      <c r="I306" s="24">
        <v>8</v>
      </c>
      <c r="J306" s="26">
        <f t="shared" si="25"/>
        <v>0.95</v>
      </c>
      <c r="K306" s="24">
        <v>0</v>
      </c>
      <c r="L306" s="24">
        <v>0</v>
      </c>
      <c r="M306" s="24">
        <v>1</v>
      </c>
      <c r="N306" s="24">
        <v>0</v>
      </c>
      <c r="O306" s="24">
        <v>0</v>
      </c>
      <c r="P306" s="24">
        <v>0</v>
      </c>
    </row>
    <row r="307" spans="2:33" x14ac:dyDescent="0.25">
      <c r="B307" s="9">
        <v>7</v>
      </c>
      <c r="D307" s="5" t="s">
        <v>14</v>
      </c>
      <c r="E307" s="24">
        <v>18</v>
      </c>
      <c r="F307" s="24">
        <v>7</v>
      </c>
      <c r="G307" s="95">
        <v>7</v>
      </c>
      <c r="H307" s="91">
        <f t="shared" si="24"/>
        <v>14</v>
      </c>
      <c r="I307" s="24">
        <v>4</v>
      </c>
      <c r="J307" s="26">
        <f t="shared" si="25"/>
        <v>0.77777777777777779</v>
      </c>
      <c r="K307" s="24">
        <v>4</v>
      </c>
      <c r="L307" s="24">
        <v>1</v>
      </c>
      <c r="M307" s="24">
        <v>0</v>
      </c>
      <c r="N307" s="24">
        <v>0</v>
      </c>
      <c r="O307" s="24">
        <v>0</v>
      </c>
      <c r="P307" s="24">
        <v>0</v>
      </c>
      <c r="Z307" s="17"/>
      <c r="AA307" s="17"/>
      <c r="AB307" s="17"/>
      <c r="AC307" s="31"/>
      <c r="AD307" s="17"/>
      <c r="AE307" s="25"/>
      <c r="AF307" s="17"/>
      <c r="AG307" s="17"/>
    </row>
    <row r="308" spans="2:33" x14ac:dyDescent="0.25">
      <c r="B308" s="9">
        <v>8</v>
      </c>
      <c r="D308" s="5" t="s">
        <v>12</v>
      </c>
      <c r="E308" s="24">
        <v>19</v>
      </c>
      <c r="F308" s="24">
        <v>2</v>
      </c>
      <c r="G308" s="95">
        <v>12</v>
      </c>
      <c r="H308" s="91">
        <f t="shared" si="24"/>
        <v>14</v>
      </c>
      <c r="I308" s="24">
        <v>6</v>
      </c>
      <c r="J308" s="26">
        <f t="shared" si="25"/>
        <v>0.73684210526315785</v>
      </c>
      <c r="K308" s="24">
        <v>0</v>
      </c>
      <c r="L308" s="24">
        <v>1</v>
      </c>
      <c r="M308" s="24">
        <v>0</v>
      </c>
      <c r="N308" s="24">
        <v>0</v>
      </c>
      <c r="O308" s="24">
        <v>0</v>
      </c>
      <c r="P308" s="24">
        <v>0</v>
      </c>
    </row>
    <row r="309" spans="2:33" x14ac:dyDescent="0.25">
      <c r="B309" s="9">
        <v>9</v>
      </c>
      <c r="D309" s="5" t="s">
        <v>30</v>
      </c>
      <c r="E309" s="24">
        <v>12</v>
      </c>
      <c r="F309" s="24">
        <v>7</v>
      </c>
      <c r="G309" s="95">
        <v>5</v>
      </c>
      <c r="H309" s="91">
        <f t="shared" si="24"/>
        <v>12</v>
      </c>
      <c r="I309" s="24">
        <v>2</v>
      </c>
      <c r="J309" s="26">
        <f t="shared" si="25"/>
        <v>1</v>
      </c>
      <c r="K309" s="24">
        <v>0</v>
      </c>
      <c r="L309" s="24">
        <v>0</v>
      </c>
      <c r="M309" s="24">
        <v>0</v>
      </c>
      <c r="N309" s="24">
        <v>0</v>
      </c>
      <c r="O309" s="24">
        <v>0</v>
      </c>
      <c r="P309" s="24">
        <v>0</v>
      </c>
    </row>
    <row r="310" spans="2:33" x14ac:dyDescent="0.25">
      <c r="B310" s="9">
        <v>10</v>
      </c>
      <c r="D310" s="5" t="s">
        <v>16</v>
      </c>
      <c r="E310" s="24">
        <v>20</v>
      </c>
      <c r="F310" s="24">
        <v>1</v>
      </c>
      <c r="G310" s="95">
        <v>3</v>
      </c>
      <c r="H310" s="91">
        <f t="shared" si="24"/>
        <v>4</v>
      </c>
      <c r="I310" s="24">
        <v>4</v>
      </c>
      <c r="J310" s="26">
        <f t="shared" si="25"/>
        <v>0.2</v>
      </c>
      <c r="K310" s="24">
        <v>0</v>
      </c>
      <c r="L310" s="24">
        <v>0</v>
      </c>
      <c r="M310" s="24">
        <v>0</v>
      </c>
      <c r="N310" s="24">
        <v>0</v>
      </c>
      <c r="O310" s="24">
        <v>0</v>
      </c>
      <c r="P310" s="24">
        <v>0</v>
      </c>
      <c r="Z310" s="22"/>
      <c r="AA310" s="22"/>
      <c r="AB310" s="22"/>
      <c r="AC310" s="73"/>
      <c r="AD310" s="22"/>
      <c r="AE310" s="22"/>
      <c r="AF310" s="22"/>
      <c r="AG310" s="22"/>
    </row>
    <row r="311" spans="2:33" x14ac:dyDescent="0.25">
      <c r="B311" s="9">
        <v>11</v>
      </c>
      <c r="D311" s="5" t="s">
        <v>20</v>
      </c>
      <c r="E311" s="24">
        <v>8</v>
      </c>
      <c r="F311" s="24">
        <v>2</v>
      </c>
      <c r="G311" s="95">
        <v>1</v>
      </c>
      <c r="H311" s="91">
        <f t="shared" si="24"/>
        <v>3</v>
      </c>
      <c r="I311" s="24">
        <v>2</v>
      </c>
      <c r="J311" s="26">
        <f t="shared" si="25"/>
        <v>0.375</v>
      </c>
      <c r="K311" s="24">
        <v>1</v>
      </c>
      <c r="L311" s="24">
        <v>0</v>
      </c>
      <c r="M311" s="24">
        <v>0</v>
      </c>
      <c r="N311" s="24">
        <v>0</v>
      </c>
      <c r="O311" s="24">
        <v>0</v>
      </c>
      <c r="P311" s="24">
        <v>0</v>
      </c>
      <c r="Z311" s="22"/>
      <c r="AA311" s="22"/>
      <c r="AB311" s="22"/>
      <c r="AC311" s="73"/>
      <c r="AD311" s="22"/>
      <c r="AE311" s="22"/>
      <c r="AF311" s="22"/>
      <c r="AG311" s="22"/>
    </row>
    <row r="312" spans="2:33" x14ac:dyDescent="0.25">
      <c r="B312" s="9">
        <v>12</v>
      </c>
      <c r="D312" s="5" t="s">
        <v>15</v>
      </c>
      <c r="E312" s="24">
        <v>14</v>
      </c>
      <c r="F312" s="24">
        <v>1</v>
      </c>
      <c r="G312" s="95">
        <v>2</v>
      </c>
      <c r="H312" s="91">
        <f t="shared" si="24"/>
        <v>3</v>
      </c>
      <c r="I312" s="24">
        <v>27</v>
      </c>
      <c r="J312" s="26">
        <f t="shared" si="25"/>
        <v>0.21428571428571427</v>
      </c>
      <c r="K312" s="24">
        <v>0</v>
      </c>
      <c r="L312" s="24">
        <v>0</v>
      </c>
      <c r="M312" s="24">
        <v>0</v>
      </c>
      <c r="N312" s="24">
        <v>0</v>
      </c>
      <c r="O312" s="24">
        <v>0</v>
      </c>
      <c r="P312" s="24">
        <v>0</v>
      </c>
      <c r="Z312" s="22"/>
      <c r="AA312" s="22"/>
      <c r="AB312" s="22"/>
      <c r="AC312" s="73"/>
      <c r="AD312" s="22"/>
      <c r="AE312" s="22"/>
      <c r="AF312" s="22"/>
      <c r="AG312" s="22"/>
    </row>
    <row r="313" spans="2:33" x14ac:dyDescent="0.25">
      <c r="B313" s="9">
        <v>13</v>
      </c>
      <c r="D313" s="5" t="s">
        <v>75</v>
      </c>
      <c r="E313" s="24">
        <v>16</v>
      </c>
      <c r="F313" s="24">
        <v>0</v>
      </c>
      <c r="G313" s="95">
        <v>2</v>
      </c>
      <c r="H313" s="91">
        <f t="shared" si="24"/>
        <v>2</v>
      </c>
      <c r="I313" s="24">
        <v>0</v>
      </c>
      <c r="J313" s="26">
        <f t="shared" si="25"/>
        <v>0.125</v>
      </c>
      <c r="K313" s="24">
        <v>0</v>
      </c>
      <c r="L313" s="24">
        <v>0</v>
      </c>
      <c r="M313" s="24">
        <v>0</v>
      </c>
      <c r="N313" s="24">
        <v>0</v>
      </c>
      <c r="O313" s="24">
        <v>0</v>
      </c>
      <c r="P313" s="24">
        <v>0</v>
      </c>
      <c r="Z313" s="17"/>
      <c r="AA313" s="17"/>
      <c r="AB313" s="17"/>
      <c r="AC313" s="73"/>
      <c r="AD313" s="17"/>
      <c r="AF313" s="17"/>
      <c r="AG313" s="17"/>
    </row>
    <row r="314" spans="2:33" x14ac:dyDescent="0.25">
      <c r="B314" s="9">
        <v>14</v>
      </c>
      <c r="D314" s="5" t="s">
        <v>82</v>
      </c>
      <c r="E314" s="24">
        <v>1</v>
      </c>
      <c r="F314" s="24">
        <v>1</v>
      </c>
      <c r="G314" s="95">
        <v>0</v>
      </c>
      <c r="H314" s="91">
        <f t="shared" si="24"/>
        <v>1</v>
      </c>
      <c r="I314" s="24">
        <v>0</v>
      </c>
      <c r="J314" s="26">
        <f t="shared" si="25"/>
        <v>1</v>
      </c>
      <c r="K314" s="24">
        <v>0</v>
      </c>
      <c r="L314" s="24">
        <v>0</v>
      </c>
      <c r="M314" s="24">
        <v>0</v>
      </c>
      <c r="N314" s="24">
        <v>0</v>
      </c>
      <c r="O314" s="24">
        <v>0</v>
      </c>
      <c r="P314" s="24">
        <v>0</v>
      </c>
      <c r="Z314" s="22"/>
      <c r="AA314" s="22"/>
      <c r="AB314" s="22"/>
      <c r="AC314" s="22"/>
      <c r="AD314" s="22"/>
      <c r="AE314" s="22"/>
      <c r="AF314" s="22"/>
      <c r="AG314" s="22"/>
    </row>
    <row r="315" spans="2:33" x14ac:dyDescent="0.25">
      <c r="B315" s="9">
        <v>15</v>
      </c>
      <c r="D315" s="5" t="s">
        <v>87</v>
      </c>
      <c r="E315" s="24">
        <v>4</v>
      </c>
      <c r="F315" s="24">
        <v>0</v>
      </c>
      <c r="G315" s="95">
        <v>0</v>
      </c>
      <c r="H315" s="91">
        <f t="shared" si="24"/>
        <v>0</v>
      </c>
      <c r="I315" s="24">
        <v>0</v>
      </c>
      <c r="J315" s="26">
        <f t="shared" si="25"/>
        <v>0</v>
      </c>
      <c r="K315" s="24">
        <v>0</v>
      </c>
      <c r="L315" s="24">
        <v>0</v>
      </c>
      <c r="M315" s="24">
        <v>0</v>
      </c>
      <c r="N315" s="24">
        <v>0</v>
      </c>
      <c r="O315" s="24">
        <v>0</v>
      </c>
      <c r="P315" s="24">
        <v>0</v>
      </c>
      <c r="Z315" s="22"/>
      <c r="AA315" s="22"/>
      <c r="AB315" s="22"/>
      <c r="AC315" s="22"/>
      <c r="AD315" s="22"/>
      <c r="AE315" s="22"/>
      <c r="AF315" s="22"/>
      <c r="AG315" s="22"/>
    </row>
    <row r="316" spans="2:33" x14ac:dyDescent="0.25">
      <c r="Z316" s="17"/>
      <c r="AA316" s="17"/>
      <c r="AB316" s="17"/>
      <c r="AC316" s="31"/>
      <c r="AD316" s="17"/>
      <c r="AE316" s="25"/>
      <c r="AF316" s="17"/>
      <c r="AG316" s="17"/>
    </row>
    <row r="317" spans="2:33" x14ac:dyDescent="0.25">
      <c r="J317" s="25"/>
      <c r="Z317" s="22"/>
      <c r="AA317" s="22"/>
      <c r="AB317" s="22"/>
      <c r="AC317" s="22"/>
      <c r="AD317" s="22"/>
      <c r="AE317" s="22"/>
      <c r="AF317" s="22"/>
      <c r="AG317" s="22"/>
    </row>
    <row r="318" spans="2:33" x14ac:dyDescent="0.25">
      <c r="C318" s="1" t="s">
        <v>40</v>
      </c>
    </row>
    <row r="319" spans="2:33" x14ac:dyDescent="0.25">
      <c r="AA319" s="17"/>
      <c r="AB319" s="17"/>
      <c r="AC319" s="17"/>
      <c r="AD319" s="31"/>
      <c r="AE319" s="17"/>
      <c r="AF319" s="25"/>
      <c r="AG319" s="17"/>
    </row>
    <row r="320" spans="2:33" x14ac:dyDescent="0.25">
      <c r="D320" s="10" t="s">
        <v>0</v>
      </c>
      <c r="E320" s="30" t="s">
        <v>1</v>
      </c>
      <c r="F320" s="30" t="s">
        <v>2</v>
      </c>
      <c r="G320" s="96" t="s">
        <v>3</v>
      </c>
      <c r="H320" s="92" t="s">
        <v>4</v>
      </c>
      <c r="I320" s="30" t="s">
        <v>5</v>
      </c>
      <c r="J320" s="30" t="s">
        <v>38</v>
      </c>
      <c r="K320" s="30" t="s">
        <v>41</v>
      </c>
      <c r="L320" s="30" t="s">
        <v>42</v>
      </c>
      <c r="M320" s="30" t="s">
        <v>45</v>
      </c>
      <c r="N320" s="30" t="s">
        <v>46</v>
      </c>
      <c r="O320" s="30" t="s">
        <v>44</v>
      </c>
      <c r="P320" s="30" t="s">
        <v>43</v>
      </c>
    </row>
    <row r="321" spans="2:33" x14ac:dyDescent="0.25">
      <c r="B321" s="9">
        <v>1</v>
      </c>
      <c r="D321" s="5" t="s">
        <v>13</v>
      </c>
      <c r="E321" s="24">
        <v>20</v>
      </c>
      <c r="F321" s="24">
        <v>28</v>
      </c>
      <c r="G321" s="95">
        <v>26</v>
      </c>
      <c r="H321" s="91">
        <f t="shared" ref="H321:H337" si="26">F321+G321</f>
        <v>54</v>
      </c>
      <c r="I321" s="24">
        <v>8</v>
      </c>
      <c r="J321" s="26">
        <f t="shared" ref="J321:J337" si="27">H321/E321</f>
        <v>2.7</v>
      </c>
      <c r="K321" s="24">
        <v>1</v>
      </c>
      <c r="L321" s="24">
        <v>1</v>
      </c>
      <c r="M321" s="24">
        <v>5</v>
      </c>
      <c r="N321" s="24">
        <v>0</v>
      </c>
      <c r="O321" s="24">
        <v>0</v>
      </c>
      <c r="P321" s="24">
        <v>0</v>
      </c>
    </row>
    <row r="322" spans="2:33" x14ac:dyDescent="0.25">
      <c r="B322" s="9">
        <v>2</v>
      </c>
      <c r="D322" s="5" t="s">
        <v>7</v>
      </c>
      <c r="E322" s="24">
        <v>19</v>
      </c>
      <c r="F322" s="24">
        <v>25</v>
      </c>
      <c r="G322" s="95">
        <v>16</v>
      </c>
      <c r="H322" s="91">
        <f t="shared" si="26"/>
        <v>41</v>
      </c>
      <c r="I322" s="24">
        <v>2</v>
      </c>
      <c r="J322" s="26">
        <f t="shared" si="27"/>
        <v>2.1578947368421053</v>
      </c>
      <c r="K322" s="24">
        <v>1</v>
      </c>
      <c r="L322" s="24">
        <v>0</v>
      </c>
      <c r="M322" s="24">
        <v>4</v>
      </c>
      <c r="N322" s="24">
        <v>0</v>
      </c>
      <c r="O322" s="24">
        <v>0</v>
      </c>
      <c r="P322" s="24">
        <v>0</v>
      </c>
    </row>
    <row r="323" spans="2:33" x14ac:dyDescent="0.25">
      <c r="B323" s="9">
        <v>3</v>
      </c>
      <c r="D323" s="5" t="s">
        <v>39</v>
      </c>
      <c r="E323" s="24">
        <v>16</v>
      </c>
      <c r="F323" s="24">
        <v>20</v>
      </c>
      <c r="G323" s="95">
        <v>13</v>
      </c>
      <c r="H323" s="91">
        <f t="shared" si="26"/>
        <v>33</v>
      </c>
      <c r="I323" s="24">
        <v>0</v>
      </c>
      <c r="J323" s="26">
        <f t="shared" si="27"/>
        <v>2.0625</v>
      </c>
      <c r="K323" s="24">
        <v>1</v>
      </c>
      <c r="L323" s="24">
        <v>1</v>
      </c>
      <c r="M323" s="24">
        <v>1</v>
      </c>
      <c r="N323" s="24">
        <v>0</v>
      </c>
      <c r="O323" s="24">
        <v>0</v>
      </c>
      <c r="P323" s="24">
        <v>0</v>
      </c>
      <c r="AA323" s="17"/>
      <c r="AB323" s="17"/>
      <c r="AC323" s="17"/>
      <c r="AD323" s="31"/>
      <c r="AE323" s="17"/>
      <c r="AF323" s="25"/>
      <c r="AG323" s="17"/>
    </row>
    <row r="324" spans="2:33" x14ac:dyDescent="0.25">
      <c r="B324" s="9">
        <v>4</v>
      </c>
      <c r="D324" s="5" t="s">
        <v>8</v>
      </c>
      <c r="E324" s="24">
        <v>18</v>
      </c>
      <c r="F324" s="24">
        <v>7</v>
      </c>
      <c r="G324" s="95">
        <v>7</v>
      </c>
      <c r="H324" s="91">
        <f t="shared" si="26"/>
        <v>14</v>
      </c>
      <c r="I324" s="24">
        <v>4</v>
      </c>
      <c r="J324" s="26">
        <f t="shared" si="27"/>
        <v>0.77777777777777779</v>
      </c>
      <c r="K324" s="24">
        <v>2</v>
      </c>
      <c r="L324" s="24">
        <v>0</v>
      </c>
      <c r="M324" s="24">
        <v>1</v>
      </c>
      <c r="N324" s="24">
        <v>0</v>
      </c>
      <c r="O324" s="24">
        <v>0</v>
      </c>
      <c r="P324" s="24">
        <v>0</v>
      </c>
      <c r="AA324" s="17"/>
      <c r="AB324" s="17"/>
      <c r="AC324" s="17"/>
      <c r="AD324" s="31"/>
      <c r="AE324" s="17"/>
      <c r="AF324" s="25"/>
      <c r="AG324" s="17"/>
    </row>
    <row r="325" spans="2:33" x14ac:dyDescent="0.25">
      <c r="B325" s="9">
        <v>5</v>
      </c>
      <c r="D325" s="5" t="s">
        <v>11</v>
      </c>
      <c r="E325" s="24">
        <v>9</v>
      </c>
      <c r="F325" s="24">
        <v>5</v>
      </c>
      <c r="G325" s="95">
        <v>6</v>
      </c>
      <c r="H325" s="91">
        <f t="shared" si="26"/>
        <v>11</v>
      </c>
      <c r="I325" s="24">
        <v>0</v>
      </c>
      <c r="J325" s="26">
        <f t="shared" si="27"/>
        <v>1.2222222222222223</v>
      </c>
      <c r="K325" s="24">
        <v>0</v>
      </c>
      <c r="L325" s="24">
        <v>0</v>
      </c>
      <c r="M325" s="24">
        <v>0</v>
      </c>
      <c r="N325" s="24">
        <v>0</v>
      </c>
      <c r="O325" s="24">
        <v>0</v>
      </c>
      <c r="P325" s="24">
        <v>0</v>
      </c>
      <c r="AA325" s="17"/>
      <c r="AB325" s="17"/>
      <c r="AC325" s="17"/>
      <c r="AD325" s="31"/>
      <c r="AE325" s="17"/>
      <c r="AF325" s="25"/>
      <c r="AG325" s="17"/>
    </row>
    <row r="326" spans="2:33" x14ac:dyDescent="0.25">
      <c r="B326" s="9">
        <v>6</v>
      </c>
      <c r="D326" s="5" t="s">
        <v>9</v>
      </c>
      <c r="E326" s="24">
        <v>14</v>
      </c>
      <c r="F326" s="24">
        <v>5</v>
      </c>
      <c r="G326" s="95">
        <v>6</v>
      </c>
      <c r="H326" s="91">
        <f t="shared" si="26"/>
        <v>11</v>
      </c>
      <c r="I326" s="24">
        <v>0</v>
      </c>
      <c r="J326" s="26">
        <f t="shared" si="27"/>
        <v>0.7857142857142857</v>
      </c>
      <c r="K326" s="24">
        <v>1</v>
      </c>
      <c r="L326" s="24">
        <v>0</v>
      </c>
      <c r="M326" s="24">
        <v>0</v>
      </c>
      <c r="N326" s="24">
        <v>0</v>
      </c>
      <c r="O326" s="24">
        <v>0</v>
      </c>
      <c r="P326" s="24">
        <v>0</v>
      </c>
      <c r="AA326" s="17"/>
      <c r="AB326" s="17"/>
      <c r="AC326" s="17"/>
      <c r="AD326" s="31"/>
      <c r="AE326" s="17"/>
      <c r="AF326" s="25"/>
      <c r="AG326" s="17"/>
    </row>
    <row r="327" spans="2:33" x14ac:dyDescent="0.25">
      <c r="B327" s="9">
        <v>7</v>
      </c>
      <c r="D327" s="5" t="s">
        <v>10</v>
      </c>
      <c r="E327" s="24">
        <v>18</v>
      </c>
      <c r="F327" s="24">
        <v>6</v>
      </c>
      <c r="G327" s="95">
        <v>4</v>
      </c>
      <c r="H327" s="91">
        <f t="shared" si="26"/>
        <v>10</v>
      </c>
      <c r="I327" s="24">
        <v>0</v>
      </c>
      <c r="J327" s="26">
        <f t="shared" si="27"/>
        <v>0.55555555555555558</v>
      </c>
      <c r="K327" s="24">
        <v>0</v>
      </c>
      <c r="L327" s="24">
        <v>1</v>
      </c>
      <c r="M327" s="24">
        <v>0</v>
      </c>
      <c r="N327" s="24">
        <v>0</v>
      </c>
      <c r="O327" s="24">
        <v>0</v>
      </c>
      <c r="P327" s="24">
        <v>0</v>
      </c>
      <c r="AA327" s="17"/>
      <c r="AB327" s="17"/>
      <c r="AC327" s="17"/>
      <c r="AD327" s="31"/>
      <c r="AE327" s="17"/>
      <c r="AF327" s="25"/>
      <c r="AG327" s="17"/>
    </row>
    <row r="328" spans="2:33" x14ac:dyDescent="0.25">
      <c r="B328" s="9">
        <v>8</v>
      </c>
      <c r="D328" s="5" t="s">
        <v>16</v>
      </c>
      <c r="E328" s="24">
        <v>19</v>
      </c>
      <c r="F328" s="24">
        <v>3</v>
      </c>
      <c r="G328" s="95">
        <v>6</v>
      </c>
      <c r="H328" s="91">
        <f t="shared" si="26"/>
        <v>9</v>
      </c>
      <c r="I328" s="24">
        <v>10</v>
      </c>
      <c r="J328" s="26">
        <f t="shared" si="27"/>
        <v>0.47368421052631576</v>
      </c>
      <c r="K328" s="24">
        <v>1</v>
      </c>
      <c r="L328" s="24">
        <v>0</v>
      </c>
      <c r="M328" s="24">
        <v>0</v>
      </c>
      <c r="N328" s="24">
        <v>0</v>
      </c>
      <c r="O328" s="24">
        <v>0</v>
      </c>
      <c r="P328" s="24">
        <v>0</v>
      </c>
      <c r="Z328" s="17"/>
      <c r="AA328" s="17"/>
      <c r="AB328" s="17"/>
      <c r="AC328" s="31"/>
      <c r="AD328" s="17"/>
      <c r="AE328" s="25"/>
      <c r="AF328" s="17"/>
      <c r="AG328" s="17"/>
    </row>
    <row r="329" spans="2:33" x14ac:dyDescent="0.25">
      <c r="B329" s="9">
        <v>9</v>
      </c>
      <c r="D329" s="5" t="s">
        <v>78</v>
      </c>
      <c r="E329" s="24">
        <v>5</v>
      </c>
      <c r="F329" s="24">
        <v>5</v>
      </c>
      <c r="G329" s="95">
        <v>3</v>
      </c>
      <c r="H329" s="91">
        <f t="shared" si="26"/>
        <v>8</v>
      </c>
      <c r="I329" s="24">
        <v>6</v>
      </c>
      <c r="J329" s="26">
        <f t="shared" si="27"/>
        <v>1.6</v>
      </c>
      <c r="K329" s="24">
        <v>0</v>
      </c>
      <c r="L329" s="24">
        <v>0</v>
      </c>
      <c r="M329" s="24">
        <v>3</v>
      </c>
      <c r="N329" s="24">
        <v>0</v>
      </c>
      <c r="O329" s="24">
        <v>1</v>
      </c>
      <c r="P329" s="24">
        <v>0</v>
      </c>
    </row>
    <row r="330" spans="2:33" x14ac:dyDescent="0.25">
      <c r="B330" s="9">
        <v>10</v>
      </c>
      <c r="D330" s="5" t="s">
        <v>12</v>
      </c>
      <c r="E330" s="24">
        <v>20</v>
      </c>
      <c r="F330" s="24">
        <v>2</v>
      </c>
      <c r="G330" s="95">
        <v>6</v>
      </c>
      <c r="H330" s="91">
        <f t="shared" si="26"/>
        <v>8</v>
      </c>
      <c r="I330" s="24">
        <v>0</v>
      </c>
      <c r="J330" s="26">
        <f t="shared" si="27"/>
        <v>0.4</v>
      </c>
      <c r="K330" s="24">
        <v>0</v>
      </c>
      <c r="L330" s="24">
        <v>0</v>
      </c>
      <c r="M330" s="24">
        <v>0</v>
      </c>
      <c r="N330" s="24">
        <v>0</v>
      </c>
      <c r="O330" s="24">
        <v>0</v>
      </c>
      <c r="P330" s="24">
        <v>0</v>
      </c>
    </row>
    <row r="331" spans="2:33" x14ac:dyDescent="0.25">
      <c r="B331" s="9">
        <v>11</v>
      </c>
      <c r="D331" s="5" t="s">
        <v>6</v>
      </c>
      <c r="E331" s="24">
        <v>4</v>
      </c>
      <c r="F331" s="24">
        <v>3</v>
      </c>
      <c r="G331" s="95">
        <v>1</v>
      </c>
      <c r="H331" s="91">
        <f t="shared" si="26"/>
        <v>4</v>
      </c>
      <c r="I331" s="24">
        <v>0</v>
      </c>
      <c r="J331" s="26">
        <f t="shared" si="27"/>
        <v>1</v>
      </c>
      <c r="K331" s="24">
        <v>0</v>
      </c>
      <c r="L331" s="24">
        <v>0</v>
      </c>
      <c r="M331" s="24">
        <v>0</v>
      </c>
      <c r="N331" s="24">
        <v>0</v>
      </c>
      <c r="O331" s="24">
        <v>0</v>
      </c>
      <c r="P331" s="24">
        <v>0</v>
      </c>
      <c r="Z331" s="17"/>
      <c r="AA331" s="17"/>
      <c r="AB331" s="17"/>
      <c r="AC331" s="31"/>
      <c r="AD331" s="17"/>
      <c r="AE331" s="25"/>
      <c r="AF331" s="17"/>
      <c r="AG331" s="17"/>
    </row>
    <row r="332" spans="2:33" x14ac:dyDescent="0.25">
      <c r="B332" s="9">
        <v>12</v>
      </c>
      <c r="D332" s="5" t="s">
        <v>30</v>
      </c>
      <c r="E332" s="24">
        <v>10</v>
      </c>
      <c r="F332" s="24">
        <v>2</v>
      </c>
      <c r="G332" s="95">
        <v>1</v>
      </c>
      <c r="H332" s="91">
        <f t="shared" si="26"/>
        <v>3</v>
      </c>
      <c r="I332" s="24">
        <v>0</v>
      </c>
      <c r="J332" s="26">
        <f t="shared" si="27"/>
        <v>0.3</v>
      </c>
      <c r="K332" s="24">
        <v>0</v>
      </c>
      <c r="L332" s="24">
        <v>0</v>
      </c>
      <c r="M332" s="24">
        <v>0</v>
      </c>
      <c r="N332" s="24">
        <v>0</v>
      </c>
      <c r="O332" s="24">
        <v>0</v>
      </c>
      <c r="P332" s="24">
        <v>0</v>
      </c>
      <c r="Z332" s="17"/>
      <c r="AA332" s="17"/>
      <c r="AB332" s="17"/>
      <c r="AC332" s="31"/>
      <c r="AD332" s="17"/>
      <c r="AE332" s="25"/>
      <c r="AF332" s="17"/>
      <c r="AG332" s="17"/>
    </row>
    <row r="333" spans="2:33" x14ac:dyDescent="0.25">
      <c r="B333" s="9">
        <v>13</v>
      </c>
      <c r="D333" s="5" t="s">
        <v>14</v>
      </c>
      <c r="E333" s="24">
        <v>12</v>
      </c>
      <c r="F333" s="24">
        <v>1</v>
      </c>
      <c r="G333" s="95">
        <v>2</v>
      </c>
      <c r="H333" s="91">
        <f t="shared" si="26"/>
        <v>3</v>
      </c>
      <c r="I333" s="24">
        <v>0</v>
      </c>
      <c r="J333" s="26">
        <f t="shared" si="27"/>
        <v>0.25</v>
      </c>
      <c r="K333" s="24">
        <v>1</v>
      </c>
      <c r="L333" s="24">
        <v>0</v>
      </c>
      <c r="M333" s="24">
        <v>0</v>
      </c>
      <c r="N333" s="24">
        <v>0</v>
      </c>
      <c r="O333" s="24">
        <v>0</v>
      </c>
      <c r="P333" s="24">
        <v>0</v>
      </c>
      <c r="Z333" s="17"/>
      <c r="AA333" s="17"/>
      <c r="AB333" s="17"/>
      <c r="AC333" s="31"/>
      <c r="AD333" s="17"/>
      <c r="AE333" s="25"/>
      <c r="AF333" s="17"/>
      <c r="AG333" s="17"/>
    </row>
    <row r="334" spans="2:33" x14ac:dyDescent="0.25">
      <c r="B334" s="9">
        <v>14</v>
      </c>
      <c r="D334" s="5" t="s">
        <v>15</v>
      </c>
      <c r="E334" s="24">
        <v>13</v>
      </c>
      <c r="F334" s="24">
        <v>0</v>
      </c>
      <c r="G334" s="95">
        <v>3</v>
      </c>
      <c r="H334" s="91">
        <f t="shared" si="26"/>
        <v>3</v>
      </c>
      <c r="I334" s="24">
        <v>12</v>
      </c>
      <c r="J334" s="26">
        <f t="shared" si="27"/>
        <v>0.23076923076923078</v>
      </c>
      <c r="K334" s="24">
        <v>0</v>
      </c>
      <c r="L334" s="24">
        <v>0</v>
      </c>
      <c r="M334" s="24">
        <v>0</v>
      </c>
      <c r="N334" s="24">
        <v>0</v>
      </c>
      <c r="O334" s="24">
        <v>0</v>
      </c>
      <c r="P334" s="24">
        <v>0</v>
      </c>
    </row>
    <row r="335" spans="2:33" x14ac:dyDescent="0.25">
      <c r="B335" s="9">
        <v>15</v>
      </c>
      <c r="D335" s="5" t="s">
        <v>18</v>
      </c>
      <c r="E335" s="24">
        <v>1</v>
      </c>
      <c r="F335" s="24">
        <v>1</v>
      </c>
      <c r="G335" s="95">
        <v>0</v>
      </c>
      <c r="H335" s="91">
        <f t="shared" si="26"/>
        <v>1</v>
      </c>
      <c r="I335" s="24">
        <v>0</v>
      </c>
      <c r="J335" s="26">
        <f t="shared" si="27"/>
        <v>1</v>
      </c>
      <c r="K335" s="24">
        <v>0</v>
      </c>
      <c r="L335" s="24">
        <v>0</v>
      </c>
      <c r="M335" s="24">
        <v>0</v>
      </c>
      <c r="N335" s="24">
        <v>0</v>
      </c>
      <c r="O335" s="24">
        <v>0</v>
      </c>
      <c r="P335" s="24">
        <v>0</v>
      </c>
    </row>
    <row r="336" spans="2:33" x14ac:dyDescent="0.25">
      <c r="B336" s="9">
        <v>16</v>
      </c>
      <c r="D336" s="5" t="s">
        <v>20</v>
      </c>
      <c r="E336" s="24">
        <v>2</v>
      </c>
      <c r="F336" s="24">
        <v>0</v>
      </c>
      <c r="G336" s="95">
        <v>0</v>
      </c>
      <c r="H336" s="91">
        <f t="shared" si="26"/>
        <v>0</v>
      </c>
      <c r="I336" s="24">
        <v>0</v>
      </c>
      <c r="J336" s="26">
        <f t="shared" si="27"/>
        <v>0</v>
      </c>
      <c r="K336" s="24">
        <v>0</v>
      </c>
      <c r="L336" s="24">
        <v>0</v>
      </c>
      <c r="M336" s="24">
        <v>0</v>
      </c>
      <c r="N336" s="24">
        <v>0</v>
      </c>
      <c r="O336" s="24">
        <v>0</v>
      </c>
      <c r="P336" s="24">
        <v>0</v>
      </c>
    </row>
    <row r="337" spans="2:16" x14ac:dyDescent="0.25">
      <c r="B337" s="9">
        <v>17</v>
      </c>
      <c r="D337" s="5" t="s">
        <v>75</v>
      </c>
      <c r="E337" s="24">
        <v>20</v>
      </c>
      <c r="F337" s="24">
        <v>0</v>
      </c>
      <c r="G337" s="95">
        <v>0</v>
      </c>
      <c r="H337" s="91">
        <f t="shared" si="26"/>
        <v>0</v>
      </c>
      <c r="I337" s="24">
        <v>0</v>
      </c>
      <c r="J337" s="24">
        <f t="shared" si="27"/>
        <v>0</v>
      </c>
      <c r="K337" s="24">
        <v>0</v>
      </c>
      <c r="L337" s="24">
        <v>0</v>
      </c>
      <c r="M337" s="24">
        <v>0</v>
      </c>
      <c r="N337" s="24">
        <v>0</v>
      </c>
      <c r="O337" s="24">
        <v>0</v>
      </c>
      <c r="P337" s="24">
        <v>0</v>
      </c>
    </row>
    <row r="340" spans="2:16" x14ac:dyDescent="0.25">
      <c r="C340" s="1" t="s">
        <v>60</v>
      </c>
    </row>
    <row r="342" spans="2:16" x14ac:dyDescent="0.25">
      <c r="D342" s="8" t="s">
        <v>0</v>
      </c>
      <c r="E342" s="18" t="s">
        <v>1</v>
      </c>
      <c r="F342" s="18" t="s">
        <v>2</v>
      </c>
      <c r="G342" s="94" t="s">
        <v>3</v>
      </c>
      <c r="H342" s="71" t="s">
        <v>4</v>
      </c>
      <c r="I342" s="18" t="s">
        <v>5</v>
      </c>
      <c r="J342" s="18" t="s">
        <v>38</v>
      </c>
      <c r="K342" s="18" t="s">
        <v>41</v>
      </c>
      <c r="L342" s="18" t="s">
        <v>42</v>
      </c>
      <c r="M342" s="18" t="s">
        <v>45</v>
      </c>
      <c r="N342" s="18" t="s">
        <v>46</v>
      </c>
      <c r="O342" s="18" t="s">
        <v>44</v>
      </c>
      <c r="P342" s="18" t="s">
        <v>43</v>
      </c>
    </row>
    <row r="343" spans="2:16" x14ac:dyDescent="0.25">
      <c r="B343" s="9">
        <v>1</v>
      </c>
      <c r="D343" s="5" t="s">
        <v>6</v>
      </c>
      <c r="E343" s="24">
        <v>18</v>
      </c>
      <c r="F343" s="24">
        <v>21</v>
      </c>
      <c r="G343" s="95">
        <v>10</v>
      </c>
      <c r="H343" s="91">
        <f t="shared" ref="H343:H356" si="28">F343+G343</f>
        <v>31</v>
      </c>
      <c r="I343" s="24">
        <v>6</v>
      </c>
      <c r="J343" s="26">
        <f t="shared" ref="J343:J356" si="29">H343/E343</f>
        <v>1.7222222222222223</v>
      </c>
      <c r="K343" s="24">
        <v>1</v>
      </c>
      <c r="L343" s="24">
        <v>0</v>
      </c>
      <c r="M343" s="24">
        <v>4</v>
      </c>
      <c r="N343" s="24">
        <v>0</v>
      </c>
      <c r="O343" s="24">
        <v>0</v>
      </c>
      <c r="P343" s="24">
        <v>0</v>
      </c>
    </row>
    <row r="344" spans="2:16" x14ac:dyDescent="0.25">
      <c r="B344" s="9">
        <v>2</v>
      </c>
      <c r="D344" s="5" t="s">
        <v>7</v>
      </c>
      <c r="E344" s="24">
        <v>16</v>
      </c>
      <c r="F344" s="24">
        <v>19</v>
      </c>
      <c r="G344" s="95">
        <v>11</v>
      </c>
      <c r="H344" s="91">
        <f t="shared" si="28"/>
        <v>30</v>
      </c>
      <c r="I344" s="24">
        <v>0</v>
      </c>
      <c r="J344" s="26">
        <f t="shared" si="29"/>
        <v>1.875</v>
      </c>
      <c r="K344" s="24">
        <v>0</v>
      </c>
      <c r="L344" s="24">
        <v>1</v>
      </c>
      <c r="M344" s="24">
        <v>3</v>
      </c>
      <c r="N344" s="24">
        <v>0</v>
      </c>
      <c r="O344" s="24">
        <v>0</v>
      </c>
      <c r="P344" s="24">
        <v>0</v>
      </c>
    </row>
    <row r="345" spans="2:16" x14ac:dyDescent="0.25">
      <c r="B345" s="9">
        <v>3</v>
      </c>
      <c r="D345" s="5" t="s">
        <v>8</v>
      </c>
      <c r="E345" s="24">
        <v>16</v>
      </c>
      <c r="F345" s="24">
        <v>12</v>
      </c>
      <c r="G345" s="95">
        <v>11</v>
      </c>
      <c r="H345" s="91">
        <f t="shared" si="28"/>
        <v>23</v>
      </c>
      <c r="I345" s="24">
        <v>22</v>
      </c>
      <c r="J345" s="26">
        <f t="shared" si="29"/>
        <v>1.4375</v>
      </c>
      <c r="K345" s="24">
        <v>0</v>
      </c>
      <c r="L345" s="24">
        <v>0</v>
      </c>
      <c r="M345" s="24">
        <v>1</v>
      </c>
      <c r="N345" s="24">
        <v>0</v>
      </c>
      <c r="O345" s="24">
        <v>0</v>
      </c>
      <c r="P345" s="24">
        <v>0</v>
      </c>
    </row>
    <row r="346" spans="2:16" x14ac:dyDescent="0.25">
      <c r="B346" s="9">
        <v>4</v>
      </c>
      <c r="D346" s="5" t="s">
        <v>9</v>
      </c>
      <c r="E346" s="24">
        <v>18</v>
      </c>
      <c r="F346" s="24">
        <v>9</v>
      </c>
      <c r="G346" s="95">
        <v>10</v>
      </c>
      <c r="H346" s="91">
        <f t="shared" si="28"/>
        <v>19</v>
      </c>
      <c r="I346" s="24">
        <v>0</v>
      </c>
      <c r="J346" s="26">
        <f t="shared" si="29"/>
        <v>1.0555555555555556</v>
      </c>
      <c r="K346" s="24">
        <v>1</v>
      </c>
      <c r="L346" s="24">
        <v>0</v>
      </c>
      <c r="M346" s="24">
        <v>0</v>
      </c>
      <c r="N346" s="24">
        <v>0</v>
      </c>
      <c r="O346" s="24">
        <v>0</v>
      </c>
      <c r="P346" s="24">
        <v>0</v>
      </c>
    </row>
    <row r="347" spans="2:16" x14ac:dyDescent="0.25">
      <c r="B347" s="9">
        <v>5</v>
      </c>
      <c r="D347" s="5" t="s">
        <v>10</v>
      </c>
      <c r="E347" s="24">
        <v>18</v>
      </c>
      <c r="F347" s="24">
        <v>7</v>
      </c>
      <c r="G347" s="95">
        <v>9</v>
      </c>
      <c r="H347" s="91">
        <f t="shared" si="28"/>
        <v>16</v>
      </c>
      <c r="I347" s="24">
        <v>0</v>
      </c>
      <c r="J347" s="26">
        <f t="shared" si="29"/>
        <v>0.88888888888888884</v>
      </c>
      <c r="K347" s="24">
        <v>0</v>
      </c>
      <c r="L347" s="24">
        <v>1</v>
      </c>
      <c r="M347" s="24">
        <v>1</v>
      </c>
      <c r="N347" s="24">
        <v>0</v>
      </c>
      <c r="O347" s="24">
        <v>0</v>
      </c>
      <c r="P347" s="24">
        <v>0</v>
      </c>
    </row>
    <row r="348" spans="2:16" x14ac:dyDescent="0.25">
      <c r="B348" s="9">
        <v>6</v>
      </c>
      <c r="D348" s="5" t="s">
        <v>11</v>
      </c>
      <c r="E348" s="24">
        <v>18</v>
      </c>
      <c r="F348" s="24">
        <v>10</v>
      </c>
      <c r="G348" s="95">
        <v>5</v>
      </c>
      <c r="H348" s="91">
        <f t="shared" si="28"/>
        <v>15</v>
      </c>
      <c r="I348" s="24">
        <v>8</v>
      </c>
      <c r="J348" s="26">
        <f t="shared" si="29"/>
        <v>0.83333333333333337</v>
      </c>
      <c r="K348" s="24">
        <v>1</v>
      </c>
      <c r="L348" s="24">
        <v>0</v>
      </c>
      <c r="M348" s="24">
        <v>0</v>
      </c>
      <c r="N348" s="24">
        <v>0</v>
      </c>
      <c r="O348" s="24">
        <v>0</v>
      </c>
      <c r="P348" s="24">
        <v>0</v>
      </c>
    </row>
    <row r="349" spans="2:16" x14ac:dyDescent="0.25">
      <c r="B349" s="9">
        <v>7</v>
      </c>
      <c r="D349" s="5" t="s">
        <v>13</v>
      </c>
      <c r="E349" s="24">
        <v>6</v>
      </c>
      <c r="F349" s="24">
        <v>9</v>
      </c>
      <c r="G349" s="95">
        <v>5</v>
      </c>
      <c r="H349" s="91">
        <f t="shared" si="28"/>
        <v>14</v>
      </c>
      <c r="I349" s="24">
        <v>0</v>
      </c>
      <c r="J349" s="26">
        <f t="shared" si="29"/>
        <v>2.3333333333333335</v>
      </c>
      <c r="K349" s="24">
        <v>0</v>
      </c>
      <c r="L349" s="24">
        <v>2</v>
      </c>
      <c r="M349" s="24">
        <v>1</v>
      </c>
      <c r="N349" s="24">
        <v>0</v>
      </c>
      <c r="O349" s="24">
        <v>1</v>
      </c>
      <c r="P349" s="24">
        <v>0</v>
      </c>
    </row>
    <row r="350" spans="2:16" x14ac:dyDescent="0.25">
      <c r="B350" s="9">
        <v>8</v>
      </c>
      <c r="D350" s="5" t="s">
        <v>14</v>
      </c>
      <c r="E350" s="24">
        <v>13</v>
      </c>
      <c r="F350" s="24">
        <v>5</v>
      </c>
      <c r="G350" s="95">
        <v>7</v>
      </c>
      <c r="H350" s="91">
        <f t="shared" si="28"/>
        <v>12</v>
      </c>
      <c r="I350" s="24">
        <v>4</v>
      </c>
      <c r="J350" s="26">
        <f t="shared" si="29"/>
        <v>0.92307692307692313</v>
      </c>
      <c r="K350" s="24">
        <v>0</v>
      </c>
      <c r="L350" s="24">
        <v>0</v>
      </c>
      <c r="M350" s="24">
        <v>0</v>
      </c>
      <c r="N350" s="24">
        <v>0</v>
      </c>
      <c r="O350" s="24">
        <v>0</v>
      </c>
      <c r="P350" s="24">
        <v>0</v>
      </c>
    </row>
    <row r="351" spans="2:16" x14ac:dyDescent="0.25">
      <c r="B351" s="9">
        <v>9</v>
      </c>
      <c r="D351" s="5" t="s">
        <v>12</v>
      </c>
      <c r="E351" s="24">
        <v>16</v>
      </c>
      <c r="F351" s="24">
        <v>3</v>
      </c>
      <c r="G351" s="95">
        <v>8</v>
      </c>
      <c r="H351" s="91">
        <f t="shared" si="28"/>
        <v>11</v>
      </c>
      <c r="I351" s="24">
        <v>6</v>
      </c>
      <c r="J351" s="26">
        <f t="shared" si="29"/>
        <v>0.6875</v>
      </c>
      <c r="K351" s="24">
        <v>0</v>
      </c>
      <c r="L351" s="24">
        <v>0</v>
      </c>
      <c r="M351" s="24">
        <v>0</v>
      </c>
      <c r="N351" s="24">
        <v>0</v>
      </c>
      <c r="O351" s="24">
        <v>0</v>
      </c>
      <c r="P351" s="24">
        <v>0</v>
      </c>
    </row>
    <row r="352" spans="2:16" x14ac:dyDescent="0.25">
      <c r="B352" s="9">
        <v>10</v>
      </c>
      <c r="D352" s="5" t="s">
        <v>15</v>
      </c>
      <c r="E352" s="24">
        <v>16</v>
      </c>
      <c r="F352" s="24">
        <v>1</v>
      </c>
      <c r="G352" s="95">
        <v>8</v>
      </c>
      <c r="H352" s="91">
        <f t="shared" si="28"/>
        <v>9</v>
      </c>
      <c r="I352" s="24">
        <v>8</v>
      </c>
      <c r="J352" s="26">
        <f t="shared" si="29"/>
        <v>0.5625</v>
      </c>
      <c r="K352" s="24">
        <v>0</v>
      </c>
      <c r="L352" s="24">
        <v>0</v>
      </c>
      <c r="M352" s="24">
        <v>1</v>
      </c>
      <c r="N352" s="24">
        <v>0</v>
      </c>
      <c r="O352" s="24">
        <v>0</v>
      </c>
      <c r="P352" s="24">
        <v>0</v>
      </c>
    </row>
    <row r="353" spans="2:16" x14ac:dyDescent="0.25">
      <c r="B353" s="9">
        <v>11</v>
      </c>
      <c r="D353" s="5" t="s">
        <v>16</v>
      </c>
      <c r="E353" s="24">
        <v>16</v>
      </c>
      <c r="F353" s="24">
        <v>5</v>
      </c>
      <c r="G353" s="95">
        <v>2</v>
      </c>
      <c r="H353" s="91">
        <f t="shared" si="28"/>
        <v>7</v>
      </c>
      <c r="I353" s="24">
        <v>16</v>
      </c>
      <c r="J353" s="26">
        <f t="shared" si="29"/>
        <v>0.4375</v>
      </c>
      <c r="K353" s="24">
        <v>0</v>
      </c>
      <c r="L353" s="24">
        <v>3</v>
      </c>
      <c r="M353" s="24">
        <v>0</v>
      </c>
      <c r="N353" s="24">
        <v>0</v>
      </c>
      <c r="O353" s="24">
        <v>0</v>
      </c>
      <c r="P353" s="24">
        <v>0</v>
      </c>
    </row>
    <row r="354" spans="2:16" x14ac:dyDescent="0.25">
      <c r="B354" s="9">
        <v>12</v>
      </c>
      <c r="D354" s="5" t="s">
        <v>18</v>
      </c>
      <c r="E354" s="24">
        <v>1</v>
      </c>
      <c r="F354" s="24">
        <v>2</v>
      </c>
      <c r="G354" s="95">
        <v>0</v>
      </c>
      <c r="H354" s="91">
        <f t="shared" si="28"/>
        <v>2</v>
      </c>
      <c r="I354" s="24">
        <v>0</v>
      </c>
      <c r="J354" s="26">
        <f t="shared" si="29"/>
        <v>2</v>
      </c>
      <c r="K354" s="24">
        <v>0</v>
      </c>
      <c r="L354" s="24">
        <v>0</v>
      </c>
      <c r="M354" s="24">
        <v>0</v>
      </c>
      <c r="N354" s="24">
        <v>0</v>
      </c>
      <c r="O354" s="24">
        <v>0</v>
      </c>
      <c r="P354" s="24">
        <v>0</v>
      </c>
    </row>
    <row r="355" spans="2:16" x14ac:dyDescent="0.25">
      <c r="B355" s="9">
        <v>13</v>
      </c>
      <c r="D355" s="5" t="s">
        <v>17</v>
      </c>
      <c r="E355" s="24">
        <v>5</v>
      </c>
      <c r="F355" s="24">
        <v>2</v>
      </c>
      <c r="G355" s="95">
        <v>0</v>
      </c>
      <c r="H355" s="91">
        <f t="shared" si="28"/>
        <v>2</v>
      </c>
      <c r="I355" s="24">
        <v>0</v>
      </c>
      <c r="J355" s="26">
        <f t="shared" si="29"/>
        <v>0.4</v>
      </c>
      <c r="K355" s="24">
        <v>0</v>
      </c>
      <c r="L355" s="24">
        <v>0</v>
      </c>
      <c r="M355" s="24">
        <v>0</v>
      </c>
      <c r="N355" s="24">
        <v>0</v>
      </c>
      <c r="O355" s="24">
        <v>0</v>
      </c>
      <c r="P355" s="24">
        <v>0</v>
      </c>
    </row>
    <row r="356" spans="2:16" x14ac:dyDescent="0.25">
      <c r="B356" s="9">
        <v>14</v>
      </c>
      <c r="D356" s="5" t="s">
        <v>75</v>
      </c>
      <c r="E356" s="24">
        <v>18</v>
      </c>
      <c r="F356" s="24">
        <v>0</v>
      </c>
      <c r="G356" s="95">
        <v>0</v>
      </c>
      <c r="H356" s="91">
        <f t="shared" si="28"/>
        <v>0</v>
      </c>
      <c r="I356" s="24">
        <v>0</v>
      </c>
      <c r="J356" s="26">
        <f t="shared" si="29"/>
        <v>0</v>
      </c>
      <c r="K356" s="24">
        <v>0</v>
      </c>
      <c r="L356" s="24">
        <v>0</v>
      </c>
      <c r="M356" s="24">
        <v>0</v>
      </c>
      <c r="N356" s="24">
        <v>0</v>
      </c>
      <c r="O356" s="24">
        <v>0</v>
      </c>
      <c r="P356" s="24">
        <v>0</v>
      </c>
    </row>
    <row r="359" spans="2:16" x14ac:dyDescent="0.25">
      <c r="C359" s="1" t="s">
        <v>59</v>
      </c>
    </row>
    <row r="361" spans="2:16" x14ac:dyDescent="0.25">
      <c r="D361" s="8" t="s">
        <v>0</v>
      </c>
      <c r="E361" s="18" t="s">
        <v>1</v>
      </c>
      <c r="F361" s="18" t="s">
        <v>2</v>
      </c>
      <c r="G361" s="94" t="s">
        <v>3</v>
      </c>
      <c r="H361" s="71" t="s">
        <v>4</v>
      </c>
      <c r="I361" s="18" t="s">
        <v>5</v>
      </c>
      <c r="J361" s="18" t="s">
        <v>38</v>
      </c>
      <c r="K361" s="18" t="s">
        <v>41</v>
      </c>
      <c r="L361" s="18" t="s">
        <v>42</v>
      </c>
      <c r="M361" s="18" t="s">
        <v>45</v>
      </c>
      <c r="N361" s="18" t="s">
        <v>46</v>
      </c>
      <c r="O361" s="18" t="s">
        <v>44</v>
      </c>
      <c r="P361" s="18" t="s">
        <v>43</v>
      </c>
    </row>
    <row r="362" spans="2:16" x14ac:dyDescent="0.25">
      <c r="B362" s="9">
        <v>1</v>
      </c>
      <c r="D362" s="5" t="s">
        <v>6</v>
      </c>
      <c r="E362" s="24">
        <v>20</v>
      </c>
      <c r="F362" s="24">
        <v>24</v>
      </c>
      <c r="G362" s="95">
        <v>19</v>
      </c>
      <c r="H362" s="91">
        <f t="shared" ref="H362:H376" si="30">F362+G362</f>
        <v>43</v>
      </c>
      <c r="I362" s="24">
        <v>6</v>
      </c>
      <c r="J362" s="26">
        <f t="shared" ref="J362:J376" si="31">H362/E362</f>
        <v>2.15</v>
      </c>
      <c r="K362" s="24">
        <v>1</v>
      </c>
      <c r="L362" s="24">
        <v>1</v>
      </c>
      <c r="M362" s="24">
        <v>4</v>
      </c>
      <c r="N362" s="24">
        <v>0</v>
      </c>
      <c r="O362" s="24">
        <v>0</v>
      </c>
      <c r="P362" s="24">
        <v>0</v>
      </c>
    </row>
    <row r="363" spans="2:16" x14ac:dyDescent="0.25">
      <c r="B363" s="9">
        <v>2</v>
      </c>
      <c r="D363" s="5" t="s">
        <v>8</v>
      </c>
      <c r="E363" s="24">
        <v>20</v>
      </c>
      <c r="F363" s="24">
        <v>21</v>
      </c>
      <c r="G363" s="95">
        <v>13</v>
      </c>
      <c r="H363" s="91">
        <f t="shared" si="30"/>
        <v>34</v>
      </c>
      <c r="I363" s="24">
        <v>6</v>
      </c>
      <c r="J363" s="26">
        <f t="shared" si="31"/>
        <v>1.7</v>
      </c>
      <c r="K363" s="24">
        <v>0</v>
      </c>
      <c r="L363" s="24">
        <v>0</v>
      </c>
      <c r="M363" s="24">
        <v>3</v>
      </c>
      <c r="N363" s="24">
        <v>0</v>
      </c>
      <c r="O363" s="24">
        <v>0</v>
      </c>
      <c r="P363" s="24">
        <v>0</v>
      </c>
    </row>
    <row r="364" spans="2:16" x14ac:dyDescent="0.25">
      <c r="B364" s="9">
        <v>3</v>
      </c>
      <c r="D364" s="5" t="s">
        <v>14</v>
      </c>
      <c r="E364" s="24">
        <v>18</v>
      </c>
      <c r="F364" s="24">
        <v>15</v>
      </c>
      <c r="G364" s="95">
        <v>11</v>
      </c>
      <c r="H364" s="91">
        <f t="shared" si="30"/>
        <v>26</v>
      </c>
      <c r="I364" s="24">
        <v>4</v>
      </c>
      <c r="J364" s="26">
        <f t="shared" si="31"/>
        <v>1.4444444444444444</v>
      </c>
      <c r="K364" s="24">
        <v>1</v>
      </c>
      <c r="L364" s="24">
        <v>0</v>
      </c>
      <c r="M364" s="24">
        <v>4</v>
      </c>
      <c r="N364" s="24">
        <v>0</v>
      </c>
      <c r="O364" s="24">
        <v>0</v>
      </c>
      <c r="P364" s="24">
        <v>0</v>
      </c>
    </row>
    <row r="365" spans="2:16" x14ac:dyDescent="0.25">
      <c r="B365" s="9">
        <v>4</v>
      </c>
      <c r="D365" s="5" t="s">
        <v>10</v>
      </c>
      <c r="E365" s="24">
        <v>17</v>
      </c>
      <c r="F365" s="24">
        <v>9</v>
      </c>
      <c r="G365" s="95">
        <v>11</v>
      </c>
      <c r="H365" s="91">
        <f t="shared" si="30"/>
        <v>20</v>
      </c>
      <c r="I365" s="24">
        <v>4</v>
      </c>
      <c r="J365" s="26">
        <f t="shared" si="31"/>
        <v>1.1764705882352942</v>
      </c>
      <c r="K365" s="24">
        <v>1</v>
      </c>
      <c r="L365" s="24">
        <v>1</v>
      </c>
      <c r="M365" s="24">
        <v>1</v>
      </c>
      <c r="N365" s="24">
        <v>0</v>
      </c>
      <c r="O365" s="24">
        <v>0</v>
      </c>
      <c r="P365" s="24">
        <v>0</v>
      </c>
    </row>
    <row r="366" spans="2:16" x14ac:dyDescent="0.25">
      <c r="B366" s="9">
        <v>5</v>
      </c>
      <c r="D366" s="5" t="s">
        <v>11</v>
      </c>
      <c r="E366" s="24">
        <v>20</v>
      </c>
      <c r="F366" s="24">
        <v>13</v>
      </c>
      <c r="G366" s="95">
        <v>5</v>
      </c>
      <c r="H366" s="91">
        <f t="shared" si="30"/>
        <v>18</v>
      </c>
      <c r="I366" s="24">
        <v>10</v>
      </c>
      <c r="J366" s="26">
        <f t="shared" si="31"/>
        <v>0.9</v>
      </c>
      <c r="K366" s="24">
        <v>2</v>
      </c>
      <c r="L366" s="24">
        <v>0</v>
      </c>
      <c r="M366" s="24">
        <v>1</v>
      </c>
      <c r="N366" s="24">
        <v>0</v>
      </c>
      <c r="O366" s="24">
        <v>0</v>
      </c>
      <c r="P366" s="24">
        <v>0</v>
      </c>
    </row>
    <row r="367" spans="2:16" x14ac:dyDescent="0.25">
      <c r="B367" s="9">
        <v>6</v>
      </c>
      <c r="D367" s="5" t="s">
        <v>9</v>
      </c>
      <c r="E367" s="24">
        <v>16</v>
      </c>
      <c r="F367" s="24">
        <v>9</v>
      </c>
      <c r="G367" s="95">
        <v>7</v>
      </c>
      <c r="H367" s="91">
        <f t="shared" si="30"/>
        <v>16</v>
      </c>
      <c r="I367" s="24">
        <v>2</v>
      </c>
      <c r="J367" s="26">
        <f t="shared" si="31"/>
        <v>1</v>
      </c>
      <c r="K367" s="24">
        <v>1</v>
      </c>
      <c r="L367" s="24">
        <v>0</v>
      </c>
      <c r="M367" s="24">
        <v>1</v>
      </c>
      <c r="N367" s="24">
        <v>0</v>
      </c>
      <c r="O367" s="24">
        <v>0</v>
      </c>
      <c r="P367" s="24">
        <v>0</v>
      </c>
    </row>
    <row r="368" spans="2:16" x14ac:dyDescent="0.25">
      <c r="B368" s="9">
        <v>7</v>
      </c>
      <c r="D368" s="5" t="s">
        <v>16</v>
      </c>
      <c r="E368" s="24">
        <v>17</v>
      </c>
      <c r="F368" s="24">
        <v>6</v>
      </c>
      <c r="G368" s="95">
        <v>9</v>
      </c>
      <c r="H368" s="91">
        <f t="shared" si="30"/>
        <v>15</v>
      </c>
      <c r="I368" s="24">
        <v>2</v>
      </c>
      <c r="J368" s="26">
        <f t="shared" si="31"/>
        <v>0.88235294117647056</v>
      </c>
      <c r="K368" s="24">
        <v>1</v>
      </c>
      <c r="L368" s="24">
        <v>0</v>
      </c>
      <c r="M368" s="24">
        <v>0</v>
      </c>
      <c r="N368" s="24">
        <v>0</v>
      </c>
      <c r="O368" s="24">
        <v>0</v>
      </c>
      <c r="P368" s="24">
        <v>0</v>
      </c>
    </row>
    <row r="369" spans="2:16" x14ac:dyDescent="0.25">
      <c r="B369" s="9">
        <v>8</v>
      </c>
      <c r="D369" s="5" t="s">
        <v>12</v>
      </c>
      <c r="E369" s="24">
        <v>17</v>
      </c>
      <c r="F369" s="24">
        <v>4</v>
      </c>
      <c r="G369" s="95">
        <v>11</v>
      </c>
      <c r="H369" s="91">
        <f t="shared" si="30"/>
        <v>15</v>
      </c>
      <c r="I369" s="24">
        <v>4</v>
      </c>
      <c r="J369" s="26">
        <f t="shared" si="31"/>
        <v>0.88235294117647056</v>
      </c>
      <c r="K369" s="24">
        <v>0</v>
      </c>
      <c r="L369" s="24">
        <v>0</v>
      </c>
      <c r="M369" s="24">
        <v>2</v>
      </c>
      <c r="N369" s="24">
        <v>0</v>
      </c>
      <c r="O369" s="24">
        <v>1</v>
      </c>
      <c r="P369" s="24">
        <v>0</v>
      </c>
    </row>
    <row r="370" spans="2:16" x14ac:dyDescent="0.25">
      <c r="B370" s="9">
        <v>9</v>
      </c>
      <c r="D370" s="5" t="s">
        <v>17</v>
      </c>
      <c r="E370" s="24">
        <v>18</v>
      </c>
      <c r="F370" s="24">
        <v>9</v>
      </c>
      <c r="G370" s="95">
        <v>2</v>
      </c>
      <c r="H370" s="91">
        <f t="shared" si="30"/>
        <v>11</v>
      </c>
      <c r="I370" s="24">
        <v>2</v>
      </c>
      <c r="J370" s="26">
        <f t="shared" si="31"/>
        <v>0.61111111111111116</v>
      </c>
      <c r="K370" s="24">
        <v>0</v>
      </c>
      <c r="L370" s="24">
        <v>0</v>
      </c>
      <c r="M370" s="24">
        <v>0</v>
      </c>
      <c r="N370" s="24">
        <v>0</v>
      </c>
      <c r="O370" s="24">
        <v>0</v>
      </c>
      <c r="P370" s="24">
        <v>0</v>
      </c>
    </row>
    <row r="371" spans="2:16" x14ac:dyDescent="0.25">
      <c r="B371" s="9">
        <v>10</v>
      </c>
      <c r="D371" s="5" t="s">
        <v>15</v>
      </c>
      <c r="E371" s="24">
        <v>18</v>
      </c>
      <c r="F371" s="24">
        <v>3</v>
      </c>
      <c r="G371" s="95">
        <v>7</v>
      </c>
      <c r="H371" s="91">
        <f t="shared" si="30"/>
        <v>10</v>
      </c>
      <c r="I371" s="24">
        <v>22</v>
      </c>
      <c r="J371" s="26">
        <f t="shared" si="31"/>
        <v>0.55555555555555558</v>
      </c>
      <c r="K371" s="24">
        <v>2</v>
      </c>
      <c r="L371" s="24">
        <v>0</v>
      </c>
      <c r="M371" s="24">
        <v>0</v>
      </c>
      <c r="N371" s="24">
        <v>0</v>
      </c>
      <c r="O371" s="24">
        <v>0</v>
      </c>
      <c r="P371" s="24">
        <v>0</v>
      </c>
    </row>
    <row r="372" spans="2:16" x14ac:dyDescent="0.25">
      <c r="B372" s="9">
        <v>11</v>
      </c>
      <c r="D372" s="5" t="s">
        <v>19</v>
      </c>
      <c r="E372" s="24">
        <v>2</v>
      </c>
      <c r="F372" s="24">
        <v>3</v>
      </c>
      <c r="G372" s="95">
        <v>1</v>
      </c>
      <c r="H372" s="91">
        <f t="shared" si="30"/>
        <v>4</v>
      </c>
      <c r="I372" s="24">
        <v>12</v>
      </c>
      <c r="J372" s="26">
        <f t="shared" si="31"/>
        <v>2</v>
      </c>
      <c r="K372" s="24">
        <v>0</v>
      </c>
      <c r="L372" s="24">
        <v>1</v>
      </c>
      <c r="M372" s="24">
        <v>0</v>
      </c>
      <c r="N372" s="24">
        <v>0</v>
      </c>
      <c r="O372" s="24">
        <v>0</v>
      </c>
      <c r="P372" s="24">
        <v>0</v>
      </c>
    </row>
    <row r="373" spans="2:16" x14ac:dyDescent="0.25">
      <c r="B373" s="9">
        <v>12</v>
      </c>
      <c r="D373" s="5" t="s">
        <v>20</v>
      </c>
      <c r="E373" s="24">
        <v>2</v>
      </c>
      <c r="F373" s="24">
        <v>1</v>
      </c>
      <c r="G373" s="95">
        <v>2</v>
      </c>
      <c r="H373" s="91">
        <f t="shared" si="30"/>
        <v>3</v>
      </c>
      <c r="I373" s="24">
        <v>4</v>
      </c>
      <c r="J373" s="26">
        <f t="shared" si="31"/>
        <v>1.5</v>
      </c>
      <c r="K373" s="24">
        <v>0</v>
      </c>
      <c r="L373" s="24">
        <v>0</v>
      </c>
      <c r="M373" s="24">
        <v>0</v>
      </c>
      <c r="N373" s="24">
        <v>0</v>
      </c>
      <c r="O373" s="24">
        <v>0</v>
      </c>
      <c r="P373" s="24">
        <v>0</v>
      </c>
    </row>
    <row r="374" spans="2:16" x14ac:dyDescent="0.25">
      <c r="B374" s="9">
        <v>13</v>
      </c>
      <c r="D374" s="5" t="s">
        <v>75</v>
      </c>
      <c r="E374" s="24">
        <v>20</v>
      </c>
      <c r="F374" s="24">
        <v>0</v>
      </c>
      <c r="G374" s="95">
        <v>1</v>
      </c>
      <c r="H374" s="91">
        <f t="shared" si="30"/>
        <v>1</v>
      </c>
      <c r="I374" s="24">
        <v>0</v>
      </c>
      <c r="J374" s="26">
        <f t="shared" si="31"/>
        <v>0.05</v>
      </c>
      <c r="K374" s="24">
        <v>0</v>
      </c>
      <c r="L374" s="24">
        <v>0</v>
      </c>
      <c r="M374" s="24">
        <v>0</v>
      </c>
      <c r="N374" s="24">
        <v>0</v>
      </c>
      <c r="O374" s="24">
        <v>0</v>
      </c>
      <c r="P374" s="24">
        <v>0</v>
      </c>
    </row>
    <row r="375" spans="2:16" x14ac:dyDescent="0.25">
      <c r="B375" s="9">
        <v>14</v>
      </c>
      <c r="D375" s="5" t="s">
        <v>21</v>
      </c>
      <c r="E375" s="24">
        <v>2</v>
      </c>
      <c r="F375" s="24">
        <v>0</v>
      </c>
      <c r="G375" s="95">
        <v>0</v>
      </c>
      <c r="H375" s="91">
        <f t="shared" si="30"/>
        <v>0</v>
      </c>
      <c r="I375" s="24">
        <v>0</v>
      </c>
      <c r="J375" s="26">
        <f t="shared" si="31"/>
        <v>0</v>
      </c>
      <c r="K375" s="24">
        <v>0</v>
      </c>
      <c r="L375" s="24">
        <v>0</v>
      </c>
      <c r="M375" s="24">
        <v>0</v>
      </c>
      <c r="N375" s="24">
        <v>0</v>
      </c>
      <c r="O375" s="24">
        <v>0</v>
      </c>
      <c r="P375" s="24">
        <v>0</v>
      </c>
    </row>
    <row r="376" spans="2:16" x14ac:dyDescent="0.25">
      <c r="B376" s="9">
        <v>15</v>
      </c>
      <c r="D376" s="5" t="s">
        <v>22</v>
      </c>
      <c r="E376" s="24">
        <v>1</v>
      </c>
      <c r="F376" s="24">
        <v>0</v>
      </c>
      <c r="G376" s="95">
        <v>0</v>
      </c>
      <c r="H376" s="91">
        <f t="shared" si="30"/>
        <v>0</v>
      </c>
      <c r="I376" s="24">
        <v>0</v>
      </c>
      <c r="J376" s="26">
        <f t="shared" si="31"/>
        <v>0</v>
      </c>
      <c r="K376" s="24">
        <v>0</v>
      </c>
      <c r="L376" s="24">
        <v>0</v>
      </c>
      <c r="M376" s="24">
        <v>0</v>
      </c>
      <c r="N376" s="24">
        <v>0</v>
      </c>
      <c r="O376" s="24">
        <v>0</v>
      </c>
      <c r="P376" s="24">
        <v>0</v>
      </c>
    </row>
    <row r="379" spans="2:16" x14ac:dyDescent="0.25">
      <c r="C379" s="1" t="s">
        <v>49</v>
      </c>
    </row>
    <row r="381" spans="2:16" x14ac:dyDescent="0.25">
      <c r="D381" s="8" t="s">
        <v>0</v>
      </c>
      <c r="E381" s="18" t="s">
        <v>1</v>
      </c>
      <c r="F381" s="18" t="s">
        <v>2</v>
      </c>
      <c r="G381" s="94" t="s">
        <v>3</v>
      </c>
      <c r="H381" s="71" t="s">
        <v>4</v>
      </c>
      <c r="I381" s="18" t="s">
        <v>5</v>
      </c>
      <c r="J381" s="18" t="s">
        <v>38</v>
      </c>
      <c r="K381" s="18" t="s">
        <v>41</v>
      </c>
      <c r="L381" s="18" t="s">
        <v>42</v>
      </c>
      <c r="M381" s="18" t="s">
        <v>45</v>
      </c>
      <c r="N381" s="18" t="s">
        <v>46</v>
      </c>
      <c r="O381" s="18" t="s">
        <v>44</v>
      </c>
      <c r="P381" s="18" t="s">
        <v>43</v>
      </c>
    </row>
    <row r="382" spans="2:16" x14ac:dyDescent="0.25">
      <c r="B382" s="9">
        <v>1</v>
      </c>
      <c r="D382" s="5" t="s">
        <v>10</v>
      </c>
      <c r="E382" s="24">
        <v>18</v>
      </c>
      <c r="F382" s="24">
        <v>10</v>
      </c>
      <c r="G382" s="95">
        <v>9</v>
      </c>
      <c r="H382" s="91">
        <f>F382+G382</f>
        <v>19</v>
      </c>
      <c r="I382" s="24">
        <v>4</v>
      </c>
      <c r="J382" s="26">
        <f>H382/E382</f>
        <v>1.0555555555555556</v>
      </c>
      <c r="K382" s="24">
        <v>0</v>
      </c>
      <c r="L382" s="24">
        <v>0</v>
      </c>
      <c r="M382" s="24">
        <v>0</v>
      </c>
      <c r="N382" s="24">
        <v>0</v>
      </c>
      <c r="O382" s="24">
        <v>0</v>
      </c>
      <c r="P382" s="24">
        <v>0</v>
      </c>
    </row>
    <row r="383" spans="2:16" x14ac:dyDescent="0.25">
      <c r="B383" s="9">
        <v>2</v>
      </c>
      <c r="D383" s="5" t="s">
        <v>8</v>
      </c>
      <c r="E383" s="24">
        <v>18</v>
      </c>
      <c r="F383" s="24">
        <v>12</v>
      </c>
      <c r="G383" s="95">
        <v>6</v>
      </c>
      <c r="H383" s="91">
        <f t="shared" ref="H383:H396" si="32">F383+G383</f>
        <v>18</v>
      </c>
      <c r="I383" s="24">
        <v>16</v>
      </c>
      <c r="J383" s="26">
        <f t="shared" ref="J383:J396" si="33">H383/E383</f>
        <v>1</v>
      </c>
      <c r="K383" s="24">
        <v>1</v>
      </c>
      <c r="L383" s="24">
        <v>0</v>
      </c>
      <c r="M383" s="24">
        <v>0</v>
      </c>
      <c r="N383" s="24">
        <v>0</v>
      </c>
      <c r="O383" s="24">
        <v>0</v>
      </c>
      <c r="P383" s="24">
        <v>0</v>
      </c>
    </row>
    <row r="384" spans="2:16" x14ac:dyDescent="0.25">
      <c r="B384" s="9">
        <v>3</v>
      </c>
      <c r="D384" s="5" t="s">
        <v>6</v>
      </c>
      <c r="E384" s="24">
        <v>14</v>
      </c>
      <c r="F384" s="24">
        <v>8</v>
      </c>
      <c r="G384" s="95">
        <v>6</v>
      </c>
      <c r="H384" s="91">
        <f t="shared" si="32"/>
        <v>14</v>
      </c>
      <c r="I384" s="24">
        <v>8</v>
      </c>
      <c r="J384" s="26">
        <f t="shared" si="33"/>
        <v>1</v>
      </c>
      <c r="K384" s="24">
        <v>2</v>
      </c>
      <c r="L384" s="24">
        <v>0</v>
      </c>
      <c r="M384" s="24">
        <v>0</v>
      </c>
      <c r="N384" s="24">
        <v>0</v>
      </c>
      <c r="O384" s="24">
        <v>0</v>
      </c>
      <c r="P384" s="24">
        <v>0</v>
      </c>
    </row>
    <row r="385" spans="2:16" x14ac:dyDescent="0.25">
      <c r="B385" s="9">
        <v>4</v>
      </c>
      <c r="D385" s="5" t="s">
        <v>9</v>
      </c>
      <c r="E385" s="24">
        <v>17</v>
      </c>
      <c r="F385" s="24">
        <v>4</v>
      </c>
      <c r="G385" s="95">
        <v>6</v>
      </c>
      <c r="H385" s="91">
        <f t="shared" si="32"/>
        <v>10</v>
      </c>
      <c r="I385" s="24">
        <v>4</v>
      </c>
      <c r="J385" s="26">
        <f t="shared" si="33"/>
        <v>0.58823529411764708</v>
      </c>
      <c r="K385" s="24">
        <v>0</v>
      </c>
      <c r="L385" s="24">
        <v>0</v>
      </c>
      <c r="M385" s="24">
        <v>0</v>
      </c>
      <c r="N385" s="24">
        <v>0</v>
      </c>
      <c r="O385" s="24">
        <v>0</v>
      </c>
      <c r="P385" s="24">
        <v>0</v>
      </c>
    </row>
    <row r="386" spans="2:16" x14ac:dyDescent="0.25">
      <c r="B386" s="9">
        <v>5</v>
      </c>
      <c r="D386" s="5" t="s">
        <v>11</v>
      </c>
      <c r="E386" s="24">
        <v>18</v>
      </c>
      <c r="F386" s="24">
        <v>7</v>
      </c>
      <c r="G386" s="95">
        <v>1</v>
      </c>
      <c r="H386" s="91">
        <f t="shared" si="32"/>
        <v>8</v>
      </c>
      <c r="I386" s="24">
        <v>12</v>
      </c>
      <c r="J386" s="26">
        <f t="shared" si="33"/>
        <v>0.44444444444444442</v>
      </c>
      <c r="K386" s="24">
        <v>1</v>
      </c>
      <c r="L386" s="24">
        <v>0</v>
      </c>
      <c r="M386" s="24">
        <v>0</v>
      </c>
      <c r="N386" s="24">
        <v>0</v>
      </c>
      <c r="O386" s="24">
        <v>0</v>
      </c>
      <c r="P386" s="24">
        <v>0</v>
      </c>
    </row>
    <row r="387" spans="2:16" x14ac:dyDescent="0.25">
      <c r="B387" s="9">
        <v>6</v>
      </c>
      <c r="D387" s="5" t="s">
        <v>23</v>
      </c>
      <c r="E387" s="24">
        <v>15</v>
      </c>
      <c r="F387" s="24">
        <v>6</v>
      </c>
      <c r="G387" s="95">
        <v>1</v>
      </c>
      <c r="H387" s="91">
        <f t="shared" si="32"/>
        <v>7</v>
      </c>
      <c r="I387" s="24">
        <v>4</v>
      </c>
      <c r="J387" s="26">
        <f t="shared" si="33"/>
        <v>0.46666666666666667</v>
      </c>
      <c r="K387" s="24">
        <v>1</v>
      </c>
      <c r="L387" s="24">
        <v>0</v>
      </c>
      <c r="M387" s="24">
        <v>1</v>
      </c>
      <c r="N387" s="24">
        <v>0</v>
      </c>
      <c r="O387" s="24">
        <v>0</v>
      </c>
      <c r="P387" s="24">
        <v>0</v>
      </c>
    </row>
    <row r="388" spans="2:16" x14ac:dyDescent="0.25">
      <c r="B388" s="9">
        <v>7</v>
      </c>
      <c r="D388" s="5" t="s">
        <v>24</v>
      </c>
      <c r="E388" s="24">
        <v>16</v>
      </c>
      <c r="F388" s="24">
        <v>3</v>
      </c>
      <c r="G388" s="95">
        <v>2</v>
      </c>
      <c r="H388" s="91">
        <f t="shared" si="32"/>
        <v>5</v>
      </c>
      <c r="I388" s="24">
        <v>4</v>
      </c>
      <c r="J388" s="26">
        <f t="shared" si="33"/>
        <v>0.3125</v>
      </c>
      <c r="K388" s="24">
        <v>0</v>
      </c>
      <c r="L388" s="24">
        <v>0</v>
      </c>
      <c r="M388" s="24">
        <v>0</v>
      </c>
      <c r="N388" s="24">
        <v>0</v>
      </c>
      <c r="O388" s="24">
        <v>0</v>
      </c>
      <c r="P388" s="24">
        <v>0</v>
      </c>
    </row>
    <row r="389" spans="2:16" x14ac:dyDescent="0.25">
      <c r="B389" s="9">
        <v>8</v>
      </c>
      <c r="D389" s="5" t="s">
        <v>17</v>
      </c>
      <c r="E389" s="24">
        <v>15</v>
      </c>
      <c r="F389" s="24">
        <v>2</v>
      </c>
      <c r="G389" s="95">
        <v>3</v>
      </c>
      <c r="H389" s="91">
        <f t="shared" si="32"/>
        <v>5</v>
      </c>
      <c r="I389" s="24">
        <v>6</v>
      </c>
      <c r="J389" s="26">
        <f t="shared" si="33"/>
        <v>0.33333333333333331</v>
      </c>
      <c r="K389" s="24">
        <v>1</v>
      </c>
      <c r="L389" s="24">
        <v>0</v>
      </c>
      <c r="M389" s="24">
        <v>0</v>
      </c>
      <c r="N389" s="24">
        <v>0</v>
      </c>
      <c r="O389" s="24">
        <v>0</v>
      </c>
      <c r="P389" s="24">
        <v>0</v>
      </c>
    </row>
    <row r="390" spans="2:16" x14ac:dyDescent="0.25">
      <c r="B390" s="9">
        <v>9</v>
      </c>
      <c r="D390" s="5" t="s">
        <v>25</v>
      </c>
      <c r="E390" s="24">
        <v>11</v>
      </c>
      <c r="F390" s="24">
        <v>1</v>
      </c>
      <c r="G390" s="95">
        <v>4</v>
      </c>
      <c r="H390" s="91">
        <f t="shared" si="32"/>
        <v>5</v>
      </c>
      <c r="I390" s="24">
        <v>4</v>
      </c>
      <c r="J390" s="26">
        <f t="shared" si="33"/>
        <v>0.45454545454545453</v>
      </c>
      <c r="K390" s="24">
        <v>0</v>
      </c>
      <c r="L390" s="24">
        <v>0</v>
      </c>
      <c r="M390" s="24">
        <v>0</v>
      </c>
      <c r="N390" s="24">
        <v>0</v>
      </c>
      <c r="O390" s="24">
        <v>0</v>
      </c>
      <c r="P390" s="24">
        <v>0</v>
      </c>
    </row>
    <row r="391" spans="2:16" x14ac:dyDescent="0.25">
      <c r="B391" s="9">
        <v>10</v>
      </c>
      <c r="D391" s="5" t="s">
        <v>26</v>
      </c>
      <c r="E391" s="24">
        <v>2</v>
      </c>
      <c r="F391" s="24">
        <v>0</v>
      </c>
      <c r="G391" s="95">
        <v>3</v>
      </c>
      <c r="H391" s="91">
        <f t="shared" si="32"/>
        <v>3</v>
      </c>
      <c r="I391" s="24">
        <v>0</v>
      </c>
      <c r="J391" s="26">
        <f t="shared" si="33"/>
        <v>1.5</v>
      </c>
      <c r="K391" s="24">
        <v>0</v>
      </c>
      <c r="L391" s="24">
        <v>0</v>
      </c>
      <c r="M391" s="24">
        <v>0</v>
      </c>
      <c r="N391" s="24">
        <v>0</v>
      </c>
      <c r="O391" s="24">
        <v>0</v>
      </c>
      <c r="P391" s="24">
        <v>0</v>
      </c>
    </row>
    <row r="392" spans="2:16" x14ac:dyDescent="0.25">
      <c r="B392" s="9">
        <v>11</v>
      </c>
      <c r="D392" s="5" t="s">
        <v>22</v>
      </c>
      <c r="E392" s="24">
        <v>14</v>
      </c>
      <c r="F392" s="24">
        <v>0</v>
      </c>
      <c r="G392" s="95">
        <v>2</v>
      </c>
      <c r="H392" s="91">
        <f t="shared" si="32"/>
        <v>2</v>
      </c>
      <c r="I392" s="24">
        <v>8</v>
      </c>
      <c r="J392" s="26">
        <f t="shared" si="33"/>
        <v>0.14285714285714285</v>
      </c>
      <c r="K392" s="24">
        <v>0</v>
      </c>
      <c r="L392" s="24">
        <v>0</v>
      </c>
      <c r="M392" s="24">
        <v>0</v>
      </c>
      <c r="N392" s="24">
        <v>0</v>
      </c>
      <c r="O392" s="24">
        <v>0</v>
      </c>
      <c r="P392" s="24">
        <v>0</v>
      </c>
    </row>
    <row r="393" spans="2:16" x14ac:dyDescent="0.25">
      <c r="B393" s="9">
        <v>12</v>
      </c>
      <c r="D393" s="5" t="s">
        <v>27</v>
      </c>
      <c r="E393" s="24">
        <v>6</v>
      </c>
      <c r="F393" s="24">
        <v>1</v>
      </c>
      <c r="G393" s="95">
        <v>0</v>
      </c>
      <c r="H393" s="91">
        <f t="shared" si="32"/>
        <v>1</v>
      </c>
      <c r="I393" s="24">
        <v>0</v>
      </c>
      <c r="J393" s="26">
        <f t="shared" si="33"/>
        <v>0.16666666666666666</v>
      </c>
      <c r="K393" s="24">
        <v>0</v>
      </c>
      <c r="L393" s="24">
        <v>0</v>
      </c>
      <c r="M393" s="24">
        <v>0</v>
      </c>
      <c r="N393" s="24">
        <v>0</v>
      </c>
      <c r="O393" s="24">
        <v>0</v>
      </c>
      <c r="P393" s="24">
        <v>0</v>
      </c>
    </row>
    <row r="394" spans="2:16" x14ac:dyDescent="0.25">
      <c r="B394" s="9">
        <v>13</v>
      </c>
      <c r="D394" s="5" t="s">
        <v>28</v>
      </c>
      <c r="E394" s="24">
        <v>16</v>
      </c>
      <c r="F394" s="24">
        <v>0</v>
      </c>
      <c r="G394" s="95">
        <v>0</v>
      </c>
      <c r="H394" s="91">
        <f t="shared" si="32"/>
        <v>0</v>
      </c>
      <c r="I394" s="24">
        <v>2</v>
      </c>
      <c r="J394" s="26">
        <f t="shared" si="33"/>
        <v>0</v>
      </c>
      <c r="K394" s="24">
        <v>0</v>
      </c>
      <c r="L394" s="24">
        <v>0</v>
      </c>
      <c r="M394" s="24">
        <v>0</v>
      </c>
      <c r="N394" s="24">
        <v>0</v>
      </c>
      <c r="O394" s="24">
        <v>0</v>
      </c>
      <c r="P394" s="24">
        <v>0</v>
      </c>
    </row>
    <row r="395" spans="2:16" x14ac:dyDescent="0.25">
      <c r="B395" s="9">
        <v>14</v>
      </c>
      <c r="D395" s="5" t="s">
        <v>29</v>
      </c>
      <c r="E395" s="24">
        <v>6</v>
      </c>
      <c r="F395" s="24">
        <v>0</v>
      </c>
      <c r="G395" s="95">
        <v>0</v>
      </c>
      <c r="H395" s="91">
        <f t="shared" si="32"/>
        <v>0</v>
      </c>
      <c r="I395" s="24">
        <v>2</v>
      </c>
      <c r="J395" s="26">
        <f t="shared" si="33"/>
        <v>0</v>
      </c>
      <c r="K395" s="24">
        <v>0</v>
      </c>
      <c r="L395" s="24">
        <v>0</v>
      </c>
      <c r="M395" s="24">
        <v>0</v>
      </c>
      <c r="N395" s="24">
        <v>0</v>
      </c>
      <c r="O395" s="24">
        <v>0</v>
      </c>
      <c r="P395" s="24">
        <v>0</v>
      </c>
    </row>
    <row r="396" spans="2:16" x14ac:dyDescent="0.25">
      <c r="B396" s="9">
        <v>15</v>
      </c>
      <c r="D396" s="5" t="s">
        <v>75</v>
      </c>
      <c r="E396" s="24">
        <v>18</v>
      </c>
      <c r="F396" s="24">
        <v>0</v>
      </c>
      <c r="G396" s="95">
        <v>0</v>
      </c>
      <c r="H396" s="91">
        <f t="shared" si="32"/>
        <v>0</v>
      </c>
      <c r="I396" s="24">
        <v>0</v>
      </c>
      <c r="J396" s="26">
        <f t="shared" si="33"/>
        <v>0</v>
      </c>
      <c r="K396" s="24">
        <v>0</v>
      </c>
      <c r="L396" s="24">
        <v>0</v>
      </c>
      <c r="M396" s="24">
        <v>0</v>
      </c>
      <c r="N396" s="24">
        <v>0</v>
      </c>
      <c r="O396" s="24">
        <v>0</v>
      </c>
      <c r="P396" s="24">
        <v>0</v>
      </c>
    </row>
  </sheetData>
  <sortState xmlns:xlrd2="http://schemas.microsoft.com/office/spreadsheetml/2017/richdata2" ref="D6:P63">
    <sortCondition descending="1" ref="H6:H63"/>
    <sortCondition descending="1" ref="F6:F63"/>
    <sortCondition descending="1" ref="J6:J63"/>
  </sortState>
  <mergeCells count="4">
    <mergeCell ref="C3:D3"/>
    <mergeCell ref="C117:D117"/>
    <mergeCell ref="C90:D90"/>
    <mergeCell ref="C69:D69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I460"/>
  <sheetViews>
    <sheetView zoomScale="80" zoomScaleNormal="80" workbookViewId="0">
      <selection activeCell="H98" sqref="H98"/>
    </sheetView>
  </sheetViews>
  <sheetFormatPr defaultRowHeight="15" x14ac:dyDescent="0.25"/>
  <cols>
    <col min="2" max="2" width="3" bestFit="1" customWidth="1"/>
    <col min="3" max="3" width="4.42578125" customWidth="1"/>
    <col min="4" max="4" width="20" customWidth="1"/>
    <col min="5" max="7" width="9.140625" style="17"/>
    <col min="8" max="8" width="9.140625" style="31"/>
    <col min="9" max="9" width="9.140625" style="17"/>
    <col min="10" max="10" width="9.28515625" style="17" customWidth="1"/>
    <col min="11" max="16" width="9.140625" style="17"/>
  </cols>
  <sheetData>
    <row r="2" spans="2:16" x14ac:dyDescent="0.25">
      <c r="C2" s="98" t="s">
        <v>721</v>
      </c>
      <c r="D2" s="98"/>
    </row>
    <row r="4" spans="2:16" x14ac:dyDescent="0.25">
      <c r="D4" s="8" t="s">
        <v>0</v>
      </c>
      <c r="E4" s="18" t="s">
        <v>1</v>
      </c>
      <c r="F4" s="18" t="s">
        <v>2</v>
      </c>
      <c r="G4" s="18" t="s">
        <v>3</v>
      </c>
      <c r="H4" s="32" t="s">
        <v>4</v>
      </c>
      <c r="I4" s="18" t="s">
        <v>5</v>
      </c>
      <c r="J4" s="18" t="s">
        <v>38</v>
      </c>
      <c r="K4" s="18" t="s">
        <v>41</v>
      </c>
      <c r="L4" s="18" t="s">
        <v>42</v>
      </c>
      <c r="M4" s="18" t="s">
        <v>45</v>
      </c>
      <c r="N4" s="18" t="s">
        <v>46</v>
      </c>
      <c r="O4" s="18" t="s">
        <v>44</v>
      </c>
      <c r="P4" s="18" t="s">
        <v>43</v>
      </c>
    </row>
    <row r="5" spans="2:16" x14ac:dyDescent="0.25">
      <c r="B5" s="9">
        <v>1</v>
      </c>
      <c r="D5" t="s">
        <v>13</v>
      </c>
      <c r="E5" s="17">
        <v>67</v>
      </c>
      <c r="F5" s="17">
        <v>121</v>
      </c>
      <c r="G5" s="17">
        <v>74</v>
      </c>
      <c r="H5" s="31">
        <f t="shared" ref="H5:H36" si="0">G5+F5</f>
        <v>195</v>
      </c>
      <c r="I5" s="17">
        <v>53</v>
      </c>
      <c r="J5" s="25">
        <f t="shared" ref="J5:J36" si="1">H5/E5</f>
        <v>2.91044776119403</v>
      </c>
      <c r="K5" s="17">
        <v>9</v>
      </c>
      <c r="L5" s="17">
        <v>5</v>
      </c>
      <c r="M5" s="17">
        <v>10</v>
      </c>
      <c r="N5" s="17">
        <v>5</v>
      </c>
      <c r="O5" s="17">
        <v>4</v>
      </c>
      <c r="P5" s="17">
        <v>2</v>
      </c>
    </row>
    <row r="6" spans="2:16" x14ac:dyDescent="0.25">
      <c r="B6" s="9">
        <v>2</v>
      </c>
      <c r="D6" t="s">
        <v>7</v>
      </c>
      <c r="E6" s="17">
        <v>91</v>
      </c>
      <c r="F6" s="17">
        <v>110</v>
      </c>
      <c r="G6" s="17">
        <v>63</v>
      </c>
      <c r="H6" s="31">
        <f t="shared" si="0"/>
        <v>173</v>
      </c>
      <c r="I6" s="17">
        <v>26</v>
      </c>
      <c r="J6" s="25">
        <f t="shared" si="1"/>
        <v>1.901098901098901</v>
      </c>
      <c r="K6" s="17">
        <v>7</v>
      </c>
      <c r="L6" s="17">
        <v>5</v>
      </c>
      <c r="M6" s="17">
        <v>7</v>
      </c>
      <c r="N6" s="17">
        <v>2</v>
      </c>
      <c r="O6" s="17">
        <v>1</v>
      </c>
      <c r="P6" s="17">
        <v>2</v>
      </c>
    </row>
    <row r="7" spans="2:16" x14ac:dyDescent="0.25">
      <c r="B7" s="9">
        <v>3</v>
      </c>
      <c r="D7" t="s">
        <v>324</v>
      </c>
      <c r="E7" s="17">
        <v>65</v>
      </c>
      <c r="F7" s="17">
        <v>50</v>
      </c>
      <c r="G7" s="17">
        <v>62</v>
      </c>
      <c r="H7" s="31">
        <f t="shared" si="0"/>
        <v>112</v>
      </c>
      <c r="I7" s="17">
        <v>24</v>
      </c>
      <c r="J7" s="25">
        <f t="shared" si="1"/>
        <v>1.7230769230769232</v>
      </c>
      <c r="K7" s="17">
        <v>2</v>
      </c>
      <c r="L7" s="17">
        <v>1</v>
      </c>
      <c r="M7" s="17">
        <v>4</v>
      </c>
      <c r="N7" s="17">
        <v>1</v>
      </c>
      <c r="O7" s="17">
        <v>0</v>
      </c>
      <c r="P7" s="17">
        <v>1</v>
      </c>
    </row>
    <row r="8" spans="2:16" x14ac:dyDescent="0.25">
      <c r="B8" s="9">
        <v>4</v>
      </c>
      <c r="D8" t="s">
        <v>22</v>
      </c>
      <c r="E8" s="17">
        <v>198</v>
      </c>
      <c r="F8" s="17">
        <v>32</v>
      </c>
      <c r="G8" s="17">
        <v>59</v>
      </c>
      <c r="H8" s="31">
        <f t="shared" si="0"/>
        <v>91</v>
      </c>
      <c r="I8" s="17">
        <v>77</v>
      </c>
      <c r="J8" s="25">
        <f t="shared" si="1"/>
        <v>0.45959595959595961</v>
      </c>
      <c r="K8" s="17">
        <v>7</v>
      </c>
      <c r="L8" s="17">
        <v>0</v>
      </c>
      <c r="M8" s="17">
        <v>1</v>
      </c>
      <c r="N8" s="17">
        <v>0</v>
      </c>
      <c r="O8" s="17">
        <v>0</v>
      </c>
      <c r="P8" s="17">
        <v>0</v>
      </c>
    </row>
    <row r="9" spans="2:16" x14ac:dyDescent="0.25">
      <c r="B9" s="9">
        <v>5</v>
      </c>
      <c r="D9" t="s">
        <v>30</v>
      </c>
      <c r="E9" s="17">
        <v>50</v>
      </c>
      <c r="F9" s="17">
        <v>35</v>
      </c>
      <c r="G9" s="17">
        <v>51</v>
      </c>
      <c r="H9" s="31">
        <f t="shared" si="0"/>
        <v>86</v>
      </c>
      <c r="I9" s="17">
        <v>12</v>
      </c>
      <c r="J9" s="25">
        <f t="shared" si="1"/>
        <v>1.72</v>
      </c>
      <c r="K9" s="17">
        <v>3</v>
      </c>
      <c r="L9" s="17">
        <v>1</v>
      </c>
      <c r="M9" s="17">
        <v>0</v>
      </c>
      <c r="N9" s="17">
        <v>0</v>
      </c>
      <c r="O9" s="17">
        <v>0</v>
      </c>
      <c r="P9" s="17">
        <v>0</v>
      </c>
    </row>
    <row r="10" spans="2:16" x14ac:dyDescent="0.25">
      <c r="B10" s="9">
        <v>6</v>
      </c>
      <c r="D10" t="s">
        <v>434</v>
      </c>
      <c r="E10" s="17">
        <v>80</v>
      </c>
      <c r="F10" s="17">
        <v>58</v>
      </c>
      <c r="G10" s="17">
        <v>24</v>
      </c>
      <c r="H10" s="31">
        <f t="shared" si="0"/>
        <v>82</v>
      </c>
      <c r="I10" s="17">
        <v>4</v>
      </c>
      <c r="J10" s="25">
        <f t="shared" si="1"/>
        <v>1.0249999999999999</v>
      </c>
      <c r="K10" s="17">
        <v>5</v>
      </c>
      <c r="L10" s="17">
        <v>1</v>
      </c>
      <c r="M10" s="17">
        <v>4</v>
      </c>
      <c r="N10" s="17">
        <v>0</v>
      </c>
      <c r="O10" s="17">
        <v>0</v>
      </c>
      <c r="P10" s="17">
        <v>1</v>
      </c>
    </row>
    <row r="11" spans="2:16" x14ac:dyDescent="0.25">
      <c r="B11" s="9">
        <v>7</v>
      </c>
      <c r="D11" t="s">
        <v>36</v>
      </c>
      <c r="E11" s="17">
        <v>147</v>
      </c>
      <c r="F11" s="17">
        <v>46</v>
      </c>
      <c r="G11" s="17">
        <v>33</v>
      </c>
      <c r="H11" s="31">
        <f t="shared" si="0"/>
        <v>79</v>
      </c>
      <c r="I11" s="17">
        <v>10</v>
      </c>
      <c r="J11" s="25">
        <f t="shared" si="1"/>
        <v>0.5374149659863946</v>
      </c>
      <c r="K11" s="17">
        <v>1</v>
      </c>
      <c r="L11" s="17">
        <v>0</v>
      </c>
      <c r="M11" s="17">
        <v>5</v>
      </c>
      <c r="N11" s="17">
        <v>0</v>
      </c>
      <c r="O11" s="17">
        <v>0</v>
      </c>
      <c r="P11" s="17">
        <v>0</v>
      </c>
    </row>
    <row r="12" spans="2:16" x14ac:dyDescent="0.25">
      <c r="B12" s="9">
        <v>8</v>
      </c>
      <c r="D12" t="s">
        <v>20</v>
      </c>
      <c r="E12" s="17">
        <v>69</v>
      </c>
      <c r="F12" s="17">
        <v>23</v>
      </c>
      <c r="G12" s="17">
        <v>35</v>
      </c>
      <c r="H12" s="31">
        <f t="shared" si="0"/>
        <v>58</v>
      </c>
      <c r="I12" s="17">
        <v>26</v>
      </c>
      <c r="J12" s="25">
        <f t="shared" si="1"/>
        <v>0.84057971014492749</v>
      </c>
      <c r="K12" s="17">
        <v>1</v>
      </c>
      <c r="L12" s="17">
        <v>0</v>
      </c>
      <c r="M12" s="17">
        <v>5</v>
      </c>
      <c r="N12" s="17">
        <v>0</v>
      </c>
      <c r="O12" s="17">
        <v>0</v>
      </c>
      <c r="P12" s="17">
        <v>0</v>
      </c>
    </row>
    <row r="13" spans="2:16" x14ac:dyDescent="0.25">
      <c r="B13" s="9">
        <v>9</v>
      </c>
      <c r="D13" t="s">
        <v>255</v>
      </c>
      <c r="E13" s="17">
        <v>113</v>
      </c>
      <c r="F13" s="17">
        <v>28</v>
      </c>
      <c r="G13" s="17">
        <v>26</v>
      </c>
      <c r="H13" s="31">
        <f t="shared" si="0"/>
        <v>54</v>
      </c>
      <c r="I13" s="17">
        <v>8</v>
      </c>
      <c r="J13" s="25">
        <f t="shared" si="1"/>
        <v>0.47787610619469029</v>
      </c>
      <c r="K13" s="17">
        <v>2</v>
      </c>
      <c r="L13" s="17">
        <v>0</v>
      </c>
      <c r="M13" s="17">
        <v>4</v>
      </c>
      <c r="N13" s="17">
        <v>0</v>
      </c>
      <c r="O13" s="17">
        <v>0</v>
      </c>
      <c r="P13" s="17">
        <v>0</v>
      </c>
    </row>
    <row r="14" spans="2:16" x14ac:dyDescent="0.25">
      <c r="B14" s="9">
        <v>10</v>
      </c>
      <c r="D14" t="s">
        <v>34</v>
      </c>
      <c r="E14" s="17">
        <v>37</v>
      </c>
      <c r="F14" s="17">
        <v>35</v>
      </c>
      <c r="G14" s="17">
        <v>16</v>
      </c>
      <c r="H14" s="31">
        <f t="shared" si="0"/>
        <v>51</v>
      </c>
      <c r="I14" s="17">
        <v>12</v>
      </c>
      <c r="J14" s="25">
        <f t="shared" si="1"/>
        <v>1.3783783783783783</v>
      </c>
      <c r="K14" s="17">
        <v>1</v>
      </c>
      <c r="L14" s="17">
        <v>2</v>
      </c>
      <c r="M14" s="17">
        <v>5</v>
      </c>
      <c r="N14" s="17">
        <v>0</v>
      </c>
      <c r="O14" s="17">
        <v>0</v>
      </c>
      <c r="P14" s="17">
        <v>0</v>
      </c>
    </row>
    <row r="15" spans="2:16" x14ac:dyDescent="0.25">
      <c r="B15" s="9">
        <v>11</v>
      </c>
      <c r="D15" t="s">
        <v>358</v>
      </c>
      <c r="E15" s="17">
        <v>42</v>
      </c>
      <c r="F15" s="17">
        <v>33</v>
      </c>
      <c r="G15" s="17">
        <v>15</v>
      </c>
      <c r="H15" s="31">
        <f t="shared" si="0"/>
        <v>48</v>
      </c>
      <c r="I15" s="17">
        <v>0</v>
      </c>
      <c r="J15" s="25">
        <f t="shared" si="1"/>
        <v>1.1428571428571428</v>
      </c>
      <c r="K15" s="17">
        <v>2</v>
      </c>
      <c r="L15" s="17">
        <v>2</v>
      </c>
      <c r="M15" s="17">
        <v>4</v>
      </c>
      <c r="N15" s="17">
        <v>0</v>
      </c>
      <c r="O15" s="17">
        <v>0</v>
      </c>
      <c r="P15" s="17">
        <v>0</v>
      </c>
    </row>
    <row r="16" spans="2:16" x14ac:dyDescent="0.25">
      <c r="B16" s="9">
        <v>12</v>
      </c>
      <c r="D16" t="s">
        <v>232</v>
      </c>
      <c r="E16" s="17">
        <v>118</v>
      </c>
      <c r="F16" s="17">
        <v>21</v>
      </c>
      <c r="G16" s="17">
        <v>23</v>
      </c>
      <c r="H16" s="31">
        <f t="shared" si="0"/>
        <v>44</v>
      </c>
      <c r="I16" s="17">
        <v>22</v>
      </c>
      <c r="J16" s="25">
        <f t="shared" si="1"/>
        <v>0.3728813559322034</v>
      </c>
      <c r="K16" s="17">
        <v>1</v>
      </c>
      <c r="L16" s="17">
        <v>0</v>
      </c>
      <c r="M16" s="17">
        <v>1</v>
      </c>
      <c r="N16" s="17">
        <v>0</v>
      </c>
      <c r="O16" s="17">
        <v>0</v>
      </c>
      <c r="P16" s="17">
        <v>0</v>
      </c>
    </row>
    <row r="17" spans="2:16" x14ac:dyDescent="0.25">
      <c r="B17" s="9">
        <v>13</v>
      </c>
      <c r="D17" t="s">
        <v>9</v>
      </c>
      <c r="E17" s="17">
        <v>35</v>
      </c>
      <c r="F17" s="17">
        <v>16</v>
      </c>
      <c r="G17" s="17">
        <v>21</v>
      </c>
      <c r="H17" s="31">
        <f t="shared" si="0"/>
        <v>37</v>
      </c>
      <c r="I17" s="17">
        <v>6</v>
      </c>
      <c r="J17" s="25">
        <f t="shared" si="1"/>
        <v>1.0571428571428572</v>
      </c>
      <c r="K17" s="17">
        <v>2</v>
      </c>
      <c r="L17" s="17">
        <v>0</v>
      </c>
      <c r="M17" s="17">
        <v>2</v>
      </c>
      <c r="N17" s="17">
        <v>0</v>
      </c>
      <c r="O17" s="17">
        <v>0</v>
      </c>
      <c r="P17" s="17">
        <v>0</v>
      </c>
    </row>
    <row r="18" spans="2:16" x14ac:dyDescent="0.25">
      <c r="B18" s="9">
        <v>14</v>
      </c>
      <c r="D18" t="s">
        <v>226</v>
      </c>
      <c r="E18" s="17">
        <v>67</v>
      </c>
      <c r="F18" s="17">
        <v>17</v>
      </c>
      <c r="G18" s="17">
        <v>18</v>
      </c>
      <c r="H18" s="31">
        <f t="shared" si="0"/>
        <v>35</v>
      </c>
      <c r="I18" s="17">
        <v>0</v>
      </c>
      <c r="J18" s="25">
        <f t="shared" si="1"/>
        <v>0.52238805970149249</v>
      </c>
      <c r="K18" s="17">
        <v>1</v>
      </c>
      <c r="L18" s="17">
        <v>0</v>
      </c>
      <c r="M18" s="17">
        <v>3</v>
      </c>
      <c r="N18" s="17">
        <v>0</v>
      </c>
      <c r="O18" s="17">
        <v>0</v>
      </c>
      <c r="P18" s="17">
        <v>0</v>
      </c>
    </row>
    <row r="19" spans="2:16" x14ac:dyDescent="0.25">
      <c r="B19" s="9">
        <v>15</v>
      </c>
      <c r="D19" t="s">
        <v>225</v>
      </c>
      <c r="E19" s="17">
        <v>56</v>
      </c>
      <c r="F19" s="17">
        <v>15</v>
      </c>
      <c r="G19" s="17">
        <v>20</v>
      </c>
      <c r="H19" s="31">
        <f t="shared" si="0"/>
        <v>35</v>
      </c>
      <c r="I19" s="17">
        <v>10</v>
      </c>
      <c r="J19" s="25">
        <f t="shared" si="1"/>
        <v>0.625</v>
      </c>
      <c r="K19" s="17">
        <v>2</v>
      </c>
      <c r="L19" s="17">
        <v>1</v>
      </c>
      <c r="M19" s="17">
        <v>2</v>
      </c>
      <c r="N19" s="17">
        <v>0</v>
      </c>
      <c r="O19" s="17">
        <v>1</v>
      </c>
      <c r="P19" s="17">
        <v>1</v>
      </c>
    </row>
    <row r="20" spans="2:16" x14ac:dyDescent="0.25">
      <c r="B20" s="9">
        <v>16</v>
      </c>
      <c r="D20" t="s">
        <v>10</v>
      </c>
      <c r="E20" s="17">
        <v>44</v>
      </c>
      <c r="F20" s="17">
        <v>13</v>
      </c>
      <c r="G20" s="17">
        <v>22</v>
      </c>
      <c r="H20" s="31">
        <f t="shared" si="0"/>
        <v>35</v>
      </c>
      <c r="I20" s="17">
        <v>8</v>
      </c>
      <c r="J20" s="25">
        <f t="shared" si="1"/>
        <v>0.79545454545454541</v>
      </c>
      <c r="K20" s="17">
        <v>1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</row>
    <row r="21" spans="2:16" x14ac:dyDescent="0.25">
      <c r="B21" s="9">
        <v>17</v>
      </c>
      <c r="D21" t="s">
        <v>39</v>
      </c>
      <c r="E21" s="17">
        <v>26</v>
      </c>
      <c r="F21" s="17">
        <v>19</v>
      </c>
      <c r="G21" s="17">
        <v>15</v>
      </c>
      <c r="H21" s="31">
        <f t="shared" si="0"/>
        <v>34</v>
      </c>
      <c r="I21" s="17">
        <v>2</v>
      </c>
      <c r="J21" s="25">
        <f t="shared" si="1"/>
        <v>1.3076923076923077</v>
      </c>
      <c r="K21" s="17">
        <v>2</v>
      </c>
      <c r="L21" s="17">
        <v>0</v>
      </c>
      <c r="M21" s="17">
        <v>2</v>
      </c>
      <c r="N21" s="17">
        <v>0</v>
      </c>
      <c r="O21" s="17">
        <v>0</v>
      </c>
      <c r="P21" s="17">
        <v>0</v>
      </c>
    </row>
    <row r="22" spans="2:16" x14ac:dyDescent="0.25">
      <c r="B22" s="9">
        <v>18</v>
      </c>
      <c r="D22" t="s">
        <v>17</v>
      </c>
      <c r="E22" s="17">
        <v>119</v>
      </c>
      <c r="F22" s="17">
        <v>17</v>
      </c>
      <c r="G22" s="17">
        <v>16</v>
      </c>
      <c r="H22" s="31">
        <f t="shared" si="0"/>
        <v>33</v>
      </c>
      <c r="I22" s="17">
        <v>20</v>
      </c>
      <c r="J22" s="25">
        <f t="shared" si="1"/>
        <v>0.27731092436974791</v>
      </c>
      <c r="K22" s="17">
        <v>2</v>
      </c>
      <c r="L22" s="17">
        <v>0</v>
      </c>
      <c r="M22" s="17">
        <v>1</v>
      </c>
      <c r="N22" s="17">
        <v>0</v>
      </c>
      <c r="O22" s="17">
        <v>0</v>
      </c>
      <c r="P22" s="17">
        <v>0</v>
      </c>
    </row>
    <row r="23" spans="2:16" x14ac:dyDescent="0.25">
      <c r="B23" s="9">
        <v>19</v>
      </c>
      <c r="D23" t="s">
        <v>438</v>
      </c>
      <c r="E23" s="17">
        <v>28</v>
      </c>
      <c r="F23" s="17">
        <v>25</v>
      </c>
      <c r="G23" s="17">
        <v>7</v>
      </c>
      <c r="H23" s="31">
        <f t="shared" si="0"/>
        <v>32</v>
      </c>
      <c r="I23" s="17">
        <v>7</v>
      </c>
      <c r="J23" s="25">
        <f t="shared" si="1"/>
        <v>1.1428571428571428</v>
      </c>
      <c r="K23" s="17">
        <v>1</v>
      </c>
      <c r="L23" s="17">
        <v>0</v>
      </c>
      <c r="M23" s="17">
        <v>3</v>
      </c>
      <c r="N23" s="17">
        <v>0</v>
      </c>
      <c r="O23" s="17">
        <v>0</v>
      </c>
      <c r="P23" s="17">
        <v>0</v>
      </c>
    </row>
    <row r="24" spans="2:16" x14ac:dyDescent="0.25">
      <c r="B24" s="9">
        <v>20</v>
      </c>
      <c r="D24" t="s">
        <v>1178</v>
      </c>
      <c r="E24" s="17">
        <v>20</v>
      </c>
      <c r="F24" s="17">
        <v>21</v>
      </c>
      <c r="G24" s="17">
        <v>10</v>
      </c>
      <c r="H24" s="31">
        <f t="shared" si="0"/>
        <v>31</v>
      </c>
      <c r="I24" s="17">
        <v>6</v>
      </c>
      <c r="J24" s="25">
        <f t="shared" si="1"/>
        <v>1.55</v>
      </c>
      <c r="K24" s="17">
        <v>1</v>
      </c>
      <c r="L24" s="17">
        <v>1</v>
      </c>
      <c r="M24" s="17">
        <v>2</v>
      </c>
      <c r="N24" s="17">
        <v>0</v>
      </c>
      <c r="O24" s="17">
        <v>0</v>
      </c>
      <c r="P24" s="17">
        <v>0</v>
      </c>
    </row>
    <row r="25" spans="2:16" x14ac:dyDescent="0.25">
      <c r="B25" s="9">
        <v>21</v>
      </c>
      <c r="D25" t="s">
        <v>16</v>
      </c>
      <c r="E25" s="17">
        <v>44</v>
      </c>
      <c r="F25" s="17">
        <v>16</v>
      </c>
      <c r="G25" s="17">
        <v>15</v>
      </c>
      <c r="H25" s="31">
        <f t="shared" si="0"/>
        <v>31</v>
      </c>
      <c r="I25" s="17">
        <v>18</v>
      </c>
      <c r="J25" s="25">
        <f t="shared" si="1"/>
        <v>0.70454545454545459</v>
      </c>
      <c r="K25" s="17">
        <v>0</v>
      </c>
      <c r="L25" s="17">
        <v>1</v>
      </c>
      <c r="M25" s="17">
        <v>4</v>
      </c>
      <c r="N25" s="17">
        <v>0</v>
      </c>
      <c r="O25" s="17">
        <v>0</v>
      </c>
      <c r="P25" s="17">
        <v>0</v>
      </c>
    </row>
    <row r="26" spans="2:16" x14ac:dyDescent="0.25">
      <c r="B26" s="9">
        <v>22</v>
      </c>
      <c r="D26" t="s">
        <v>8</v>
      </c>
      <c r="E26" s="17">
        <v>20</v>
      </c>
      <c r="F26" s="17">
        <v>18</v>
      </c>
      <c r="G26" s="17">
        <v>12</v>
      </c>
      <c r="H26" s="31">
        <f t="shared" si="0"/>
        <v>30</v>
      </c>
      <c r="I26" s="17">
        <v>8</v>
      </c>
      <c r="J26" s="25">
        <f t="shared" si="1"/>
        <v>1.5</v>
      </c>
      <c r="K26" s="17">
        <v>2</v>
      </c>
      <c r="L26" s="17">
        <v>0</v>
      </c>
      <c r="M26" s="17">
        <v>1</v>
      </c>
      <c r="N26" s="17">
        <v>0</v>
      </c>
      <c r="O26" s="17">
        <v>0</v>
      </c>
      <c r="P26" s="17">
        <v>1</v>
      </c>
    </row>
    <row r="27" spans="2:16" x14ac:dyDescent="0.25">
      <c r="B27" s="9">
        <v>23</v>
      </c>
      <c r="D27" t="s">
        <v>18</v>
      </c>
      <c r="E27" s="17">
        <v>34</v>
      </c>
      <c r="F27" s="17">
        <v>20</v>
      </c>
      <c r="G27" s="17">
        <v>8</v>
      </c>
      <c r="H27" s="31">
        <f t="shared" si="0"/>
        <v>28</v>
      </c>
      <c r="I27" s="17">
        <v>6</v>
      </c>
      <c r="J27" s="25">
        <f t="shared" si="1"/>
        <v>0.82352941176470584</v>
      </c>
      <c r="K27" s="17">
        <v>1</v>
      </c>
      <c r="L27" s="17">
        <v>0</v>
      </c>
      <c r="M27" s="17">
        <v>1</v>
      </c>
      <c r="N27" s="17">
        <v>1</v>
      </c>
      <c r="O27" s="17">
        <v>0</v>
      </c>
      <c r="P27" s="17">
        <v>1</v>
      </c>
    </row>
    <row r="28" spans="2:16" x14ac:dyDescent="0.25">
      <c r="B28" s="9">
        <v>24</v>
      </c>
      <c r="D28" t="s">
        <v>77</v>
      </c>
      <c r="E28" s="17">
        <v>14</v>
      </c>
      <c r="F28" s="17">
        <v>15</v>
      </c>
      <c r="G28" s="17">
        <v>13</v>
      </c>
      <c r="H28" s="31">
        <f t="shared" si="0"/>
        <v>28</v>
      </c>
      <c r="I28" s="17">
        <v>23</v>
      </c>
      <c r="J28" s="25">
        <f t="shared" si="1"/>
        <v>2</v>
      </c>
      <c r="K28" s="17">
        <v>1</v>
      </c>
      <c r="L28" s="17">
        <v>1</v>
      </c>
      <c r="M28" s="17">
        <v>1</v>
      </c>
      <c r="N28" s="17">
        <v>0</v>
      </c>
      <c r="O28" s="17">
        <v>0</v>
      </c>
      <c r="P28" s="17">
        <v>0</v>
      </c>
    </row>
    <row r="29" spans="2:16" x14ac:dyDescent="0.25">
      <c r="B29" s="9">
        <v>25</v>
      </c>
      <c r="D29" t="s">
        <v>227</v>
      </c>
      <c r="E29" s="17">
        <v>100</v>
      </c>
      <c r="F29" s="17">
        <v>14</v>
      </c>
      <c r="G29" s="17">
        <v>14</v>
      </c>
      <c r="H29" s="31">
        <f t="shared" si="0"/>
        <v>28</v>
      </c>
      <c r="I29" s="17">
        <v>25</v>
      </c>
      <c r="J29" s="25">
        <f t="shared" si="1"/>
        <v>0.28000000000000003</v>
      </c>
      <c r="K29" s="17">
        <v>0</v>
      </c>
      <c r="L29" s="17">
        <v>0</v>
      </c>
      <c r="M29" s="17">
        <v>4</v>
      </c>
      <c r="N29" s="17">
        <v>0</v>
      </c>
      <c r="O29" s="17">
        <v>0</v>
      </c>
      <c r="P29" s="17">
        <v>0</v>
      </c>
    </row>
    <row r="30" spans="2:16" x14ac:dyDescent="0.25">
      <c r="B30" s="9">
        <v>26</v>
      </c>
      <c r="D30" t="s">
        <v>12</v>
      </c>
      <c r="E30" s="17">
        <v>48</v>
      </c>
      <c r="F30" s="17">
        <v>9</v>
      </c>
      <c r="G30" s="17">
        <v>16</v>
      </c>
      <c r="H30" s="31">
        <f t="shared" si="0"/>
        <v>25</v>
      </c>
      <c r="I30" s="17">
        <v>24</v>
      </c>
      <c r="J30" s="25">
        <f t="shared" si="1"/>
        <v>0.52083333333333337</v>
      </c>
      <c r="K30" s="17">
        <v>3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</row>
    <row r="31" spans="2:16" x14ac:dyDescent="0.25">
      <c r="B31" s="9">
        <v>27</v>
      </c>
      <c r="D31" t="s">
        <v>82</v>
      </c>
      <c r="E31" s="17">
        <v>28</v>
      </c>
      <c r="F31" s="17">
        <v>15</v>
      </c>
      <c r="G31" s="17">
        <v>8</v>
      </c>
      <c r="H31" s="31">
        <f t="shared" si="0"/>
        <v>23</v>
      </c>
      <c r="I31" s="17">
        <v>12</v>
      </c>
      <c r="J31" s="25">
        <f t="shared" si="1"/>
        <v>0.8214285714285714</v>
      </c>
      <c r="K31" s="17">
        <v>0</v>
      </c>
      <c r="L31" s="17">
        <v>0</v>
      </c>
      <c r="M31" s="17">
        <v>2</v>
      </c>
      <c r="N31" s="17">
        <v>0</v>
      </c>
      <c r="O31" s="17">
        <v>0</v>
      </c>
      <c r="P31" s="17">
        <v>0</v>
      </c>
    </row>
    <row r="32" spans="2:16" x14ac:dyDescent="0.25">
      <c r="B32" s="9">
        <v>28</v>
      </c>
      <c r="D32" t="s">
        <v>203</v>
      </c>
      <c r="E32" s="17">
        <v>6</v>
      </c>
      <c r="F32" s="17">
        <v>10</v>
      </c>
      <c r="G32" s="17">
        <v>9</v>
      </c>
      <c r="H32" s="31">
        <f t="shared" si="0"/>
        <v>19</v>
      </c>
      <c r="I32" s="17">
        <v>0</v>
      </c>
      <c r="J32" s="25">
        <f t="shared" si="1"/>
        <v>3.1666666666666665</v>
      </c>
      <c r="K32" s="17">
        <v>1</v>
      </c>
      <c r="L32" s="17">
        <v>0</v>
      </c>
      <c r="M32" s="17">
        <v>1</v>
      </c>
      <c r="N32" s="17">
        <v>0</v>
      </c>
      <c r="O32" s="17">
        <v>0</v>
      </c>
      <c r="P32" s="17">
        <v>0</v>
      </c>
    </row>
    <row r="33" spans="2:16" x14ac:dyDescent="0.25">
      <c r="B33" s="9">
        <v>29</v>
      </c>
      <c r="D33" t="s">
        <v>35</v>
      </c>
      <c r="E33" s="17">
        <v>144</v>
      </c>
      <c r="F33" s="17">
        <v>5</v>
      </c>
      <c r="G33" s="17">
        <v>14</v>
      </c>
      <c r="H33" s="31">
        <f t="shared" si="0"/>
        <v>19</v>
      </c>
      <c r="I33" s="17">
        <v>52</v>
      </c>
      <c r="J33" s="25">
        <f t="shared" si="1"/>
        <v>0.13194444444444445</v>
      </c>
      <c r="K33" s="17">
        <v>3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</row>
    <row r="34" spans="2:16" x14ac:dyDescent="0.25">
      <c r="B34" s="9">
        <v>30</v>
      </c>
      <c r="D34" t="s">
        <v>14</v>
      </c>
      <c r="E34" s="17">
        <v>19</v>
      </c>
      <c r="F34" s="17">
        <v>11</v>
      </c>
      <c r="G34" s="17">
        <v>7</v>
      </c>
      <c r="H34" s="31">
        <f t="shared" si="0"/>
        <v>18</v>
      </c>
      <c r="I34" s="17">
        <v>8</v>
      </c>
      <c r="J34" s="25">
        <f t="shared" si="1"/>
        <v>0.94736842105263153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</row>
    <row r="35" spans="2:16" x14ac:dyDescent="0.25">
      <c r="B35" s="9">
        <v>31</v>
      </c>
      <c r="D35" t="s">
        <v>31</v>
      </c>
      <c r="E35" s="17">
        <v>17</v>
      </c>
      <c r="F35" s="17">
        <v>10</v>
      </c>
      <c r="G35" s="17">
        <v>5</v>
      </c>
      <c r="H35" s="31">
        <f t="shared" si="0"/>
        <v>15</v>
      </c>
      <c r="I35" s="17">
        <v>6</v>
      </c>
      <c r="J35" s="25">
        <f t="shared" si="1"/>
        <v>0.88235294117647056</v>
      </c>
      <c r="K35" s="17">
        <v>1</v>
      </c>
      <c r="L35" s="17">
        <v>0</v>
      </c>
      <c r="M35" s="17">
        <v>1</v>
      </c>
      <c r="N35" s="17">
        <v>0</v>
      </c>
      <c r="O35" s="17">
        <v>0</v>
      </c>
      <c r="P35" s="17">
        <v>1</v>
      </c>
    </row>
    <row r="36" spans="2:16" x14ac:dyDescent="0.25">
      <c r="B36" s="9">
        <v>32</v>
      </c>
      <c r="D36" t="s">
        <v>19</v>
      </c>
      <c r="E36" s="17">
        <v>4</v>
      </c>
      <c r="F36" s="17">
        <v>9</v>
      </c>
      <c r="G36" s="17">
        <v>5</v>
      </c>
      <c r="H36" s="31">
        <f t="shared" si="0"/>
        <v>14</v>
      </c>
      <c r="I36" s="17">
        <v>0</v>
      </c>
      <c r="J36" s="25">
        <f t="shared" si="1"/>
        <v>3.5</v>
      </c>
      <c r="K36" s="17">
        <v>0</v>
      </c>
      <c r="L36" s="17">
        <v>1</v>
      </c>
      <c r="M36" s="17">
        <v>1</v>
      </c>
      <c r="N36" s="17">
        <v>0</v>
      </c>
      <c r="O36" s="17">
        <v>0</v>
      </c>
      <c r="P36" s="17">
        <v>0</v>
      </c>
    </row>
    <row r="37" spans="2:16" x14ac:dyDescent="0.25">
      <c r="B37" s="9">
        <v>33</v>
      </c>
      <c r="D37" t="s">
        <v>1191</v>
      </c>
      <c r="E37" s="17">
        <v>22</v>
      </c>
      <c r="F37" s="17">
        <v>8</v>
      </c>
      <c r="G37" s="17">
        <v>5</v>
      </c>
      <c r="H37" s="31">
        <f t="shared" ref="H37:H68" si="2">G37+F37</f>
        <v>13</v>
      </c>
      <c r="I37" s="17">
        <v>6</v>
      </c>
      <c r="J37" s="25">
        <f t="shared" ref="J37:J68" si="3">H37/E37</f>
        <v>0.59090909090909094</v>
      </c>
      <c r="K37" s="17">
        <v>1</v>
      </c>
      <c r="L37" s="17">
        <v>0</v>
      </c>
      <c r="M37" s="17">
        <v>2</v>
      </c>
      <c r="N37" s="17">
        <v>0</v>
      </c>
      <c r="O37" s="17">
        <v>0</v>
      </c>
      <c r="P37" s="17">
        <v>0</v>
      </c>
    </row>
    <row r="38" spans="2:16" x14ac:dyDescent="0.25">
      <c r="B38" s="9">
        <v>34</v>
      </c>
      <c r="D38" t="s">
        <v>320</v>
      </c>
      <c r="E38" s="17">
        <v>42</v>
      </c>
      <c r="F38" s="17">
        <v>9</v>
      </c>
      <c r="G38" s="17">
        <v>3</v>
      </c>
      <c r="H38" s="31">
        <f t="shared" si="2"/>
        <v>12</v>
      </c>
      <c r="I38" s="17">
        <v>11</v>
      </c>
      <c r="J38" s="25">
        <f t="shared" si="3"/>
        <v>0.2857142857142857</v>
      </c>
      <c r="K38" s="17">
        <v>0</v>
      </c>
      <c r="L38" s="17">
        <v>0</v>
      </c>
      <c r="M38" s="17">
        <v>2</v>
      </c>
      <c r="N38" s="17">
        <v>0</v>
      </c>
      <c r="O38" s="17">
        <v>0</v>
      </c>
      <c r="P38" s="17">
        <v>0</v>
      </c>
    </row>
    <row r="39" spans="2:16" x14ac:dyDescent="0.25">
      <c r="B39" s="9">
        <v>35</v>
      </c>
      <c r="D39" t="s">
        <v>37</v>
      </c>
      <c r="E39" s="17">
        <v>18</v>
      </c>
      <c r="F39" s="17">
        <v>7</v>
      </c>
      <c r="G39" s="17">
        <v>5</v>
      </c>
      <c r="H39" s="31">
        <f t="shared" si="2"/>
        <v>12</v>
      </c>
      <c r="I39" s="17">
        <v>39</v>
      </c>
      <c r="J39" s="25">
        <f t="shared" si="3"/>
        <v>0.66666666666666663</v>
      </c>
      <c r="K39" s="17">
        <v>0</v>
      </c>
      <c r="L39" s="17">
        <v>1</v>
      </c>
      <c r="M39" s="17">
        <v>1</v>
      </c>
      <c r="N39" s="17">
        <v>0</v>
      </c>
      <c r="O39" s="17">
        <v>0</v>
      </c>
      <c r="P39" s="17">
        <v>0</v>
      </c>
    </row>
    <row r="40" spans="2:16" x14ac:dyDescent="0.25">
      <c r="B40" s="9">
        <v>36</v>
      </c>
      <c r="D40" t="s">
        <v>1188</v>
      </c>
      <c r="E40" s="17">
        <v>14</v>
      </c>
      <c r="F40" s="17">
        <v>5</v>
      </c>
      <c r="G40" s="17">
        <v>6</v>
      </c>
      <c r="H40" s="31">
        <f t="shared" si="2"/>
        <v>11</v>
      </c>
      <c r="I40" s="17">
        <v>0</v>
      </c>
      <c r="J40" s="25">
        <f t="shared" si="3"/>
        <v>0.7857142857142857</v>
      </c>
      <c r="K40" s="17">
        <v>1</v>
      </c>
      <c r="L40" s="17">
        <v>0</v>
      </c>
      <c r="M40" s="17">
        <v>1</v>
      </c>
      <c r="N40" s="17">
        <v>1</v>
      </c>
      <c r="O40" s="17">
        <v>0</v>
      </c>
      <c r="P40" s="17">
        <v>0</v>
      </c>
    </row>
    <row r="41" spans="2:16" x14ac:dyDescent="0.25">
      <c r="B41" s="9">
        <v>37</v>
      </c>
      <c r="D41" t="s">
        <v>83</v>
      </c>
      <c r="E41" s="17">
        <v>12</v>
      </c>
      <c r="F41" s="17">
        <v>8</v>
      </c>
      <c r="G41" s="17">
        <v>1</v>
      </c>
      <c r="H41" s="31">
        <f t="shared" si="2"/>
        <v>9</v>
      </c>
      <c r="I41" s="17">
        <v>2</v>
      </c>
      <c r="J41" s="25">
        <f t="shared" si="3"/>
        <v>0.75</v>
      </c>
      <c r="K41" s="17">
        <v>0</v>
      </c>
      <c r="L41" s="17">
        <v>0</v>
      </c>
      <c r="M41" s="17">
        <v>1</v>
      </c>
      <c r="N41" s="17">
        <v>0</v>
      </c>
      <c r="O41" s="17">
        <v>0</v>
      </c>
      <c r="P41" s="17">
        <v>0</v>
      </c>
    </row>
    <row r="42" spans="2:16" x14ac:dyDescent="0.25">
      <c r="B42" s="9">
        <v>38</v>
      </c>
      <c r="D42" t="s">
        <v>356</v>
      </c>
      <c r="E42" s="17">
        <v>4</v>
      </c>
      <c r="F42" s="17">
        <v>6</v>
      </c>
      <c r="G42" s="17">
        <v>3</v>
      </c>
      <c r="H42" s="31">
        <f t="shared" si="2"/>
        <v>9</v>
      </c>
      <c r="I42" s="17">
        <v>0</v>
      </c>
      <c r="J42" s="25">
        <f t="shared" si="3"/>
        <v>2.25</v>
      </c>
      <c r="K42" s="17">
        <v>1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</row>
    <row r="43" spans="2:16" x14ac:dyDescent="0.25">
      <c r="B43" s="9">
        <v>39</v>
      </c>
      <c r="D43" t="s">
        <v>1182</v>
      </c>
      <c r="E43" s="17">
        <v>22</v>
      </c>
      <c r="F43" s="17">
        <v>6</v>
      </c>
      <c r="G43" s="17">
        <v>3</v>
      </c>
      <c r="H43" s="31">
        <f t="shared" si="2"/>
        <v>9</v>
      </c>
      <c r="I43" s="17">
        <v>2</v>
      </c>
      <c r="J43" s="25">
        <f t="shared" si="3"/>
        <v>0.40909090909090912</v>
      </c>
      <c r="K43" s="17">
        <v>0</v>
      </c>
      <c r="L43" s="17">
        <v>1</v>
      </c>
      <c r="M43" s="17">
        <v>1</v>
      </c>
      <c r="N43" s="17">
        <v>0</v>
      </c>
      <c r="O43" s="17">
        <v>4</v>
      </c>
      <c r="P43" s="17">
        <v>0</v>
      </c>
    </row>
    <row r="44" spans="2:16" x14ac:dyDescent="0.25">
      <c r="B44" s="9">
        <v>40</v>
      </c>
      <c r="D44" t="s">
        <v>15</v>
      </c>
      <c r="E44" s="17">
        <v>22</v>
      </c>
      <c r="F44" s="17">
        <v>4</v>
      </c>
      <c r="G44" s="17">
        <v>5</v>
      </c>
      <c r="H44" s="31">
        <f t="shared" si="2"/>
        <v>9</v>
      </c>
      <c r="I44" s="17">
        <v>6</v>
      </c>
      <c r="J44" s="25">
        <f t="shared" si="3"/>
        <v>0.40909090909090912</v>
      </c>
      <c r="K44" s="17">
        <v>1</v>
      </c>
      <c r="L44" s="17">
        <v>0</v>
      </c>
      <c r="M44" s="17">
        <v>1</v>
      </c>
      <c r="N44" s="17">
        <v>1</v>
      </c>
      <c r="O44" s="17">
        <v>0</v>
      </c>
      <c r="P44" s="17">
        <v>0</v>
      </c>
    </row>
    <row r="45" spans="2:16" x14ac:dyDescent="0.25">
      <c r="B45" s="9">
        <v>41</v>
      </c>
      <c r="D45" t="s">
        <v>256</v>
      </c>
      <c r="E45" s="17">
        <v>31</v>
      </c>
      <c r="F45" s="17">
        <v>5</v>
      </c>
      <c r="G45" s="17">
        <v>3</v>
      </c>
      <c r="H45" s="31">
        <f t="shared" si="2"/>
        <v>8</v>
      </c>
      <c r="I45" s="17">
        <v>10</v>
      </c>
      <c r="J45" s="25">
        <f t="shared" si="3"/>
        <v>0.25806451612903225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</row>
    <row r="46" spans="2:16" x14ac:dyDescent="0.25">
      <c r="B46" s="9">
        <v>42</v>
      </c>
      <c r="D46" t="s">
        <v>21</v>
      </c>
      <c r="E46" s="17">
        <v>38</v>
      </c>
      <c r="F46" s="17">
        <v>3</v>
      </c>
      <c r="G46" s="17">
        <v>5</v>
      </c>
      <c r="H46" s="31">
        <f t="shared" si="2"/>
        <v>8</v>
      </c>
      <c r="I46" s="17">
        <v>18</v>
      </c>
      <c r="J46" s="25">
        <f t="shared" si="3"/>
        <v>0.21052631578947367</v>
      </c>
      <c r="K46" s="17">
        <v>1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</row>
    <row r="47" spans="2:16" x14ac:dyDescent="0.25">
      <c r="B47" s="9">
        <v>43</v>
      </c>
      <c r="D47" t="s">
        <v>437</v>
      </c>
      <c r="E47" s="17">
        <v>11</v>
      </c>
      <c r="F47" s="17">
        <v>4</v>
      </c>
      <c r="G47" s="17">
        <v>3</v>
      </c>
      <c r="H47" s="31">
        <f t="shared" si="2"/>
        <v>7</v>
      </c>
      <c r="I47" s="17">
        <v>4</v>
      </c>
      <c r="J47" s="25">
        <f t="shared" si="3"/>
        <v>0.63636363636363635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</row>
    <row r="48" spans="2:16" x14ac:dyDescent="0.25">
      <c r="B48" s="9">
        <v>44</v>
      </c>
      <c r="D48" t="s">
        <v>254</v>
      </c>
      <c r="E48" s="17">
        <v>35</v>
      </c>
      <c r="F48" s="17">
        <v>2</v>
      </c>
      <c r="G48" s="17">
        <v>4</v>
      </c>
      <c r="H48" s="31">
        <f t="shared" si="2"/>
        <v>6</v>
      </c>
      <c r="I48" s="17">
        <v>2</v>
      </c>
      <c r="J48" s="25">
        <f t="shared" si="3"/>
        <v>0.17142857142857143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</row>
    <row r="49" spans="2:16" x14ac:dyDescent="0.25">
      <c r="B49" s="9">
        <v>45</v>
      </c>
      <c r="D49" t="s">
        <v>33</v>
      </c>
      <c r="E49" s="17">
        <v>44</v>
      </c>
      <c r="F49" s="17">
        <v>1</v>
      </c>
      <c r="G49" s="17">
        <v>5</v>
      </c>
      <c r="H49" s="31">
        <f t="shared" si="2"/>
        <v>6</v>
      </c>
      <c r="I49" s="17">
        <v>10</v>
      </c>
      <c r="J49" s="25">
        <f t="shared" si="3"/>
        <v>0.13636363636363635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</row>
    <row r="50" spans="2:16" x14ac:dyDescent="0.25">
      <c r="B50" s="9">
        <v>46</v>
      </c>
      <c r="D50" t="s">
        <v>93</v>
      </c>
      <c r="E50" s="17">
        <v>5</v>
      </c>
      <c r="F50" s="17">
        <v>3</v>
      </c>
      <c r="G50" s="17">
        <v>2</v>
      </c>
      <c r="H50" s="31">
        <f t="shared" si="2"/>
        <v>5</v>
      </c>
      <c r="I50" s="17">
        <v>0</v>
      </c>
      <c r="J50" s="25">
        <f t="shared" si="3"/>
        <v>1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</row>
    <row r="51" spans="2:16" x14ac:dyDescent="0.25">
      <c r="B51" s="9">
        <v>47</v>
      </c>
      <c r="D51" t="s">
        <v>223</v>
      </c>
      <c r="E51" s="17">
        <v>10</v>
      </c>
      <c r="F51" s="17">
        <v>2</v>
      </c>
      <c r="G51" s="17">
        <v>3</v>
      </c>
      <c r="H51" s="31">
        <f t="shared" si="2"/>
        <v>5</v>
      </c>
      <c r="I51" s="17">
        <v>0</v>
      </c>
      <c r="J51" s="25">
        <f t="shared" si="3"/>
        <v>0.5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</row>
    <row r="52" spans="2:16" x14ac:dyDescent="0.25">
      <c r="B52" s="9">
        <v>48</v>
      </c>
      <c r="D52" t="s">
        <v>446</v>
      </c>
      <c r="E52" s="17">
        <v>11</v>
      </c>
      <c r="F52" s="17">
        <v>2</v>
      </c>
      <c r="G52" s="17">
        <v>3</v>
      </c>
      <c r="H52" s="31">
        <f t="shared" si="2"/>
        <v>5</v>
      </c>
      <c r="I52" s="17">
        <v>0</v>
      </c>
      <c r="J52" s="25">
        <f t="shared" si="3"/>
        <v>0.45454545454545453</v>
      </c>
      <c r="K52" s="17">
        <v>0</v>
      </c>
      <c r="L52" s="17">
        <v>0</v>
      </c>
      <c r="M52" s="17">
        <v>1</v>
      </c>
      <c r="N52" s="17">
        <v>0</v>
      </c>
      <c r="O52" s="17">
        <v>0</v>
      </c>
      <c r="P52" s="17">
        <v>0</v>
      </c>
    </row>
    <row r="53" spans="2:16" x14ac:dyDescent="0.25">
      <c r="B53" s="9">
        <v>49</v>
      </c>
      <c r="D53" t="s">
        <v>24</v>
      </c>
      <c r="E53" s="17">
        <v>25</v>
      </c>
      <c r="F53" s="17">
        <v>1</v>
      </c>
      <c r="G53" s="17">
        <v>4</v>
      </c>
      <c r="H53" s="31">
        <f t="shared" si="2"/>
        <v>5</v>
      </c>
      <c r="I53" s="17">
        <v>10</v>
      </c>
      <c r="J53" s="25">
        <f t="shared" si="3"/>
        <v>0.2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</row>
    <row r="54" spans="2:16" x14ac:dyDescent="0.25">
      <c r="B54" s="9">
        <v>50</v>
      </c>
      <c r="D54" t="s">
        <v>1680</v>
      </c>
      <c r="E54" s="17">
        <v>6</v>
      </c>
      <c r="F54" s="17">
        <v>3</v>
      </c>
      <c r="G54" s="17">
        <v>1</v>
      </c>
      <c r="H54" s="31">
        <f t="shared" si="2"/>
        <v>4</v>
      </c>
      <c r="I54" s="17">
        <v>2</v>
      </c>
      <c r="J54" s="25">
        <f t="shared" si="3"/>
        <v>0.66666666666666663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</row>
    <row r="55" spans="2:16" x14ac:dyDescent="0.25">
      <c r="B55" s="9">
        <v>51</v>
      </c>
      <c r="D55" t="s">
        <v>1193</v>
      </c>
      <c r="E55" s="17">
        <v>15</v>
      </c>
      <c r="F55" s="17">
        <v>1</v>
      </c>
      <c r="G55" s="17">
        <v>3</v>
      </c>
      <c r="H55" s="31">
        <f t="shared" si="2"/>
        <v>4</v>
      </c>
      <c r="I55" s="17">
        <v>2</v>
      </c>
      <c r="J55" s="25">
        <f t="shared" si="3"/>
        <v>0.26666666666666666</v>
      </c>
      <c r="K55" s="17">
        <v>0</v>
      </c>
      <c r="L55" s="17">
        <v>0</v>
      </c>
      <c r="M55" s="17">
        <v>1</v>
      </c>
      <c r="N55" s="17">
        <v>0</v>
      </c>
      <c r="O55" s="17">
        <v>0</v>
      </c>
      <c r="P55" s="17">
        <v>0</v>
      </c>
    </row>
    <row r="56" spans="2:16" x14ac:dyDescent="0.25">
      <c r="B56" s="9">
        <v>52</v>
      </c>
      <c r="D56" t="s">
        <v>1518</v>
      </c>
      <c r="E56" s="17">
        <v>6</v>
      </c>
      <c r="F56" s="17">
        <v>2</v>
      </c>
      <c r="G56" s="17">
        <v>1</v>
      </c>
      <c r="H56" s="31">
        <f t="shared" si="2"/>
        <v>3</v>
      </c>
      <c r="I56" s="17">
        <v>2</v>
      </c>
      <c r="J56" s="25">
        <f t="shared" si="3"/>
        <v>0.5</v>
      </c>
      <c r="K56" s="17">
        <v>0</v>
      </c>
      <c r="L56" s="17">
        <v>0</v>
      </c>
      <c r="M56" s="17">
        <v>1</v>
      </c>
      <c r="N56" s="17">
        <v>0</v>
      </c>
      <c r="O56" s="17">
        <v>0</v>
      </c>
      <c r="P56" s="17">
        <v>0</v>
      </c>
    </row>
    <row r="57" spans="2:16" x14ac:dyDescent="0.25">
      <c r="B57" s="9">
        <v>53</v>
      </c>
      <c r="D57" t="s">
        <v>91</v>
      </c>
      <c r="E57" s="17">
        <v>45</v>
      </c>
      <c r="F57" s="17">
        <v>0</v>
      </c>
      <c r="G57" s="17">
        <v>3</v>
      </c>
      <c r="H57" s="31">
        <f t="shared" si="2"/>
        <v>3</v>
      </c>
      <c r="I57" s="17">
        <v>0</v>
      </c>
      <c r="J57" s="25">
        <f t="shared" si="3"/>
        <v>6.6666666666666666E-2</v>
      </c>
      <c r="K57" s="17">
        <v>0</v>
      </c>
      <c r="L57" s="17">
        <v>0</v>
      </c>
      <c r="M57" s="17">
        <v>0</v>
      </c>
      <c r="N57" s="17">
        <v>0</v>
      </c>
      <c r="O57" s="17">
        <v>0</v>
      </c>
      <c r="P57" s="17">
        <v>0</v>
      </c>
    </row>
    <row r="58" spans="2:16" x14ac:dyDescent="0.25">
      <c r="B58" s="9">
        <v>54</v>
      </c>
      <c r="D58" t="s">
        <v>1696</v>
      </c>
      <c r="E58" s="17">
        <v>2</v>
      </c>
      <c r="F58" s="17">
        <v>2</v>
      </c>
      <c r="G58" s="17">
        <v>0</v>
      </c>
      <c r="H58" s="31">
        <f t="shared" si="2"/>
        <v>2</v>
      </c>
      <c r="I58" s="17">
        <v>0</v>
      </c>
      <c r="J58" s="25">
        <f t="shared" si="3"/>
        <v>1</v>
      </c>
      <c r="K58" s="17">
        <v>0</v>
      </c>
      <c r="L58" s="17">
        <v>1</v>
      </c>
      <c r="M58" s="17">
        <v>0</v>
      </c>
      <c r="N58" s="17">
        <v>0</v>
      </c>
      <c r="O58" s="17">
        <v>0</v>
      </c>
      <c r="P58" s="17">
        <v>0</v>
      </c>
    </row>
    <row r="59" spans="2:16" x14ac:dyDescent="0.25">
      <c r="B59" s="9">
        <v>55</v>
      </c>
      <c r="D59" t="s">
        <v>1722</v>
      </c>
      <c r="E59" s="17">
        <v>4</v>
      </c>
      <c r="F59" s="17">
        <v>2</v>
      </c>
      <c r="G59" s="17">
        <v>0</v>
      </c>
      <c r="H59" s="31">
        <f t="shared" si="2"/>
        <v>2</v>
      </c>
      <c r="I59" s="17">
        <v>0</v>
      </c>
      <c r="J59" s="25">
        <f t="shared" si="3"/>
        <v>0.5</v>
      </c>
      <c r="K59" s="17">
        <v>0</v>
      </c>
      <c r="L59" s="17">
        <v>0</v>
      </c>
      <c r="M59" s="17">
        <v>1</v>
      </c>
      <c r="N59" s="17">
        <v>0</v>
      </c>
      <c r="O59" s="17">
        <v>0</v>
      </c>
      <c r="P59" s="17">
        <v>0</v>
      </c>
    </row>
    <row r="60" spans="2:16" x14ac:dyDescent="0.25">
      <c r="B60" s="9">
        <v>56</v>
      </c>
      <c r="D60" t="s">
        <v>204</v>
      </c>
      <c r="E60" s="17">
        <v>2</v>
      </c>
      <c r="F60" s="17">
        <v>1</v>
      </c>
      <c r="G60" s="17">
        <v>1</v>
      </c>
      <c r="H60" s="31">
        <f t="shared" si="2"/>
        <v>2</v>
      </c>
      <c r="I60" s="17">
        <v>0</v>
      </c>
      <c r="J60" s="25">
        <f t="shared" si="3"/>
        <v>1</v>
      </c>
      <c r="K60" s="17">
        <v>0</v>
      </c>
      <c r="L60" s="17">
        <v>0</v>
      </c>
      <c r="M60" s="17">
        <v>1</v>
      </c>
      <c r="N60" s="17">
        <v>0</v>
      </c>
      <c r="O60" s="17">
        <v>0</v>
      </c>
      <c r="P60" s="17">
        <v>0</v>
      </c>
    </row>
    <row r="61" spans="2:16" x14ac:dyDescent="0.25">
      <c r="B61" s="9">
        <v>57</v>
      </c>
      <c r="D61" t="s">
        <v>11</v>
      </c>
      <c r="E61" s="17">
        <v>4</v>
      </c>
      <c r="F61" s="17">
        <v>1</v>
      </c>
      <c r="G61" s="17">
        <v>1</v>
      </c>
      <c r="H61" s="31">
        <f t="shared" si="2"/>
        <v>2</v>
      </c>
      <c r="I61" s="17">
        <v>0</v>
      </c>
      <c r="J61" s="25">
        <f t="shared" si="3"/>
        <v>0.5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</row>
    <row r="62" spans="2:16" x14ac:dyDescent="0.25">
      <c r="B62" s="9">
        <v>58</v>
      </c>
      <c r="D62" t="s">
        <v>23</v>
      </c>
      <c r="E62" s="17">
        <v>4</v>
      </c>
      <c r="F62" s="17">
        <v>1</v>
      </c>
      <c r="G62" s="17">
        <v>1</v>
      </c>
      <c r="H62" s="31">
        <f t="shared" si="2"/>
        <v>2</v>
      </c>
      <c r="I62" s="17">
        <v>0</v>
      </c>
      <c r="J62" s="25">
        <f t="shared" si="3"/>
        <v>0.5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</row>
    <row r="63" spans="2:16" x14ac:dyDescent="0.25">
      <c r="B63" s="9">
        <v>59</v>
      </c>
      <c r="D63" t="s">
        <v>92</v>
      </c>
      <c r="E63" s="17">
        <v>10</v>
      </c>
      <c r="F63" s="17">
        <v>1</v>
      </c>
      <c r="G63" s="17">
        <v>1</v>
      </c>
      <c r="H63" s="31">
        <f t="shared" si="2"/>
        <v>2</v>
      </c>
      <c r="I63" s="17">
        <v>0</v>
      </c>
      <c r="J63" s="25">
        <f t="shared" si="3"/>
        <v>0.2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</row>
    <row r="64" spans="2:16" x14ac:dyDescent="0.25">
      <c r="B64" s="9">
        <v>60</v>
      </c>
      <c r="D64" t="s">
        <v>1192</v>
      </c>
      <c r="E64" s="17">
        <v>14</v>
      </c>
      <c r="F64" s="17">
        <v>1</v>
      </c>
      <c r="G64" s="17">
        <v>1</v>
      </c>
      <c r="H64" s="31">
        <f t="shared" si="2"/>
        <v>2</v>
      </c>
      <c r="I64" s="17">
        <v>0</v>
      </c>
      <c r="J64" s="25">
        <f t="shared" si="3"/>
        <v>0.14285714285714285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</row>
    <row r="65" spans="2:16" x14ac:dyDescent="0.25">
      <c r="B65" s="9">
        <v>61</v>
      </c>
      <c r="D65" t="s">
        <v>75</v>
      </c>
      <c r="E65" s="17">
        <v>42</v>
      </c>
      <c r="F65" s="17">
        <v>0</v>
      </c>
      <c r="G65" s="17">
        <v>2</v>
      </c>
      <c r="H65" s="31">
        <f t="shared" si="2"/>
        <v>2</v>
      </c>
      <c r="I65" s="17">
        <v>0</v>
      </c>
      <c r="J65" s="25">
        <f t="shared" si="3"/>
        <v>4.7619047619047616E-2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</row>
    <row r="66" spans="2:16" x14ac:dyDescent="0.25">
      <c r="B66" s="9">
        <v>62</v>
      </c>
      <c r="D66" t="s">
        <v>435</v>
      </c>
      <c r="E66" s="17">
        <v>60</v>
      </c>
      <c r="F66" s="17">
        <v>0</v>
      </c>
      <c r="G66" s="17">
        <v>2</v>
      </c>
      <c r="H66" s="31">
        <f t="shared" si="2"/>
        <v>2</v>
      </c>
      <c r="I66" s="17">
        <v>0</v>
      </c>
      <c r="J66" s="25">
        <f t="shared" si="3"/>
        <v>3.3333333333333333E-2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</row>
    <row r="67" spans="2:16" x14ac:dyDescent="0.25">
      <c r="B67" s="9">
        <v>63</v>
      </c>
      <c r="D67" t="s">
        <v>1503</v>
      </c>
      <c r="E67" s="17">
        <v>2</v>
      </c>
      <c r="F67" s="17">
        <v>1</v>
      </c>
      <c r="G67" s="17">
        <v>0</v>
      </c>
      <c r="H67" s="31">
        <f t="shared" si="2"/>
        <v>1</v>
      </c>
      <c r="I67" s="17">
        <v>0</v>
      </c>
      <c r="J67" s="25">
        <f t="shared" si="3"/>
        <v>0.5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</row>
    <row r="68" spans="2:16" x14ac:dyDescent="0.25">
      <c r="B68" s="9">
        <v>64</v>
      </c>
      <c r="D68" t="s">
        <v>1548</v>
      </c>
      <c r="E68" s="17">
        <v>2</v>
      </c>
      <c r="F68" s="17">
        <v>1</v>
      </c>
      <c r="G68" s="17">
        <v>0</v>
      </c>
      <c r="H68" s="31">
        <f t="shared" si="2"/>
        <v>1</v>
      </c>
      <c r="I68" s="17">
        <v>0</v>
      </c>
      <c r="J68" s="25">
        <f t="shared" si="3"/>
        <v>0.5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</row>
    <row r="69" spans="2:16" x14ac:dyDescent="0.25">
      <c r="B69" s="9">
        <v>65</v>
      </c>
      <c r="D69" t="s">
        <v>294</v>
      </c>
      <c r="E69" s="17">
        <v>40</v>
      </c>
      <c r="F69" s="17">
        <v>0</v>
      </c>
      <c r="G69" s="17">
        <v>1</v>
      </c>
      <c r="H69" s="31">
        <f t="shared" ref="H69:H81" si="4">G69+F69</f>
        <v>1</v>
      </c>
      <c r="I69" s="17">
        <v>0</v>
      </c>
      <c r="J69" s="25">
        <f t="shared" ref="J69:J81" si="5">H69/E69</f>
        <v>2.5000000000000001E-2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</row>
    <row r="70" spans="2:16" x14ac:dyDescent="0.25">
      <c r="B70" s="9">
        <v>66</v>
      </c>
      <c r="D70" t="s">
        <v>32</v>
      </c>
      <c r="E70" s="17">
        <v>2</v>
      </c>
      <c r="F70" s="17">
        <v>0</v>
      </c>
      <c r="G70" s="17">
        <v>0</v>
      </c>
      <c r="H70" s="31">
        <f t="shared" si="4"/>
        <v>0</v>
      </c>
      <c r="I70" s="17">
        <v>4</v>
      </c>
      <c r="J70" s="25">
        <f t="shared" si="5"/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</row>
    <row r="71" spans="2:16" x14ac:dyDescent="0.25">
      <c r="B71" s="9">
        <v>67</v>
      </c>
      <c r="D71" t="s">
        <v>94</v>
      </c>
      <c r="E71" s="17">
        <v>7</v>
      </c>
      <c r="F71" s="17">
        <v>0</v>
      </c>
      <c r="G71" s="17">
        <v>0</v>
      </c>
      <c r="H71" s="31">
        <f t="shared" si="4"/>
        <v>0</v>
      </c>
      <c r="I71" s="17">
        <v>2</v>
      </c>
      <c r="J71" s="25">
        <f t="shared" si="5"/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</row>
    <row r="72" spans="2:16" x14ac:dyDescent="0.25">
      <c r="B72" s="9">
        <v>68</v>
      </c>
      <c r="D72" t="s">
        <v>224</v>
      </c>
      <c r="E72" s="17">
        <v>16</v>
      </c>
      <c r="F72" s="17">
        <v>0</v>
      </c>
      <c r="G72" s="17">
        <v>0</v>
      </c>
      <c r="H72" s="31">
        <f t="shared" si="4"/>
        <v>0</v>
      </c>
      <c r="I72" s="17">
        <v>2</v>
      </c>
      <c r="J72" s="25">
        <f t="shared" si="5"/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</row>
    <row r="73" spans="2:16" x14ac:dyDescent="0.25">
      <c r="B73" s="9">
        <v>69</v>
      </c>
      <c r="D73" t="s">
        <v>257</v>
      </c>
      <c r="E73" s="17">
        <v>10</v>
      </c>
      <c r="F73" s="17">
        <v>0</v>
      </c>
      <c r="G73" s="17">
        <v>0</v>
      </c>
      <c r="H73" s="31">
        <f t="shared" si="4"/>
        <v>0</v>
      </c>
      <c r="I73" s="17">
        <v>2</v>
      </c>
      <c r="J73" s="25">
        <f t="shared" si="5"/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</row>
    <row r="74" spans="2:16" x14ac:dyDescent="0.25">
      <c r="B74" s="9">
        <v>70</v>
      </c>
      <c r="D74" t="s">
        <v>293</v>
      </c>
      <c r="E74" s="17">
        <v>4</v>
      </c>
      <c r="F74" s="17">
        <v>0</v>
      </c>
      <c r="G74" s="17">
        <v>0</v>
      </c>
      <c r="H74" s="31">
        <f t="shared" si="4"/>
        <v>0</v>
      </c>
      <c r="I74" s="17">
        <v>0</v>
      </c>
      <c r="J74" s="25">
        <f t="shared" si="5"/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</row>
    <row r="75" spans="2:16" x14ac:dyDescent="0.25">
      <c r="B75" s="9">
        <v>71</v>
      </c>
      <c r="D75" t="s">
        <v>87</v>
      </c>
      <c r="E75" s="17">
        <v>23</v>
      </c>
      <c r="F75" s="17">
        <v>0</v>
      </c>
      <c r="G75" s="17">
        <v>0</v>
      </c>
      <c r="H75" s="31">
        <f t="shared" si="4"/>
        <v>0</v>
      </c>
      <c r="I75" s="17">
        <v>0</v>
      </c>
      <c r="J75" s="25">
        <f t="shared" si="5"/>
        <v>0</v>
      </c>
      <c r="K75" s="17">
        <v>0</v>
      </c>
      <c r="L75" s="17">
        <v>0</v>
      </c>
      <c r="M75" s="17">
        <v>0</v>
      </c>
      <c r="N75" s="17">
        <v>0</v>
      </c>
      <c r="O75" s="17">
        <v>0</v>
      </c>
      <c r="P75" s="17">
        <v>0</v>
      </c>
    </row>
    <row r="76" spans="2:16" x14ac:dyDescent="0.25">
      <c r="B76" s="9">
        <v>72</v>
      </c>
      <c r="D76" t="s">
        <v>436</v>
      </c>
      <c r="E76" s="17">
        <v>10</v>
      </c>
      <c r="F76" s="17">
        <v>0</v>
      </c>
      <c r="G76" s="17">
        <v>0</v>
      </c>
      <c r="H76" s="31">
        <f t="shared" si="4"/>
        <v>0</v>
      </c>
      <c r="I76" s="17">
        <v>0</v>
      </c>
      <c r="J76" s="25">
        <f t="shared" si="5"/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</row>
    <row r="77" spans="2:16" x14ac:dyDescent="0.25">
      <c r="B77" s="9">
        <v>73</v>
      </c>
      <c r="D77" t="s">
        <v>250</v>
      </c>
      <c r="E77" s="17">
        <v>1</v>
      </c>
      <c r="F77" s="17">
        <v>0</v>
      </c>
      <c r="G77" s="17">
        <v>0</v>
      </c>
      <c r="H77" s="31">
        <f t="shared" si="4"/>
        <v>0</v>
      </c>
      <c r="I77" s="17">
        <v>0</v>
      </c>
      <c r="J77" s="25">
        <f t="shared" si="5"/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</row>
    <row r="78" spans="2:16" x14ac:dyDescent="0.25">
      <c r="B78" s="9">
        <v>74</v>
      </c>
      <c r="D78" t="s">
        <v>1369</v>
      </c>
      <c r="E78" s="17">
        <v>6</v>
      </c>
      <c r="F78" s="17">
        <v>0</v>
      </c>
      <c r="G78" s="17">
        <v>0</v>
      </c>
      <c r="H78" s="31">
        <f t="shared" si="4"/>
        <v>0</v>
      </c>
      <c r="I78" s="17">
        <v>0</v>
      </c>
      <c r="J78" s="25">
        <f t="shared" si="5"/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</row>
    <row r="79" spans="2:16" x14ac:dyDescent="0.25">
      <c r="B79" s="9">
        <v>75</v>
      </c>
      <c r="D79" t="s">
        <v>1478</v>
      </c>
      <c r="E79" s="17">
        <v>8</v>
      </c>
      <c r="F79" s="17">
        <v>0</v>
      </c>
      <c r="G79" s="17">
        <v>0</v>
      </c>
      <c r="H79" s="31">
        <f t="shared" si="4"/>
        <v>0</v>
      </c>
      <c r="I79" s="17">
        <v>0</v>
      </c>
      <c r="J79" s="25">
        <f t="shared" si="5"/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</row>
    <row r="80" spans="2:16" x14ac:dyDescent="0.25">
      <c r="B80" s="9">
        <v>76</v>
      </c>
      <c r="D80" t="s">
        <v>1549</v>
      </c>
      <c r="E80" s="17">
        <v>2</v>
      </c>
      <c r="F80" s="17">
        <v>0</v>
      </c>
      <c r="G80" s="17">
        <v>0</v>
      </c>
      <c r="H80" s="31">
        <f t="shared" si="4"/>
        <v>0</v>
      </c>
      <c r="I80" s="17">
        <v>0</v>
      </c>
      <c r="J80" s="25">
        <f t="shared" si="5"/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</row>
    <row r="81" spans="2:16" x14ac:dyDescent="0.25">
      <c r="B81" s="9">
        <v>77</v>
      </c>
      <c r="D81" t="s">
        <v>1672</v>
      </c>
      <c r="E81" s="17">
        <v>2</v>
      </c>
      <c r="F81" s="17">
        <v>0</v>
      </c>
      <c r="G81" s="17">
        <v>0</v>
      </c>
      <c r="H81" s="31">
        <f t="shared" si="4"/>
        <v>0</v>
      </c>
      <c r="I81" s="17">
        <v>0</v>
      </c>
      <c r="J81" s="25">
        <f t="shared" si="5"/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</row>
    <row r="83" spans="2:16" x14ac:dyDescent="0.25">
      <c r="D83" t="s">
        <v>48</v>
      </c>
    </row>
    <row r="87" spans="2:16" x14ac:dyDescent="0.25">
      <c r="C87" s="1" t="s">
        <v>1643</v>
      </c>
    </row>
    <row r="89" spans="2:16" x14ac:dyDescent="0.25">
      <c r="D89" s="8" t="s">
        <v>0</v>
      </c>
      <c r="E89" s="18" t="s">
        <v>1</v>
      </c>
      <c r="F89" s="18" t="s">
        <v>2</v>
      </c>
      <c r="G89" s="18" t="s">
        <v>3</v>
      </c>
      <c r="H89" s="32" t="s">
        <v>4</v>
      </c>
      <c r="I89" s="18" t="s">
        <v>5</v>
      </c>
      <c r="J89" s="18" t="s">
        <v>38</v>
      </c>
      <c r="K89" s="18" t="s">
        <v>41</v>
      </c>
      <c r="L89" s="18" t="s">
        <v>42</v>
      </c>
      <c r="M89" s="18" t="s">
        <v>45</v>
      </c>
      <c r="N89" s="18" t="s">
        <v>46</v>
      </c>
      <c r="O89" s="18" t="s">
        <v>44</v>
      </c>
      <c r="P89" s="18" t="s">
        <v>43</v>
      </c>
    </row>
    <row r="90" spans="2:16" x14ac:dyDescent="0.25">
      <c r="B90" s="9">
        <v>1</v>
      </c>
      <c r="D90" t="s">
        <v>39</v>
      </c>
      <c r="E90" s="17">
        <v>6</v>
      </c>
      <c r="F90" s="17">
        <v>5</v>
      </c>
      <c r="G90" s="17">
        <v>4</v>
      </c>
      <c r="H90" s="31">
        <f>F90+G90</f>
        <v>9</v>
      </c>
      <c r="I90" s="17">
        <v>0</v>
      </c>
      <c r="J90" s="25">
        <f>H90/E90</f>
        <v>1.5</v>
      </c>
      <c r="K90" s="17">
        <v>0</v>
      </c>
      <c r="L90" s="17">
        <v>0</v>
      </c>
      <c r="M90" s="17">
        <v>1</v>
      </c>
      <c r="N90" s="17">
        <v>0</v>
      </c>
      <c r="O90" s="17">
        <v>0</v>
      </c>
      <c r="P90" s="17">
        <v>0</v>
      </c>
    </row>
    <row r="91" spans="2:16" x14ac:dyDescent="0.25">
      <c r="B91" s="9">
        <v>2</v>
      </c>
      <c r="D91" t="s">
        <v>434</v>
      </c>
      <c r="E91" s="17">
        <v>4</v>
      </c>
      <c r="F91" s="17">
        <v>2</v>
      </c>
      <c r="G91" s="17">
        <v>6</v>
      </c>
      <c r="H91" s="31">
        <f>F91+G91</f>
        <v>8</v>
      </c>
      <c r="I91" s="17">
        <v>0</v>
      </c>
      <c r="J91" s="25">
        <f>H91/E91</f>
        <v>2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</row>
    <row r="92" spans="2:16" x14ac:dyDescent="0.25">
      <c r="B92" s="9">
        <v>3</v>
      </c>
      <c r="D92" t="s">
        <v>1178</v>
      </c>
      <c r="E92" s="17">
        <v>2</v>
      </c>
      <c r="F92" s="17">
        <v>3</v>
      </c>
      <c r="G92" s="17">
        <v>1</v>
      </c>
      <c r="H92" s="31">
        <f>F92+G92</f>
        <v>4</v>
      </c>
      <c r="I92" s="17">
        <v>0</v>
      </c>
      <c r="J92" s="25">
        <f>H92/E92</f>
        <v>2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</row>
    <row r="93" spans="2:16" x14ac:dyDescent="0.25">
      <c r="B93" s="9">
        <v>4</v>
      </c>
      <c r="D93" t="s">
        <v>1680</v>
      </c>
      <c r="E93" s="17">
        <v>6</v>
      </c>
      <c r="F93" s="17">
        <v>3</v>
      </c>
      <c r="G93" s="17">
        <v>1</v>
      </c>
      <c r="H93" s="31">
        <f>F93+G93</f>
        <v>4</v>
      </c>
      <c r="I93" s="17">
        <v>2</v>
      </c>
      <c r="J93" s="25">
        <f>H93/E93</f>
        <v>0.66666666666666663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</row>
    <row r="94" spans="2:16" x14ac:dyDescent="0.25">
      <c r="B94" s="9">
        <v>5</v>
      </c>
      <c r="D94" t="s">
        <v>1188</v>
      </c>
      <c r="E94" s="17">
        <v>4</v>
      </c>
      <c r="F94" s="17">
        <v>2</v>
      </c>
      <c r="G94" s="17">
        <v>2</v>
      </c>
      <c r="H94" s="31">
        <f>F94+G94</f>
        <v>4</v>
      </c>
      <c r="I94" s="17">
        <v>0</v>
      </c>
      <c r="J94" s="25">
        <f>H94/E94</f>
        <v>1</v>
      </c>
      <c r="K94" s="17">
        <v>0</v>
      </c>
      <c r="L94" s="17">
        <v>0</v>
      </c>
      <c r="M94" s="17">
        <v>1</v>
      </c>
      <c r="N94" s="17">
        <v>0</v>
      </c>
      <c r="O94" s="17">
        <v>0</v>
      </c>
      <c r="P94" s="17">
        <v>0</v>
      </c>
    </row>
    <row r="95" spans="2:16" x14ac:dyDescent="0.25">
      <c r="B95" s="9">
        <v>6</v>
      </c>
      <c r="D95" t="s">
        <v>22</v>
      </c>
      <c r="E95" s="17">
        <v>6</v>
      </c>
      <c r="F95" s="17">
        <v>1</v>
      </c>
      <c r="G95" s="17">
        <v>3</v>
      </c>
      <c r="H95" s="31">
        <f>F95+G95</f>
        <v>4</v>
      </c>
      <c r="I95" s="17">
        <v>2</v>
      </c>
      <c r="J95" s="25">
        <f>H95/E95</f>
        <v>0.66666666666666663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</row>
    <row r="96" spans="2:16" x14ac:dyDescent="0.25">
      <c r="B96" s="9">
        <v>7</v>
      </c>
      <c r="D96" t="s">
        <v>1182</v>
      </c>
      <c r="E96" s="17">
        <v>4</v>
      </c>
      <c r="F96" s="17">
        <v>3</v>
      </c>
      <c r="G96" s="17">
        <v>0</v>
      </c>
      <c r="H96" s="31">
        <f>F96+G96</f>
        <v>3</v>
      </c>
      <c r="I96" s="17">
        <v>0</v>
      </c>
      <c r="J96" s="25">
        <f>H96/E96</f>
        <v>0.75</v>
      </c>
      <c r="K96" s="17">
        <v>0</v>
      </c>
      <c r="L96" s="17">
        <v>0</v>
      </c>
      <c r="M96" s="17">
        <v>1</v>
      </c>
      <c r="N96" s="17">
        <v>0</v>
      </c>
      <c r="O96" s="17">
        <v>2</v>
      </c>
      <c r="P96" s="17">
        <v>0</v>
      </c>
    </row>
    <row r="97" spans="2:16" x14ac:dyDescent="0.25">
      <c r="B97" s="9">
        <v>8</v>
      </c>
      <c r="D97" t="s">
        <v>1696</v>
      </c>
      <c r="E97" s="17">
        <v>2</v>
      </c>
      <c r="F97" s="17">
        <v>2</v>
      </c>
      <c r="G97" s="17">
        <v>0</v>
      </c>
      <c r="H97" s="31">
        <f>F97+G97</f>
        <v>2</v>
      </c>
      <c r="I97" s="17">
        <v>0</v>
      </c>
      <c r="J97" s="25">
        <f>H97/E97</f>
        <v>1</v>
      </c>
      <c r="K97" s="17">
        <v>0</v>
      </c>
      <c r="L97" s="17">
        <v>1</v>
      </c>
      <c r="M97" s="17">
        <v>0</v>
      </c>
      <c r="N97" s="17">
        <v>0</v>
      </c>
      <c r="O97" s="17">
        <v>0</v>
      </c>
      <c r="P97" s="17">
        <v>0</v>
      </c>
    </row>
    <row r="98" spans="2:16" x14ac:dyDescent="0.25">
      <c r="B98" s="9">
        <v>9</v>
      </c>
      <c r="D98" t="s">
        <v>1722</v>
      </c>
      <c r="E98" s="17">
        <v>4</v>
      </c>
      <c r="F98" s="17">
        <v>2</v>
      </c>
      <c r="G98" s="17">
        <v>0</v>
      </c>
      <c r="H98" s="31">
        <f>F98+G98</f>
        <v>2</v>
      </c>
      <c r="I98" s="17">
        <v>0</v>
      </c>
      <c r="J98" s="25">
        <f>H98/E98</f>
        <v>0.5</v>
      </c>
      <c r="K98" s="17">
        <v>0</v>
      </c>
      <c r="L98" s="17">
        <v>0</v>
      </c>
      <c r="M98" s="17">
        <v>1</v>
      </c>
      <c r="N98" s="17">
        <v>0</v>
      </c>
      <c r="O98" s="17">
        <v>0</v>
      </c>
      <c r="P98" s="17">
        <v>0</v>
      </c>
    </row>
    <row r="99" spans="2:16" x14ac:dyDescent="0.25">
      <c r="B99" s="9">
        <v>10</v>
      </c>
      <c r="D99" t="s">
        <v>1191</v>
      </c>
      <c r="E99" s="17">
        <v>4</v>
      </c>
      <c r="F99" s="17">
        <v>1</v>
      </c>
      <c r="G99" s="17">
        <v>1</v>
      </c>
      <c r="H99" s="31">
        <f>F99+G99</f>
        <v>2</v>
      </c>
      <c r="I99" s="17">
        <v>4</v>
      </c>
      <c r="J99" s="25">
        <f>H99/E99</f>
        <v>0.5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</row>
    <row r="100" spans="2:16" x14ac:dyDescent="0.25">
      <c r="B100" s="9">
        <v>11</v>
      </c>
      <c r="D100" t="s">
        <v>12</v>
      </c>
      <c r="E100" s="17">
        <v>6</v>
      </c>
      <c r="F100" s="17">
        <v>1</v>
      </c>
      <c r="G100" s="17">
        <v>1</v>
      </c>
      <c r="H100" s="31">
        <f>F100+G100</f>
        <v>2</v>
      </c>
      <c r="I100" s="17">
        <v>2</v>
      </c>
      <c r="J100" s="25">
        <f>H100/E100</f>
        <v>0.33333333333333331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</row>
    <row r="101" spans="2:16" x14ac:dyDescent="0.25">
      <c r="B101" s="9">
        <v>12</v>
      </c>
      <c r="D101" t="s">
        <v>1193</v>
      </c>
      <c r="E101" s="17">
        <v>4</v>
      </c>
      <c r="F101" s="17">
        <v>0</v>
      </c>
      <c r="G101" s="17">
        <v>2</v>
      </c>
      <c r="H101" s="31">
        <f>F101+G101</f>
        <v>2</v>
      </c>
      <c r="I101" s="17">
        <v>2</v>
      </c>
      <c r="J101" s="25">
        <f>H101/E101</f>
        <v>0.5</v>
      </c>
      <c r="K101" s="17">
        <v>0</v>
      </c>
      <c r="L101" s="17">
        <v>0</v>
      </c>
      <c r="M101" s="17">
        <v>0</v>
      </c>
      <c r="N101" s="17">
        <v>0</v>
      </c>
      <c r="O101" s="17">
        <v>0</v>
      </c>
      <c r="P101" s="17">
        <v>0</v>
      </c>
    </row>
    <row r="102" spans="2:16" x14ac:dyDescent="0.25">
      <c r="B102" s="9">
        <v>13</v>
      </c>
      <c r="D102" t="s">
        <v>1518</v>
      </c>
      <c r="E102" s="17">
        <v>2</v>
      </c>
      <c r="F102" s="17">
        <v>1</v>
      </c>
      <c r="G102" s="17">
        <v>0</v>
      </c>
      <c r="H102" s="31">
        <f>F102+G102</f>
        <v>1</v>
      </c>
      <c r="I102" s="17">
        <v>0</v>
      </c>
      <c r="J102" s="25">
        <f>H102/E102</f>
        <v>0.5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</row>
    <row r="103" spans="2:16" x14ac:dyDescent="0.25">
      <c r="B103" s="9">
        <v>14</v>
      </c>
      <c r="D103" t="s">
        <v>1369</v>
      </c>
      <c r="E103" s="17">
        <v>4</v>
      </c>
      <c r="F103" s="17">
        <v>0</v>
      </c>
      <c r="G103" s="17">
        <v>0</v>
      </c>
      <c r="H103" s="31">
        <f>F103+G103</f>
        <v>0</v>
      </c>
      <c r="I103" s="17">
        <v>0</v>
      </c>
      <c r="J103" s="25">
        <f>H103/E103</f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</row>
    <row r="104" spans="2:16" x14ac:dyDescent="0.25">
      <c r="B104" s="9">
        <v>15</v>
      </c>
      <c r="D104" t="s">
        <v>232</v>
      </c>
      <c r="E104" s="17">
        <v>2</v>
      </c>
      <c r="F104" s="17">
        <v>0</v>
      </c>
      <c r="G104" s="17">
        <v>0</v>
      </c>
      <c r="H104" s="31">
        <f>F104+G104</f>
        <v>0</v>
      </c>
      <c r="I104" s="17">
        <v>0</v>
      </c>
      <c r="J104" s="25">
        <f>H104/E104</f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</row>
    <row r="105" spans="2:16" x14ac:dyDescent="0.25">
      <c r="B105" s="9">
        <v>16</v>
      </c>
      <c r="D105" t="s">
        <v>1672</v>
      </c>
      <c r="E105" s="17">
        <v>2</v>
      </c>
      <c r="F105" s="17">
        <v>0</v>
      </c>
      <c r="G105" s="17">
        <v>0</v>
      </c>
      <c r="H105" s="31">
        <f>F105+G105</f>
        <v>0</v>
      </c>
      <c r="I105" s="17">
        <v>0</v>
      </c>
      <c r="J105" s="25">
        <f>H105/E105</f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</row>
    <row r="108" spans="2:16" x14ac:dyDescent="0.25">
      <c r="C108" s="1" t="s">
        <v>1389</v>
      </c>
    </row>
    <row r="110" spans="2:16" x14ac:dyDescent="0.25">
      <c r="D110" s="8" t="s">
        <v>0</v>
      </c>
      <c r="E110" s="18" t="s">
        <v>1</v>
      </c>
      <c r="F110" s="18" t="s">
        <v>2</v>
      </c>
      <c r="G110" s="18" t="s">
        <v>3</v>
      </c>
      <c r="H110" s="32" t="s">
        <v>4</v>
      </c>
      <c r="I110" s="18" t="s">
        <v>5</v>
      </c>
      <c r="J110" s="18" t="s">
        <v>38</v>
      </c>
      <c r="K110" s="18" t="s">
        <v>41</v>
      </c>
      <c r="L110" s="18" t="s">
        <v>42</v>
      </c>
      <c r="M110" s="18" t="s">
        <v>45</v>
      </c>
      <c r="N110" s="18" t="s">
        <v>46</v>
      </c>
      <c r="O110" s="18" t="s">
        <v>44</v>
      </c>
      <c r="P110" s="18" t="s">
        <v>43</v>
      </c>
    </row>
    <row r="111" spans="2:16" x14ac:dyDescent="0.25">
      <c r="B111" s="9">
        <v>1</v>
      </c>
      <c r="D111" s="5" t="s">
        <v>7</v>
      </c>
      <c r="E111" s="24">
        <v>15</v>
      </c>
      <c r="F111" s="24">
        <v>10</v>
      </c>
      <c r="G111" s="24">
        <v>5</v>
      </c>
      <c r="H111" s="33">
        <f t="shared" ref="H111:H137" si="6">F111+G111</f>
        <v>15</v>
      </c>
      <c r="I111" s="24">
        <v>6</v>
      </c>
      <c r="J111" s="26">
        <f t="shared" ref="J111:J137" si="7">H111/E111</f>
        <v>1</v>
      </c>
      <c r="K111" s="24">
        <v>1</v>
      </c>
      <c r="L111" s="24">
        <v>0</v>
      </c>
      <c r="M111" s="24">
        <v>1</v>
      </c>
      <c r="N111" s="24">
        <v>0</v>
      </c>
      <c r="O111" s="24">
        <v>0</v>
      </c>
      <c r="P111" s="24">
        <v>0</v>
      </c>
    </row>
    <row r="112" spans="2:16" x14ac:dyDescent="0.25">
      <c r="B112" s="9">
        <v>2</v>
      </c>
      <c r="D112" s="5" t="s">
        <v>434</v>
      </c>
      <c r="E112" s="24">
        <v>18</v>
      </c>
      <c r="F112" s="24">
        <v>8</v>
      </c>
      <c r="G112" s="24">
        <v>5</v>
      </c>
      <c r="H112" s="33">
        <f t="shared" si="6"/>
        <v>13</v>
      </c>
      <c r="I112" s="24">
        <v>0</v>
      </c>
      <c r="J112" s="26">
        <f t="shared" si="7"/>
        <v>0.72222222222222221</v>
      </c>
      <c r="K112" s="24">
        <v>1</v>
      </c>
      <c r="L112" s="24">
        <v>0</v>
      </c>
      <c r="M112" s="24">
        <v>0</v>
      </c>
      <c r="N112" s="24">
        <v>0</v>
      </c>
      <c r="O112" s="24">
        <v>0</v>
      </c>
      <c r="P112" s="24">
        <v>0</v>
      </c>
    </row>
    <row r="113" spans="2:16" x14ac:dyDescent="0.25">
      <c r="B113" s="9">
        <v>3</v>
      </c>
      <c r="D113" s="5" t="s">
        <v>324</v>
      </c>
      <c r="E113" s="24">
        <v>9</v>
      </c>
      <c r="F113" s="24">
        <v>6</v>
      </c>
      <c r="G113" s="24">
        <v>7</v>
      </c>
      <c r="H113" s="33">
        <f t="shared" si="6"/>
        <v>13</v>
      </c>
      <c r="I113" s="24">
        <v>6</v>
      </c>
      <c r="J113" s="26">
        <f t="shared" si="7"/>
        <v>1.4444444444444444</v>
      </c>
      <c r="K113" s="24">
        <v>1</v>
      </c>
      <c r="L113" s="24">
        <v>0</v>
      </c>
      <c r="M113" s="24">
        <v>1</v>
      </c>
      <c r="N113" s="24">
        <v>0</v>
      </c>
      <c r="O113" s="24">
        <v>0</v>
      </c>
      <c r="P113" s="24">
        <v>0</v>
      </c>
    </row>
    <row r="114" spans="2:16" x14ac:dyDescent="0.25">
      <c r="B114" s="9">
        <v>4</v>
      </c>
      <c r="D114" s="5" t="s">
        <v>22</v>
      </c>
      <c r="E114" s="24">
        <v>12</v>
      </c>
      <c r="F114" s="24">
        <v>3</v>
      </c>
      <c r="G114" s="24">
        <v>6</v>
      </c>
      <c r="H114" s="33">
        <f t="shared" si="6"/>
        <v>9</v>
      </c>
      <c r="I114" s="24">
        <v>4</v>
      </c>
      <c r="J114" s="26">
        <f t="shared" si="7"/>
        <v>0.75</v>
      </c>
      <c r="K114" s="24">
        <v>0</v>
      </c>
      <c r="L114" s="24">
        <v>0</v>
      </c>
      <c r="M114" s="24">
        <v>0</v>
      </c>
      <c r="N114" s="24">
        <v>0</v>
      </c>
      <c r="O114" s="24">
        <v>0</v>
      </c>
      <c r="P114" s="24">
        <v>0</v>
      </c>
    </row>
    <row r="115" spans="2:16" x14ac:dyDescent="0.25">
      <c r="B115" s="9">
        <v>5</v>
      </c>
      <c r="D115" s="5" t="s">
        <v>358</v>
      </c>
      <c r="E115" s="24">
        <v>6</v>
      </c>
      <c r="F115" s="24">
        <v>6</v>
      </c>
      <c r="G115" s="24">
        <v>1</v>
      </c>
      <c r="H115" s="33">
        <f t="shared" si="6"/>
        <v>7</v>
      </c>
      <c r="I115" s="24">
        <v>0</v>
      </c>
      <c r="J115" s="26">
        <f t="shared" si="7"/>
        <v>1.1666666666666667</v>
      </c>
      <c r="K115" s="24">
        <v>0</v>
      </c>
      <c r="L115" s="24">
        <v>0</v>
      </c>
      <c r="M115" s="24">
        <v>0</v>
      </c>
      <c r="N115" s="24">
        <v>0</v>
      </c>
      <c r="O115" s="24">
        <v>0</v>
      </c>
      <c r="P115" s="24">
        <v>0</v>
      </c>
    </row>
    <row r="116" spans="2:16" x14ac:dyDescent="0.25">
      <c r="B116" s="9">
        <v>6</v>
      </c>
      <c r="D116" s="5" t="s">
        <v>232</v>
      </c>
      <c r="E116" s="24">
        <v>12</v>
      </c>
      <c r="F116" s="24">
        <v>4</v>
      </c>
      <c r="G116" s="24">
        <v>3</v>
      </c>
      <c r="H116" s="33">
        <f t="shared" si="6"/>
        <v>7</v>
      </c>
      <c r="I116" s="24">
        <v>0</v>
      </c>
      <c r="J116" s="26">
        <f t="shared" si="7"/>
        <v>0.58333333333333337</v>
      </c>
      <c r="K116" s="24">
        <v>0</v>
      </c>
      <c r="L116" s="24">
        <v>0</v>
      </c>
      <c r="M116" s="24">
        <v>0</v>
      </c>
      <c r="N116" s="24">
        <v>0</v>
      </c>
      <c r="O116" s="24">
        <v>0</v>
      </c>
      <c r="P116" s="24">
        <v>0</v>
      </c>
    </row>
    <row r="117" spans="2:16" x14ac:dyDescent="0.25">
      <c r="B117" s="9">
        <v>7</v>
      </c>
      <c r="D117" s="5" t="s">
        <v>1178</v>
      </c>
      <c r="E117" s="24">
        <v>5</v>
      </c>
      <c r="F117" s="24">
        <v>4</v>
      </c>
      <c r="G117" s="24">
        <v>1</v>
      </c>
      <c r="H117" s="33">
        <f t="shared" si="6"/>
        <v>5</v>
      </c>
      <c r="I117" s="24">
        <v>4</v>
      </c>
      <c r="J117" s="26">
        <f t="shared" si="7"/>
        <v>1</v>
      </c>
      <c r="K117" s="24">
        <v>0</v>
      </c>
      <c r="L117" s="24">
        <v>0</v>
      </c>
      <c r="M117" s="24">
        <v>0</v>
      </c>
      <c r="N117" s="24">
        <v>0</v>
      </c>
      <c r="O117" s="24">
        <v>0</v>
      </c>
      <c r="P117" s="24">
        <v>0</v>
      </c>
    </row>
    <row r="118" spans="2:16" x14ac:dyDescent="0.25">
      <c r="B118" s="9">
        <v>8</v>
      </c>
      <c r="D118" s="5" t="s">
        <v>1191</v>
      </c>
      <c r="E118" s="24">
        <v>8</v>
      </c>
      <c r="F118" s="24">
        <v>3</v>
      </c>
      <c r="G118" s="24">
        <v>2</v>
      </c>
      <c r="H118" s="33">
        <f t="shared" si="6"/>
        <v>5</v>
      </c>
      <c r="I118" s="24">
        <v>0</v>
      </c>
      <c r="J118" s="26">
        <f t="shared" si="7"/>
        <v>0.625</v>
      </c>
      <c r="K118" s="24">
        <v>0</v>
      </c>
      <c r="L118" s="24">
        <v>0</v>
      </c>
      <c r="M118" s="24">
        <v>1</v>
      </c>
      <c r="N118" s="24">
        <v>0</v>
      </c>
      <c r="O118" s="24">
        <v>0</v>
      </c>
      <c r="P118" s="24">
        <v>0</v>
      </c>
    </row>
    <row r="119" spans="2:16" x14ac:dyDescent="0.25">
      <c r="B119" s="9">
        <v>9</v>
      </c>
      <c r="D119" s="5" t="s">
        <v>1182</v>
      </c>
      <c r="E119" s="24">
        <v>8</v>
      </c>
      <c r="F119" s="24">
        <v>3</v>
      </c>
      <c r="G119" s="24">
        <v>2</v>
      </c>
      <c r="H119" s="33">
        <f t="shared" si="6"/>
        <v>5</v>
      </c>
      <c r="I119" s="24">
        <v>0</v>
      </c>
      <c r="J119" s="26">
        <f t="shared" si="7"/>
        <v>0.625</v>
      </c>
      <c r="K119" s="24">
        <v>0</v>
      </c>
      <c r="L119" s="24">
        <v>1</v>
      </c>
      <c r="M119" s="24">
        <v>0</v>
      </c>
      <c r="N119" s="24">
        <v>0</v>
      </c>
      <c r="O119" s="24">
        <v>2</v>
      </c>
      <c r="P119" s="24">
        <v>0</v>
      </c>
    </row>
    <row r="120" spans="2:16" x14ac:dyDescent="0.25">
      <c r="B120" s="9">
        <v>10</v>
      </c>
      <c r="D120" s="5" t="s">
        <v>227</v>
      </c>
      <c r="E120" s="24">
        <v>12</v>
      </c>
      <c r="F120" s="24">
        <v>2</v>
      </c>
      <c r="G120" s="24">
        <v>2</v>
      </c>
      <c r="H120" s="33">
        <f t="shared" si="6"/>
        <v>4</v>
      </c>
      <c r="I120" s="24">
        <v>4</v>
      </c>
      <c r="J120" s="26">
        <f t="shared" si="7"/>
        <v>0.33333333333333331</v>
      </c>
      <c r="K120" s="24">
        <v>0</v>
      </c>
      <c r="L120" s="24">
        <v>0</v>
      </c>
      <c r="M120" s="24">
        <v>1</v>
      </c>
      <c r="N120" s="24">
        <v>0</v>
      </c>
      <c r="O120" s="24">
        <v>0</v>
      </c>
      <c r="P120" s="24">
        <v>0</v>
      </c>
    </row>
    <row r="121" spans="2:16" x14ac:dyDescent="0.25">
      <c r="B121" s="9">
        <v>11</v>
      </c>
      <c r="D121" s="5" t="s">
        <v>35</v>
      </c>
      <c r="E121" s="24">
        <v>19</v>
      </c>
      <c r="F121" s="24">
        <v>1</v>
      </c>
      <c r="G121" s="24">
        <v>3</v>
      </c>
      <c r="H121" s="33">
        <f t="shared" si="6"/>
        <v>4</v>
      </c>
      <c r="I121" s="24">
        <v>14</v>
      </c>
      <c r="J121" s="26">
        <f t="shared" si="7"/>
        <v>0.21052631578947367</v>
      </c>
      <c r="K121" s="24">
        <v>1</v>
      </c>
      <c r="L121" s="24">
        <v>0</v>
      </c>
      <c r="M121" s="24">
        <v>0</v>
      </c>
      <c r="N121" s="24">
        <v>0</v>
      </c>
      <c r="O121" s="24">
        <v>0</v>
      </c>
      <c r="P121" s="24">
        <v>0</v>
      </c>
    </row>
    <row r="122" spans="2:16" x14ac:dyDescent="0.25">
      <c r="B122" s="9">
        <v>12</v>
      </c>
      <c r="D122" s="5" t="s">
        <v>9</v>
      </c>
      <c r="E122" s="24">
        <v>6</v>
      </c>
      <c r="F122" s="24">
        <v>0</v>
      </c>
      <c r="G122" s="24">
        <v>4</v>
      </c>
      <c r="H122" s="33">
        <f t="shared" si="6"/>
        <v>4</v>
      </c>
      <c r="I122" s="24">
        <v>2</v>
      </c>
      <c r="J122" s="26">
        <f t="shared" si="7"/>
        <v>0.66666666666666663</v>
      </c>
      <c r="K122" s="24">
        <v>0</v>
      </c>
      <c r="L122" s="24">
        <v>0</v>
      </c>
      <c r="M122" s="24">
        <v>0</v>
      </c>
      <c r="N122" s="24">
        <v>0</v>
      </c>
      <c r="O122" s="24">
        <v>0</v>
      </c>
      <c r="P122" s="24">
        <v>0</v>
      </c>
    </row>
    <row r="123" spans="2:16" x14ac:dyDescent="0.25">
      <c r="B123" s="9">
        <v>13</v>
      </c>
      <c r="D123" s="5" t="s">
        <v>36</v>
      </c>
      <c r="E123" s="24">
        <v>12</v>
      </c>
      <c r="F123" s="24">
        <v>1</v>
      </c>
      <c r="G123" s="24">
        <v>2</v>
      </c>
      <c r="H123" s="33">
        <f t="shared" si="6"/>
        <v>3</v>
      </c>
      <c r="I123" s="24">
        <v>0</v>
      </c>
      <c r="J123" s="26">
        <f t="shared" si="7"/>
        <v>0.25</v>
      </c>
      <c r="K123" s="24">
        <v>0</v>
      </c>
      <c r="L123" s="24">
        <v>0</v>
      </c>
      <c r="M123" s="24">
        <v>0</v>
      </c>
      <c r="N123" s="24">
        <v>0</v>
      </c>
      <c r="O123" s="24">
        <v>0</v>
      </c>
      <c r="P123" s="24">
        <v>0</v>
      </c>
    </row>
    <row r="124" spans="2:16" x14ac:dyDescent="0.25">
      <c r="B124" s="9">
        <v>14</v>
      </c>
      <c r="D124" s="5" t="s">
        <v>225</v>
      </c>
      <c r="E124" s="24">
        <v>3</v>
      </c>
      <c r="F124" s="24">
        <v>1</v>
      </c>
      <c r="G124" s="24">
        <v>1</v>
      </c>
      <c r="H124" s="33">
        <f t="shared" si="6"/>
        <v>2</v>
      </c>
      <c r="I124" s="24">
        <v>2</v>
      </c>
      <c r="J124" s="26">
        <f t="shared" si="7"/>
        <v>0.66666666666666663</v>
      </c>
      <c r="K124" s="24">
        <v>0</v>
      </c>
      <c r="L124" s="24">
        <v>0</v>
      </c>
      <c r="M124" s="24">
        <v>0</v>
      </c>
      <c r="N124" s="24">
        <v>0</v>
      </c>
      <c r="O124" s="24">
        <v>0</v>
      </c>
      <c r="P124" s="24">
        <v>0</v>
      </c>
    </row>
    <row r="125" spans="2:16" x14ac:dyDescent="0.25">
      <c r="B125" s="9">
        <v>15</v>
      </c>
      <c r="D125" s="5" t="s">
        <v>1518</v>
      </c>
      <c r="E125" s="24">
        <v>4</v>
      </c>
      <c r="F125" s="24">
        <v>1</v>
      </c>
      <c r="G125" s="24">
        <v>1</v>
      </c>
      <c r="H125" s="33">
        <f t="shared" si="6"/>
        <v>2</v>
      </c>
      <c r="I125" s="24">
        <v>2</v>
      </c>
      <c r="J125" s="26">
        <f t="shared" si="7"/>
        <v>0.5</v>
      </c>
      <c r="K125" s="24">
        <v>0</v>
      </c>
      <c r="L125" s="24">
        <v>0</v>
      </c>
      <c r="M125" s="24">
        <v>1</v>
      </c>
      <c r="N125" s="24">
        <v>0</v>
      </c>
      <c r="O125" s="24">
        <v>0</v>
      </c>
      <c r="P125" s="24">
        <v>0</v>
      </c>
    </row>
    <row r="126" spans="2:16" x14ac:dyDescent="0.25">
      <c r="B126" s="9">
        <v>16</v>
      </c>
      <c r="D126" s="5" t="s">
        <v>1192</v>
      </c>
      <c r="E126" s="24">
        <v>14</v>
      </c>
      <c r="F126" s="24">
        <v>1</v>
      </c>
      <c r="G126" s="24">
        <v>1</v>
      </c>
      <c r="H126" s="33">
        <f t="shared" si="6"/>
        <v>2</v>
      </c>
      <c r="I126" s="24">
        <v>0</v>
      </c>
      <c r="J126" s="26">
        <f t="shared" si="7"/>
        <v>0.14285714285714285</v>
      </c>
      <c r="K126" s="24">
        <v>0</v>
      </c>
      <c r="L126" s="24">
        <v>0</v>
      </c>
      <c r="M126" s="24">
        <v>0</v>
      </c>
      <c r="N126" s="24">
        <v>0</v>
      </c>
      <c r="O126" s="24">
        <v>0</v>
      </c>
      <c r="P126" s="24">
        <v>0</v>
      </c>
    </row>
    <row r="127" spans="2:16" x14ac:dyDescent="0.25">
      <c r="B127" s="9">
        <v>17</v>
      </c>
      <c r="D127" s="5" t="s">
        <v>1503</v>
      </c>
      <c r="E127" s="24">
        <v>2</v>
      </c>
      <c r="F127" s="24">
        <v>1</v>
      </c>
      <c r="G127" s="24">
        <v>0</v>
      </c>
      <c r="H127" s="33">
        <f t="shared" si="6"/>
        <v>1</v>
      </c>
      <c r="I127" s="24">
        <v>0</v>
      </c>
      <c r="J127" s="26">
        <f t="shared" si="7"/>
        <v>0.5</v>
      </c>
      <c r="K127" s="24">
        <v>0</v>
      </c>
      <c r="L127" s="24">
        <v>0</v>
      </c>
      <c r="M127" s="24">
        <v>0</v>
      </c>
      <c r="N127" s="24">
        <v>0</v>
      </c>
      <c r="O127" s="24">
        <v>0</v>
      </c>
      <c r="P127" s="24">
        <v>0</v>
      </c>
    </row>
    <row r="128" spans="2:16" x14ac:dyDescent="0.25">
      <c r="B128" s="9">
        <v>18</v>
      </c>
      <c r="D128" s="5" t="s">
        <v>1548</v>
      </c>
      <c r="E128" s="24">
        <v>2</v>
      </c>
      <c r="F128" s="24">
        <v>1</v>
      </c>
      <c r="G128" s="24">
        <v>0</v>
      </c>
      <c r="H128" s="33">
        <f t="shared" si="6"/>
        <v>1</v>
      </c>
      <c r="I128" s="24">
        <v>0</v>
      </c>
      <c r="J128" s="26">
        <f t="shared" si="7"/>
        <v>0.5</v>
      </c>
      <c r="K128" s="24">
        <v>0</v>
      </c>
      <c r="L128" s="24">
        <v>0</v>
      </c>
      <c r="M128" s="24">
        <v>0</v>
      </c>
      <c r="N128" s="24">
        <v>0</v>
      </c>
      <c r="O128" s="24">
        <v>0</v>
      </c>
      <c r="P128" s="24">
        <v>0</v>
      </c>
    </row>
    <row r="129" spans="2:16" x14ac:dyDescent="0.25">
      <c r="B129" s="9">
        <v>19</v>
      </c>
      <c r="D129" s="5" t="s">
        <v>12</v>
      </c>
      <c r="E129" s="24">
        <v>5</v>
      </c>
      <c r="F129" s="24">
        <v>1</v>
      </c>
      <c r="G129" s="24">
        <v>0</v>
      </c>
      <c r="H129" s="33">
        <f t="shared" si="6"/>
        <v>1</v>
      </c>
      <c r="I129" s="24">
        <v>0</v>
      </c>
      <c r="J129" s="26">
        <f t="shared" si="7"/>
        <v>0.2</v>
      </c>
      <c r="K129" s="24">
        <v>1</v>
      </c>
      <c r="L129" s="24">
        <v>0</v>
      </c>
      <c r="M129" s="24">
        <v>0</v>
      </c>
      <c r="N129" s="24">
        <v>0</v>
      </c>
      <c r="O129" s="24">
        <v>0</v>
      </c>
      <c r="P129" s="24">
        <v>0</v>
      </c>
    </row>
    <row r="130" spans="2:16" x14ac:dyDescent="0.25">
      <c r="B130" s="9">
        <v>20</v>
      </c>
      <c r="D130" s="5" t="s">
        <v>16</v>
      </c>
      <c r="E130" s="24">
        <v>3</v>
      </c>
      <c r="F130" s="24">
        <v>0</v>
      </c>
      <c r="G130" s="24">
        <v>1</v>
      </c>
      <c r="H130" s="33">
        <f t="shared" si="6"/>
        <v>1</v>
      </c>
      <c r="I130" s="24">
        <v>0</v>
      </c>
      <c r="J130" s="26">
        <f t="shared" si="7"/>
        <v>0.33333333333333331</v>
      </c>
      <c r="K130" s="24">
        <v>0</v>
      </c>
      <c r="L130" s="24">
        <v>0</v>
      </c>
      <c r="M130" s="24">
        <v>0</v>
      </c>
      <c r="N130" s="24">
        <v>0</v>
      </c>
      <c r="O130" s="24">
        <v>0</v>
      </c>
      <c r="P130" s="24">
        <v>0</v>
      </c>
    </row>
    <row r="131" spans="2:16" x14ac:dyDescent="0.25">
      <c r="B131" s="9">
        <v>21</v>
      </c>
      <c r="D131" s="5" t="s">
        <v>435</v>
      </c>
      <c r="E131" s="24">
        <v>10</v>
      </c>
      <c r="F131" s="24">
        <v>0</v>
      </c>
      <c r="G131" s="24">
        <v>1</v>
      </c>
      <c r="H131" s="33">
        <f t="shared" si="6"/>
        <v>1</v>
      </c>
      <c r="I131" s="24">
        <v>0</v>
      </c>
      <c r="J131" s="26">
        <f t="shared" si="7"/>
        <v>0.1</v>
      </c>
      <c r="K131" s="24">
        <v>0</v>
      </c>
      <c r="L131" s="24">
        <v>0</v>
      </c>
      <c r="M131" s="24">
        <v>0</v>
      </c>
      <c r="N131" s="24">
        <v>0</v>
      </c>
      <c r="O131" s="24">
        <v>0</v>
      </c>
      <c r="P131" s="24">
        <v>0</v>
      </c>
    </row>
    <row r="132" spans="2:16" x14ac:dyDescent="0.25">
      <c r="B132" s="9">
        <v>22</v>
      </c>
      <c r="D132" s="5" t="s">
        <v>1478</v>
      </c>
      <c r="E132" s="24">
        <v>8</v>
      </c>
      <c r="F132" s="24">
        <v>0</v>
      </c>
      <c r="G132" s="24">
        <v>0</v>
      </c>
      <c r="H132" s="33">
        <f t="shared" si="6"/>
        <v>0</v>
      </c>
      <c r="I132" s="24">
        <v>0</v>
      </c>
      <c r="J132" s="26">
        <f t="shared" si="7"/>
        <v>0</v>
      </c>
      <c r="K132" s="24">
        <v>0</v>
      </c>
      <c r="L132" s="24">
        <v>0</v>
      </c>
      <c r="M132" s="24">
        <v>0</v>
      </c>
      <c r="N132" s="24">
        <v>0</v>
      </c>
      <c r="O132" s="24">
        <v>0</v>
      </c>
      <c r="P132" s="24">
        <v>0</v>
      </c>
    </row>
    <row r="133" spans="2:16" x14ac:dyDescent="0.25">
      <c r="B133" s="9">
        <v>23</v>
      </c>
      <c r="D133" s="5" t="s">
        <v>436</v>
      </c>
      <c r="E133" s="24">
        <v>4</v>
      </c>
      <c r="F133" s="24">
        <v>0</v>
      </c>
      <c r="G133" s="24">
        <v>0</v>
      </c>
      <c r="H133" s="33">
        <f t="shared" si="6"/>
        <v>0</v>
      </c>
      <c r="I133" s="24">
        <v>0</v>
      </c>
      <c r="J133" s="26">
        <f t="shared" si="7"/>
        <v>0</v>
      </c>
      <c r="K133" s="24">
        <v>0</v>
      </c>
      <c r="L133" s="24">
        <v>0</v>
      </c>
      <c r="M133" s="24">
        <v>0</v>
      </c>
      <c r="N133" s="24">
        <v>0</v>
      </c>
      <c r="O133" s="24">
        <v>0</v>
      </c>
      <c r="P133" s="24">
        <v>0</v>
      </c>
    </row>
    <row r="134" spans="2:16" x14ac:dyDescent="0.25">
      <c r="B134" s="9">
        <v>24</v>
      </c>
      <c r="D134" s="5" t="s">
        <v>17</v>
      </c>
      <c r="E134" s="24">
        <v>1</v>
      </c>
      <c r="F134" s="24">
        <v>0</v>
      </c>
      <c r="G134" s="24">
        <v>0</v>
      </c>
      <c r="H134" s="33">
        <f t="shared" si="6"/>
        <v>0</v>
      </c>
      <c r="I134" s="24">
        <v>0</v>
      </c>
      <c r="J134" s="26">
        <f t="shared" si="7"/>
        <v>0</v>
      </c>
      <c r="K134" s="24">
        <v>0</v>
      </c>
      <c r="L134" s="24">
        <v>0</v>
      </c>
      <c r="M134" s="24">
        <v>0</v>
      </c>
      <c r="N134" s="24">
        <v>0</v>
      </c>
      <c r="O134" s="24">
        <v>0</v>
      </c>
      <c r="P134" s="24">
        <v>0</v>
      </c>
    </row>
    <row r="135" spans="2:16" x14ac:dyDescent="0.25">
      <c r="B135" s="9">
        <v>25</v>
      </c>
      <c r="D135" s="5" t="s">
        <v>1193</v>
      </c>
      <c r="E135" s="24">
        <v>5</v>
      </c>
      <c r="F135" s="24">
        <v>0</v>
      </c>
      <c r="G135" s="24">
        <v>0</v>
      </c>
      <c r="H135" s="33">
        <f t="shared" si="6"/>
        <v>0</v>
      </c>
      <c r="I135" s="24">
        <v>0</v>
      </c>
      <c r="J135" s="26">
        <f t="shared" si="7"/>
        <v>0</v>
      </c>
      <c r="K135" s="24">
        <v>0</v>
      </c>
      <c r="L135" s="24">
        <v>0</v>
      </c>
      <c r="M135" s="24">
        <v>0</v>
      </c>
      <c r="N135" s="24">
        <v>0</v>
      </c>
      <c r="O135" s="24">
        <v>0</v>
      </c>
      <c r="P135" s="24">
        <v>0</v>
      </c>
    </row>
    <row r="136" spans="2:16" x14ac:dyDescent="0.25">
      <c r="B136" s="9">
        <v>26</v>
      </c>
      <c r="D136" s="5" t="s">
        <v>1549</v>
      </c>
      <c r="E136" s="24">
        <v>2</v>
      </c>
      <c r="F136" s="24">
        <v>0</v>
      </c>
      <c r="G136" s="24">
        <v>0</v>
      </c>
      <c r="H136" s="33">
        <f t="shared" si="6"/>
        <v>0</v>
      </c>
      <c r="I136" s="24">
        <v>0</v>
      </c>
      <c r="J136" s="26">
        <f t="shared" si="7"/>
        <v>0</v>
      </c>
      <c r="K136" s="24">
        <v>0</v>
      </c>
      <c r="L136" s="24">
        <v>0</v>
      </c>
      <c r="M136" s="24">
        <v>0</v>
      </c>
      <c r="N136" s="24">
        <v>0</v>
      </c>
      <c r="O136" s="24">
        <v>0</v>
      </c>
      <c r="P136" s="24">
        <v>0</v>
      </c>
    </row>
    <row r="137" spans="2:16" x14ac:dyDescent="0.25">
      <c r="B137" s="9">
        <v>27</v>
      </c>
      <c r="D137" s="5" t="s">
        <v>75</v>
      </c>
      <c r="E137" s="24">
        <v>1</v>
      </c>
      <c r="F137" s="24">
        <v>0</v>
      </c>
      <c r="G137" s="24">
        <v>0</v>
      </c>
      <c r="H137" s="33">
        <f t="shared" si="6"/>
        <v>0</v>
      </c>
      <c r="I137" s="24">
        <v>0</v>
      </c>
      <c r="J137" s="26">
        <f t="shared" si="7"/>
        <v>0</v>
      </c>
      <c r="K137" s="24">
        <v>0</v>
      </c>
      <c r="L137" s="24">
        <v>0</v>
      </c>
      <c r="M137" s="24">
        <v>0</v>
      </c>
      <c r="N137" s="24">
        <v>0</v>
      </c>
      <c r="O137" s="24">
        <v>0</v>
      </c>
      <c r="P137" s="24">
        <v>0</v>
      </c>
    </row>
    <row r="140" spans="2:16" x14ac:dyDescent="0.25">
      <c r="C140" s="1" t="s">
        <v>1154</v>
      </c>
    </row>
    <row r="142" spans="2:16" x14ac:dyDescent="0.25">
      <c r="D142" s="8" t="s">
        <v>0</v>
      </c>
      <c r="E142" s="18" t="s">
        <v>1</v>
      </c>
      <c r="F142" s="18" t="s">
        <v>2</v>
      </c>
      <c r="G142" s="18" t="s">
        <v>3</v>
      </c>
      <c r="H142" s="32" t="s">
        <v>4</v>
      </c>
      <c r="I142" s="18" t="s">
        <v>5</v>
      </c>
      <c r="J142" s="18" t="s">
        <v>38</v>
      </c>
      <c r="K142" s="18" t="s">
        <v>41</v>
      </c>
      <c r="L142" s="18" t="s">
        <v>42</v>
      </c>
      <c r="M142" s="18" t="s">
        <v>45</v>
      </c>
      <c r="N142" s="18" t="s">
        <v>46</v>
      </c>
      <c r="O142" s="18" t="s">
        <v>44</v>
      </c>
      <c r="P142" s="18" t="s">
        <v>43</v>
      </c>
    </row>
    <row r="143" spans="2:16" x14ac:dyDescent="0.25">
      <c r="B143" s="9">
        <v>1</v>
      </c>
      <c r="D143" s="5" t="s">
        <v>1178</v>
      </c>
      <c r="E143" s="24">
        <v>13</v>
      </c>
      <c r="F143" s="24">
        <v>14</v>
      </c>
      <c r="G143" s="24">
        <v>8</v>
      </c>
      <c r="H143" s="33">
        <f t="shared" ref="H143:H166" si="8">G143+F143</f>
        <v>22</v>
      </c>
      <c r="I143" s="24">
        <v>2</v>
      </c>
      <c r="J143" s="26">
        <f t="shared" ref="J143:J166" si="9">H143/E143</f>
        <v>1.6923076923076923</v>
      </c>
      <c r="K143" s="24">
        <v>1</v>
      </c>
      <c r="L143" s="24">
        <v>1</v>
      </c>
      <c r="M143" s="24">
        <v>2</v>
      </c>
      <c r="N143" s="24">
        <v>0</v>
      </c>
      <c r="O143" s="24">
        <v>0</v>
      </c>
      <c r="P143" s="24">
        <v>0</v>
      </c>
    </row>
    <row r="144" spans="2:16" x14ac:dyDescent="0.25">
      <c r="B144" s="9">
        <v>2</v>
      </c>
      <c r="D144" s="5" t="s">
        <v>324</v>
      </c>
      <c r="E144" s="24">
        <v>10</v>
      </c>
      <c r="F144" s="24">
        <v>8</v>
      </c>
      <c r="G144" s="24">
        <v>11</v>
      </c>
      <c r="H144" s="33">
        <f t="shared" si="8"/>
        <v>19</v>
      </c>
      <c r="I144" s="24">
        <v>2</v>
      </c>
      <c r="J144" s="26">
        <f t="shared" si="9"/>
        <v>1.9</v>
      </c>
      <c r="K144" s="24">
        <v>0</v>
      </c>
      <c r="L144" s="24">
        <v>0</v>
      </c>
      <c r="M144" s="24">
        <v>0</v>
      </c>
      <c r="N144" s="24">
        <v>0</v>
      </c>
      <c r="O144" s="24">
        <v>0</v>
      </c>
      <c r="P144" s="24">
        <v>1</v>
      </c>
    </row>
    <row r="145" spans="2:16" x14ac:dyDescent="0.25">
      <c r="B145" s="9">
        <v>3</v>
      </c>
      <c r="D145" s="5" t="s">
        <v>434</v>
      </c>
      <c r="E145" s="24">
        <v>20</v>
      </c>
      <c r="F145" s="24">
        <v>13</v>
      </c>
      <c r="G145" s="24">
        <v>3</v>
      </c>
      <c r="H145" s="33">
        <f t="shared" si="8"/>
        <v>16</v>
      </c>
      <c r="I145" s="24">
        <v>2</v>
      </c>
      <c r="J145" s="26">
        <f t="shared" si="9"/>
        <v>0.8</v>
      </c>
      <c r="K145" s="24">
        <v>1</v>
      </c>
      <c r="L145" s="24">
        <v>1</v>
      </c>
      <c r="M145" s="24">
        <v>1</v>
      </c>
      <c r="N145" s="24">
        <v>0</v>
      </c>
      <c r="O145" s="24">
        <v>0</v>
      </c>
      <c r="P145" s="24">
        <v>1</v>
      </c>
    </row>
    <row r="146" spans="2:16" x14ac:dyDescent="0.25">
      <c r="B146" s="9">
        <v>4</v>
      </c>
      <c r="D146" s="5" t="s">
        <v>9</v>
      </c>
      <c r="E146" s="24">
        <v>18</v>
      </c>
      <c r="F146" s="24">
        <v>8</v>
      </c>
      <c r="G146" s="24">
        <v>6</v>
      </c>
      <c r="H146" s="33">
        <f t="shared" si="8"/>
        <v>14</v>
      </c>
      <c r="I146" s="24">
        <v>2</v>
      </c>
      <c r="J146" s="26">
        <f t="shared" si="9"/>
        <v>0.77777777777777779</v>
      </c>
      <c r="K146" s="24">
        <v>2</v>
      </c>
      <c r="L146" s="24">
        <v>0</v>
      </c>
      <c r="M146" s="24">
        <v>0</v>
      </c>
      <c r="N146" s="24">
        <v>0</v>
      </c>
      <c r="O146" s="24">
        <v>0</v>
      </c>
      <c r="P146" s="24">
        <v>0</v>
      </c>
    </row>
    <row r="147" spans="2:16" x14ac:dyDescent="0.25">
      <c r="B147" s="9">
        <v>5</v>
      </c>
      <c r="D147" s="5" t="s">
        <v>255</v>
      </c>
      <c r="E147" s="24">
        <v>12</v>
      </c>
      <c r="F147" s="24">
        <v>7</v>
      </c>
      <c r="G147" s="24">
        <v>4</v>
      </c>
      <c r="H147" s="33">
        <f t="shared" si="8"/>
        <v>11</v>
      </c>
      <c r="I147" s="24">
        <v>2</v>
      </c>
      <c r="J147" s="26">
        <f t="shared" si="9"/>
        <v>0.91666666666666663</v>
      </c>
      <c r="K147" s="24">
        <v>1</v>
      </c>
      <c r="L147" s="24">
        <v>0</v>
      </c>
      <c r="M147" s="24">
        <v>2</v>
      </c>
      <c r="N147" s="24">
        <v>0</v>
      </c>
      <c r="O147" s="24">
        <v>0</v>
      </c>
      <c r="P147" s="24">
        <v>0</v>
      </c>
    </row>
    <row r="148" spans="2:16" x14ac:dyDescent="0.25">
      <c r="B148" s="9">
        <v>6</v>
      </c>
      <c r="D148" s="5" t="s">
        <v>22</v>
      </c>
      <c r="E148" s="24">
        <v>20</v>
      </c>
      <c r="F148" s="24">
        <v>1</v>
      </c>
      <c r="G148" s="24">
        <v>7</v>
      </c>
      <c r="H148" s="33">
        <f t="shared" si="8"/>
        <v>8</v>
      </c>
      <c r="I148" s="24">
        <v>2</v>
      </c>
      <c r="J148" s="26">
        <f t="shared" si="9"/>
        <v>0.4</v>
      </c>
      <c r="K148" s="24">
        <v>1</v>
      </c>
      <c r="L148" s="24">
        <v>0</v>
      </c>
      <c r="M148" s="24">
        <v>0</v>
      </c>
      <c r="N148" s="24">
        <v>0</v>
      </c>
      <c r="O148" s="24">
        <v>0</v>
      </c>
      <c r="P148" s="24">
        <v>0</v>
      </c>
    </row>
    <row r="149" spans="2:16" x14ac:dyDescent="0.25">
      <c r="B149" s="9">
        <v>7</v>
      </c>
      <c r="D149" s="5" t="s">
        <v>7</v>
      </c>
      <c r="E149" s="24">
        <v>4</v>
      </c>
      <c r="F149" s="24">
        <v>5</v>
      </c>
      <c r="G149" s="24">
        <v>2</v>
      </c>
      <c r="H149" s="33">
        <f t="shared" si="8"/>
        <v>7</v>
      </c>
      <c r="I149" s="24">
        <v>6</v>
      </c>
      <c r="J149" s="26">
        <f t="shared" si="9"/>
        <v>1.75</v>
      </c>
      <c r="K149" s="24">
        <v>0</v>
      </c>
      <c r="L149" s="24">
        <v>0</v>
      </c>
      <c r="M149" s="24">
        <v>0</v>
      </c>
      <c r="N149" s="24">
        <v>0</v>
      </c>
      <c r="O149" s="24">
        <v>0</v>
      </c>
      <c r="P149" s="24">
        <v>1</v>
      </c>
    </row>
    <row r="150" spans="2:16" x14ac:dyDescent="0.25">
      <c r="B150" s="9">
        <v>8</v>
      </c>
      <c r="D150" s="5" t="s">
        <v>8</v>
      </c>
      <c r="E150" s="24">
        <v>3</v>
      </c>
      <c r="F150" s="24">
        <v>3</v>
      </c>
      <c r="G150" s="24">
        <v>4</v>
      </c>
      <c r="H150" s="33">
        <f t="shared" si="8"/>
        <v>7</v>
      </c>
      <c r="I150" s="24">
        <v>2</v>
      </c>
      <c r="J150" s="26">
        <f t="shared" si="9"/>
        <v>2.3333333333333335</v>
      </c>
      <c r="K150" s="24">
        <v>1</v>
      </c>
      <c r="L150" s="24">
        <v>0</v>
      </c>
      <c r="M150" s="24">
        <v>0</v>
      </c>
      <c r="N150" s="24">
        <v>0</v>
      </c>
      <c r="O150" s="24">
        <v>0</v>
      </c>
      <c r="P150" s="24">
        <v>0</v>
      </c>
    </row>
    <row r="151" spans="2:16" x14ac:dyDescent="0.25">
      <c r="B151" s="9">
        <v>9</v>
      </c>
      <c r="D151" s="5" t="s">
        <v>1188</v>
      </c>
      <c r="E151" s="24">
        <v>10</v>
      </c>
      <c r="F151" s="24">
        <v>3</v>
      </c>
      <c r="G151" s="24">
        <v>4</v>
      </c>
      <c r="H151" s="33">
        <f t="shared" si="8"/>
        <v>7</v>
      </c>
      <c r="I151" s="24">
        <v>0</v>
      </c>
      <c r="J151" s="26">
        <f t="shared" si="9"/>
        <v>0.7</v>
      </c>
      <c r="K151" s="24">
        <v>1</v>
      </c>
      <c r="L151" s="24">
        <v>0</v>
      </c>
      <c r="M151" s="24">
        <v>0</v>
      </c>
      <c r="N151" s="24">
        <v>1</v>
      </c>
      <c r="O151" s="24">
        <v>0</v>
      </c>
      <c r="P151" s="24">
        <v>0</v>
      </c>
    </row>
    <row r="152" spans="2:16" x14ac:dyDescent="0.25">
      <c r="B152" s="9">
        <v>10</v>
      </c>
      <c r="D152" s="5" t="s">
        <v>1191</v>
      </c>
      <c r="E152" s="24">
        <v>10</v>
      </c>
      <c r="F152" s="24">
        <v>4</v>
      </c>
      <c r="G152" s="24">
        <v>2</v>
      </c>
      <c r="H152" s="33">
        <f t="shared" si="8"/>
        <v>6</v>
      </c>
      <c r="I152" s="24">
        <v>2</v>
      </c>
      <c r="J152" s="26">
        <f t="shared" si="9"/>
        <v>0.6</v>
      </c>
      <c r="K152" s="24">
        <v>1</v>
      </c>
      <c r="L152" s="24">
        <v>0</v>
      </c>
      <c r="M152" s="24">
        <v>1</v>
      </c>
      <c r="N152" s="24">
        <v>0</v>
      </c>
      <c r="O152" s="24">
        <v>0</v>
      </c>
      <c r="P152" s="24">
        <v>0</v>
      </c>
    </row>
    <row r="153" spans="2:16" x14ac:dyDescent="0.25">
      <c r="B153" s="9">
        <v>11</v>
      </c>
      <c r="D153" s="5" t="s">
        <v>232</v>
      </c>
      <c r="E153" s="24">
        <v>6</v>
      </c>
      <c r="F153" s="24">
        <v>3</v>
      </c>
      <c r="G153" s="24">
        <v>3</v>
      </c>
      <c r="H153" s="33">
        <f t="shared" si="8"/>
        <v>6</v>
      </c>
      <c r="I153" s="24">
        <v>0</v>
      </c>
      <c r="J153" s="26">
        <f t="shared" si="9"/>
        <v>1</v>
      </c>
      <c r="K153" s="24">
        <v>0</v>
      </c>
      <c r="L153" s="24">
        <v>0</v>
      </c>
      <c r="M153" s="24">
        <v>0</v>
      </c>
      <c r="N153" s="24">
        <v>0</v>
      </c>
      <c r="O153" s="24">
        <v>0</v>
      </c>
      <c r="P153" s="24">
        <v>0</v>
      </c>
    </row>
    <row r="154" spans="2:16" x14ac:dyDescent="0.25">
      <c r="B154" s="9">
        <v>12</v>
      </c>
      <c r="D154" s="5" t="s">
        <v>320</v>
      </c>
      <c r="E154" s="24">
        <v>8</v>
      </c>
      <c r="F154" s="24">
        <v>4</v>
      </c>
      <c r="G154" s="24">
        <v>1</v>
      </c>
      <c r="H154" s="33">
        <f t="shared" si="8"/>
        <v>5</v>
      </c>
      <c r="I154" s="24">
        <v>2</v>
      </c>
      <c r="J154" s="26">
        <f t="shared" si="9"/>
        <v>0.625</v>
      </c>
      <c r="K154" s="24">
        <v>0</v>
      </c>
      <c r="L154" s="24">
        <v>0</v>
      </c>
      <c r="M154" s="24">
        <v>1</v>
      </c>
      <c r="N154" s="24">
        <v>0</v>
      </c>
      <c r="O154" s="24">
        <v>0</v>
      </c>
      <c r="P154" s="24">
        <v>0</v>
      </c>
    </row>
    <row r="155" spans="2:16" x14ac:dyDescent="0.25">
      <c r="B155" s="9">
        <v>13</v>
      </c>
      <c r="D155" s="5" t="s">
        <v>14</v>
      </c>
      <c r="E155" s="24">
        <v>9</v>
      </c>
      <c r="F155" s="24">
        <v>4</v>
      </c>
      <c r="G155" s="24">
        <v>1</v>
      </c>
      <c r="H155" s="33">
        <f t="shared" si="8"/>
        <v>5</v>
      </c>
      <c r="I155" s="24">
        <v>6</v>
      </c>
      <c r="J155" s="26">
        <f t="shared" si="9"/>
        <v>0.55555555555555558</v>
      </c>
      <c r="K155" s="24">
        <v>0</v>
      </c>
      <c r="L155" s="24">
        <v>0</v>
      </c>
      <c r="M155" s="24">
        <v>0</v>
      </c>
      <c r="N155" s="24">
        <v>0</v>
      </c>
      <c r="O155" s="24">
        <v>0</v>
      </c>
      <c r="P155" s="24">
        <v>0</v>
      </c>
    </row>
    <row r="156" spans="2:16" x14ac:dyDescent="0.25">
      <c r="B156" s="9">
        <v>14</v>
      </c>
      <c r="D156" s="5" t="s">
        <v>12</v>
      </c>
      <c r="E156" s="24">
        <v>16</v>
      </c>
      <c r="F156" s="24">
        <v>1</v>
      </c>
      <c r="G156" s="24">
        <v>4</v>
      </c>
      <c r="H156" s="33">
        <f t="shared" si="8"/>
        <v>5</v>
      </c>
      <c r="I156" s="24">
        <v>10</v>
      </c>
      <c r="J156" s="26">
        <f t="shared" si="9"/>
        <v>0.3125</v>
      </c>
      <c r="K156" s="24">
        <v>0</v>
      </c>
      <c r="L156" s="24">
        <v>0</v>
      </c>
      <c r="M156" s="24">
        <v>0</v>
      </c>
      <c r="N156" s="24">
        <v>0</v>
      </c>
      <c r="O156" s="24">
        <v>0</v>
      </c>
      <c r="P156" s="24">
        <v>0</v>
      </c>
    </row>
    <row r="157" spans="2:16" x14ac:dyDescent="0.25">
      <c r="B157" s="9">
        <v>15</v>
      </c>
      <c r="D157" s="5" t="s">
        <v>358</v>
      </c>
      <c r="E157" s="24">
        <v>3</v>
      </c>
      <c r="F157" s="24">
        <v>4</v>
      </c>
      <c r="G157" s="24">
        <v>0</v>
      </c>
      <c r="H157" s="33">
        <f t="shared" si="8"/>
        <v>4</v>
      </c>
      <c r="I157" s="24">
        <v>0</v>
      </c>
      <c r="J157" s="26">
        <f t="shared" si="9"/>
        <v>1.3333333333333333</v>
      </c>
      <c r="K157" s="24">
        <v>1</v>
      </c>
      <c r="L157" s="24">
        <v>0</v>
      </c>
      <c r="M157" s="24">
        <v>1</v>
      </c>
      <c r="N157" s="24">
        <v>0</v>
      </c>
      <c r="O157" s="24">
        <v>0</v>
      </c>
      <c r="P157" s="24">
        <v>0</v>
      </c>
    </row>
    <row r="158" spans="2:16" x14ac:dyDescent="0.25">
      <c r="B158" s="9">
        <v>16</v>
      </c>
      <c r="D158" s="5" t="s">
        <v>39</v>
      </c>
      <c r="E158" s="24">
        <v>2</v>
      </c>
      <c r="F158" s="24">
        <v>1</v>
      </c>
      <c r="G158" s="24">
        <v>2</v>
      </c>
      <c r="H158" s="33">
        <f t="shared" si="8"/>
        <v>3</v>
      </c>
      <c r="I158" s="24">
        <v>0</v>
      </c>
      <c r="J158" s="26">
        <f t="shared" si="9"/>
        <v>1.5</v>
      </c>
      <c r="K158" s="24">
        <v>0</v>
      </c>
      <c r="L158" s="24">
        <v>0</v>
      </c>
      <c r="M158" s="24">
        <v>1</v>
      </c>
      <c r="N158" s="24">
        <v>0</v>
      </c>
      <c r="O158" s="24">
        <v>0</v>
      </c>
      <c r="P158" s="24">
        <v>0</v>
      </c>
    </row>
    <row r="159" spans="2:16" x14ac:dyDescent="0.25">
      <c r="B159" s="9">
        <v>17</v>
      </c>
      <c r="D159" s="5" t="s">
        <v>1193</v>
      </c>
      <c r="E159" s="24">
        <v>6</v>
      </c>
      <c r="F159" s="24">
        <v>1</v>
      </c>
      <c r="G159" s="24">
        <v>1</v>
      </c>
      <c r="H159" s="33">
        <f t="shared" si="8"/>
        <v>2</v>
      </c>
      <c r="I159" s="24">
        <v>0</v>
      </c>
      <c r="J159" s="26">
        <f t="shared" si="9"/>
        <v>0.33333333333333331</v>
      </c>
      <c r="K159" s="24">
        <v>0</v>
      </c>
      <c r="L159" s="24">
        <v>0</v>
      </c>
      <c r="M159" s="24">
        <v>1</v>
      </c>
      <c r="N159" s="24">
        <v>0</v>
      </c>
      <c r="O159" s="24">
        <v>0</v>
      </c>
      <c r="P159" s="24">
        <v>0</v>
      </c>
    </row>
    <row r="160" spans="2:16" x14ac:dyDescent="0.25">
      <c r="B160" s="9">
        <v>18</v>
      </c>
      <c r="D160" s="5" t="s">
        <v>356</v>
      </c>
      <c r="E160" s="24">
        <v>1</v>
      </c>
      <c r="F160" s="24">
        <v>0</v>
      </c>
      <c r="G160" s="24">
        <v>1</v>
      </c>
      <c r="H160" s="33">
        <f t="shared" si="8"/>
        <v>1</v>
      </c>
      <c r="I160" s="24">
        <v>0</v>
      </c>
      <c r="J160" s="26">
        <f t="shared" si="9"/>
        <v>1</v>
      </c>
      <c r="K160" s="24">
        <v>0</v>
      </c>
      <c r="L160" s="24">
        <v>0</v>
      </c>
      <c r="M160" s="24">
        <v>0</v>
      </c>
      <c r="N160" s="24">
        <v>0</v>
      </c>
      <c r="O160" s="24">
        <v>0</v>
      </c>
      <c r="P160" s="24">
        <v>0</v>
      </c>
    </row>
    <row r="161" spans="2:16" x14ac:dyDescent="0.25">
      <c r="B161" s="9">
        <v>19</v>
      </c>
      <c r="D161" s="5" t="s">
        <v>16</v>
      </c>
      <c r="E161" s="24">
        <v>2</v>
      </c>
      <c r="F161" s="24">
        <v>0</v>
      </c>
      <c r="G161" s="24">
        <v>1</v>
      </c>
      <c r="H161" s="33">
        <f t="shared" si="8"/>
        <v>1</v>
      </c>
      <c r="I161" s="24">
        <v>2</v>
      </c>
      <c r="J161" s="26">
        <f t="shared" si="9"/>
        <v>0.5</v>
      </c>
      <c r="K161" s="24">
        <v>0</v>
      </c>
      <c r="L161" s="24">
        <v>0</v>
      </c>
      <c r="M161" s="24">
        <v>0</v>
      </c>
      <c r="N161" s="24">
        <v>0</v>
      </c>
      <c r="O161" s="24">
        <v>0</v>
      </c>
      <c r="P161" s="24">
        <v>0</v>
      </c>
    </row>
    <row r="162" spans="2:16" x14ac:dyDescent="0.25">
      <c r="B162" s="9">
        <v>20</v>
      </c>
      <c r="D162" s="5" t="s">
        <v>225</v>
      </c>
      <c r="E162" s="24">
        <v>4</v>
      </c>
      <c r="F162" s="24">
        <v>0</v>
      </c>
      <c r="G162" s="24">
        <v>1</v>
      </c>
      <c r="H162" s="33">
        <f t="shared" si="8"/>
        <v>1</v>
      </c>
      <c r="I162" s="24">
        <v>0</v>
      </c>
      <c r="J162" s="26">
        <f t="shared" si="9"/>
        <v>0.25</v>
      </c>
      <c r="K162" s="24">
        <v>0</v>
      </c>
      <c r="L162" s="24">
        <v>0</v>
      </c>
      <c r="M162" s="24">
        <v>0</v>
      </c>
      <c r="N162" s="24">
        <v>0</v>
      </c>
      <c r="O162" s="24">
        <v>0</v>
      </c>
      <c r="P162" s="24">
        <v>0</v>
      </c>
    </row>
    <row r="163" spans="2:16" x14ac:dyDescent="0.25">
      <c r="B163" s="9">
        <v>21</v>
      </c>
      <c r="D163" s="5" t="s">
        <v>75</v>
      </c>
      <c r="E163" s="24">
        <v>5</v>
      </c>
      <c r="F163" s="24">
        <v>0</v>
      </c>
      <c r="G163" s="24">
        <v>1</v>
      </c>
      <c r="H163" s="33">
        <f t="shared" si="8"/>
        <v>1</v>
      </c>
      <c r="I163" s="24">
        <v>0</v>
      </c>
      <c r="J163" s="26">
        <f t="shared" si="9"/>
        <v>0.2</v>
      </c>
      <c r="K163" s="24">
        <v>0</v>
      </c>
      <c r="L163" s="24">
        <v>0</v>
      </c>
      <c r="M163" s="24">
        <v>0</v>
      </c>
      <c r="N163" s="24">
        <v>0</v>
      </c>
      <c r="O163" s="24">
        <v>0</v>
      </c>
      <c r="P163" s="24">
        <v>0</v>
      </c>
    </row>
    <row r="164" spans="2:16" x14ac:dyDescent="0.25">
      <c r="B164" s="9">
        <v>22</v>
      </c>
      <c r="D164" s="5" t="s">
        <v>1182</v>
      </c>
      <c r="E164" s="24">
        <v>10</v>
      </c>
      <c r="F164" s="24">
        <v>0</v>
      </c>
      <c r="G164" s="24">
        <v>1</v>
      </c>
      <c r="H164" s="33">
        <f t="shared" si="8"/>
        <v>1</v>
      </c>
      <c r="I164" s="24">
        <v>2</v>
      </c>
      <c r="J164" s="26">
        <f t="shared" si="9"/>
        <v>0.1</v>
      </c>
      <c r="K164" s="24">
        <v>0</v>
      </c>
      <c r="L164" s="24">
        <v>0</v>
      </c>
      <c r="M164" s="24">
        <v>0</v>
      </c>
      <c r="N164" s="24">
        <v>0</v>
      </c>
      <c r="O164" s="24">
        <v>0</v>
      </c>
      <c r="P164" s="24">
        <v>0</v>
      </c>
    </row>
    <row r="165" spans="2:16" x14ac:dyDescent="0.25">
      <c r="B165" s="9">
        <v>23</v>
      </c>
      <c r="D165" s="5" t="s">
        <v>435</v>
      </c>
      <c r="E165" s="24">
        <v>13</v>
      </c>
      <c r="F165" s="24">
        <v>0</v>
      </c>
      <c r="G165" s="24">
        <v>0</v>
      </c>
      <c r="H165" s="33">
        <f t="shared" si="8"/>
        <v>0</v>
      </c>
      <c r="I165" s="24">
        <v>0</v>
      </c>
      <c r="J165" s="26">
        <f t="shared" si="9"/>
        <v>0</v>
      </c>
      <c r="K165" s="24">
        <v>0</v>
      </c>
      <c r="L165" s="24">
        <v>0</v>
      </c>
      <c r="M165" s="24">
        <v>0</v>
      </c>
      <c r="N165" s="24">
        <v>0</v>
      </c>
      <c r="O165" s="24">
        <v>0</v>
      </c>
      <c r="P165" s="24">
        <v>0</v>
      </c>
    </row>
    <row r="166" spans="2:16" x14ac:dyDescent="0.25">
      <c r="B166" s="9">
        <v>24</v>
      </c>
      <c r="D166" s="5" t="s">
        <v>1369</v>
      </c>
      <c r="E166" s="24">
        <v>2</v>
      </c>
      <c r="F166" s="24">
        <v>0</v>
      </c>
      <c r="G166" s="24">
        <v>0</v>
      </c>
      <c r="H166" s="33">
        <f t="shared" si="8"/>
        <v>0</v>
      </c>
      <c r="I166" s="24">
        <v>0</v>
      </c>
      <c r="J166" s="26">
        <f t="shared" si="9"/>
        <v>0</v>
      </c>
      <c r="K166" s="24">
        <v>0</v>
      </c>
      <c r="L166" s="24">
        <v>0</v>
      </c>
      <c r="M166" s="24">
        <v>0</v>
      </c>
      <c r="N166" s="24">
        <v>0</v>
      </c>
      <c r="O166" s="24">
        <v>0</v>
      </c>
      <c r="P166" s="24">
        <v>0</v>
      </c>
    </row>
    <row r="169" spans="2:16" x14ac:dyDescent="0.25">
      <c r="C169" s="1" t="s">
        <v>473</v>
      </c>
    </row>
    <row r="171" spans="2:16" x14ac:dyDescent="0.25">
      <c r="D171" s="8" t="s">
        <v>0</v>
      </c>
      <c r="E171" s="18" t="s">
        <v>1</v>
      </c>
      <c r="F171" s="18" t="s">
        <v>2</v>
      </c>
      <c r="G171" s="18" t="s">
        <v>3</v>
      </c>
      <c r="H171" s="32" t="s">
        <v>4</v>
      </c>
      <c r="I171" s="18" t="s">
        <v>5</v>
      </c>
      <c r="J171" s="18" t="s">
        <v>38</v>
      </c>
      <c r="K171" s="18" t="s">
        <v>41</v>
      </c>
      <c r="L171" s="18" t="s">
        <v>42</v>
      </c>
      <c r="M171" s="18" t="s">
        <v>45</v>
      </c>
      <c r="N171" s="18" t="s">
        <v>46</v>
      </c>
      <c r="O171" s="18" t="s">
        <v>44</v>
      </c>
      <c r="P171" s="18" t="s">
        <v>43</v>
      </c>
    </row>
    <row r="172" spans="2:16" x14ac:dyDescent="0.25">
      <c r="B172" s="9">
        <v>1</v>
      </c>
      <c r="D172" s="5" t="s">
        <v>324</v>
      </c>
      <c r="E172" s="24">
        <v>19</v>
      </c>
      <c r="F172" s="24">
        <v>18</v>
      </c>
      <c r="G172" s="24">
        <v>29</v>
      </c>
      <c r="H172" s="33">
        <f t="shared" ref="H172:H193" si="10">F172+G172</f>
        <v>47</v>
      </c>
      <c r="I172" s="24">
        <v>4</v>
      </c>
      <c r="J172" s="26">
        <f t="shared" ref="J172:J193" si="11">H172/E172</f>
        <v>2.4736842105263159</v>
      </c>
      <c r="K172" s="24">
        <v>1</v>
      </c>
      <c r="L172" s="24">
        <v>1</v>
      </c>
      <c r="M172" s="24">
        <v>2</v>
      </c>
      <c r="N172" s="24">
        <v>1</v>
      </c>
      <c r="O172" s="24">
        <v>0</v>
      </c>
      <c r="P172" s="24">
        <v>0</v>
      </c>
    </row>
    <row r="173" spans="2:16" x14ac:dyDescent="0.25">
      <c r="B173" s="9">
        <v>2</v>
      </c>
      <c r="D173" s="5" t="s">
        <v>434</v>
      </c>
      <c r="E173" s="24">
        <v>18</v>
      </c>
      <c r="F173" s="24">
        <v>18</v>
      </c>
      <c r="G173" s="24">
        <v>4</v>
      </c>
      <c r="H173" s="33">
        <f t="shared" si="10"/>
        <v>22</v>
      </c>
      <c r="I173" s="24">
        <v>0</v>
      </c>
      <c r="J173" s="26">
        <f t="shared" si="11"/>
        <v>1.2222222222222223</v>
      </c>
      <c r="K173" s="24">
        <v>2</v>
      </c>
      <c r="L173" s="24">
        <v>0</v>
      </c>
      <c r="M173" s="24">
        <v>3</v>
      </c>
      <c r="N173" s="24">
        <v>0</v>
      </c>
      <c r="O173" s="24">
        <v>0</v>
      </c>
      <c r="P173" s="24">
        <v>0</v>
      </c>
    </row>
    <row r="174" spans="2:16" x14ac:dyDescent="0.25">
      <c r="B174" s="9">
        <v>3</v>
      </c>
      <c r="D174" s="5" t="s">
        <v>13</v>
      </c>
      <c r="E174" s="24">
        <v>7</v>
      </c>
      <c r="F174" s="24">
        <v>17</v>
      </c>
      <c r="G174" s="24">
        <v>5</v>
      </c>
      <c r="H174" s="33">
        <f t="shared" si="10"/>
        <v>22</v>
      </c>
      <c r="I174" s="24">
        <v>4</v>
      </c>
      <c r="J174" s="26">
        <f t="shared" si="11"/>
        <v>3.1428571428571428</v>
      </c>
      <c r="K174" s="24">
        <v>2</v>
      </c>
      <c r="L174" s="24">
        <v>0</v>
      </c>
      <c r="M174" s="24">
        <v>1</v>
      </c>
      <c r="N174" s="24">
        <v>0</v>
      </c>
      <c r="O174" s="24">
        <v>0</v>
      </c>
      <c r="P174" s="24">
        <v>1</v>
      </c>
    </row>
    <row r="175" spans="2:16" x14ac:dyDescent="0.25">
      <c r="B175" s="9">
        <v>4</v>
      </c>
      <c r="D175" s="5" t="s">
        <v>438</v>
      </c>
      <c r="E175" s="24">
        <v>14</v>
      </c>
      <c r="F175" s="24">
        <v>14</v>
      </c>
      <c r="G175" s="24">
        <v>3</v>
      </c>
      <c r="H175" s="33">
        <f t="shared" si="10"/>
        <v>17</v>
      </c>
      <c r="I175" s="24">
        <v>2</v>
      </c>
      <c r="J175" s="26">
        <f t="shared" si="11"/>
        <v>1.2142857142857142</v>
      </c>
      <c r="K175" s="24">
        <v>1</v>
      </c>
      <c r="L175" s="24">
        <v>0</v>
      </c>
      <c r="M175" s="24">
        <v>2</v>
      </c>
      <c r="N175" s="24">
        <v>0</v>
      </c>
      <c r="O175" s="24">
        <v>0</v>
      </c>
      <c r="P175" s="24">
        <v>0</v>
      </c>
    </row>
    <row r="176" spans="2:16" x14ac:dyDescent="0.25">
      <c r="B176" s="9">
        <v>5</v>
      </c>
      <c r="D176" s="5" t="s">
        <v>22</v>
      </c>
      <c r="E176" s="24">
        <v>20</v>
      </c>
      <c r="F176" s="24">
        <v>4</v>
      </c>
      <c r="G176" s="24">
        <v>13</v>
      </c>
      <c r="H176" s="33">
        <f t="shared" si="10"/>
        <v>17</v>
      </c>
      <c r="I176" s="24">
        <v>8</v>
      </c>
      <c r="J176" s="26">
        <f t="shared" si="11"/>
        <v>0.85</v>
      </c>
      <c r="K176" s="24">
        <v>1</v>
      </c>
      <c r="L176" s="24">
        <v>0</v>
      </c>
      <c r="M176" s="24">
        <v>1</v>
      </c>
      <c r="N176" s="24">
        <v>0</v>
      </c>
      <c r="O176" s="24">
        <v>0</v>
      </c>
      <c r="P176" s="24">
        <v>0</v>
      </c>
    </row>
    <row r="177" spans="2:16" x14ac:dyDescent="0.25">
      <c r="B177" s="9">
        <v>6</v>
      </c>
      <c r="D177" s="5" t="s">
        <v>7</v>
      </c>
      <c r="E177" s="24">
        <v>7</v>
      </c>
      <c r="F177" s="24">
        <v>7</v>
      </c>
      <c r="G177" s="24">
        <v>9</v>
      </c>
      <c r="H177" s="33">
        <f t="shared" si="10"/>
        <v>16</v>
      </c>
      <c r="I177" s="24">
        <v>2</v>
      </c>
      <c r="J177" s="26">
        <f t="shared" si="11"/>
        <v>2.2857142857142856</v>
      </c>
      <c r="K177" s="24">
        <v>0</v>
      </c>
      <c r="L177" s="24">
        <v>0</v>
      </c>
      <c r="M177" s="24">
        <v>1</v>
      </c>
      <c r="N177" s="24">
        <v>0</v>
      </c>
      <c r="O177" s="24">
        <v>0</v>
      </c>
      <c r="P177" s="24">
        <v>0</v>
      </c>
    </row>
    <row r="178" spans="2:16" x14ac:dyDescent="0.25">
      <c r="B178" s="9">
        <v>7</v>
      </c>
      <c r="D178" s="5" t="s">
        <v>358</v>
      </c>
      <c r="E178" s="24">
        <v>12</v>
      </c>
      <c r="F178" s="24">
        <v>9</v>
      </c>
      <c r="G178" s="24">
        <v>5</v>
      </c>
      <c r="H178" s="33">
        <f t="shared" si="10"/>
        <v>14</v>
      </c>
      <c r="I178" s="24">
        <v>0</v>
      </c>
      <c r="J178" s="26">
        <f t="shared" si="11"/>
        <v>1.1666666666666667</v>
      </c>
      <c r="K178" s="24">
        <v>1</v>
      </c>
      <c r="L178" s="24">
        <v>0</v>
      </c>
      <c r="M178" s="24">
        <v>0</v>
      </c>
      <c r="N178" s="24">
        <v>0</v>
      </c>
      <c r="O178" s="24">
        <v>0</v>
      </c>
      <c r="P178" s="24">
        <v>0</v>
      </c>
    </row>
    <row r="179" spans="2:16" x14ac:dyDescent="0.25">
      <c r="B179" s="9">
        <v>8</v>
      </c>
      <c r="D179" s="5" t="s">
        <v>225</v>
      </c>
      <c r="E179" s="24">
        <v>9</v>
      </c>
      <c r="F179" s="24">
        <v>1</v>
      </c>
      <c r="G179" s="24">
        <v>8</v>
      </c>
      <c r="H179" s="33">
        <f t="shared" si="10"/>
        <v>9</v>
      </c>
      <c r="I179" s="24">
        <v>0</v>
      </c>
      <c r="J179" s="26">
        <f t="shared" si="11"/>
        <v>1</v>
      </c>
      <c r="K179" s="24">
        <v>0</v>
      </c>
      <c r="L179" s="24">
        <v>0</v>
      </c>
      <c r="M179" s="24">
        <v>0</v>
      </c>
      <c r="N179" s="24">
        <v>0</v>
      </c>
      <c r="O179" s="24">
        <v>0</v>
      </c>
      <c r="P179" s="24">
        <v>0</v>
      </c>
    </row>
    <row r="180" spans="2:16" x14ac:dyDescent="0.25">
      <c r="B180" s="9">
        <v>9</v>
      </c>
      <c r="D180" s="5" t="s">
        <v>12</v>
      </c>
      <c r="E180" s="24">
        <v>8</v>
      </c>
      <c r="F180" s="24">
        <v>3</v>
      </c>
      <c r="G180" s="24">
        <v>4</v>
      </c>
      <c r="H180" s="33">
        <f t="shared" si="10"/>
        <v>7</v>
      </c>
      <c r="I180" s="24">
        <v>6</v>
      </c>
      <c r="J180" s="26">
        <f t="shared" si="11"/>
        <v>0.875</v>
      </c>
      <c r="K180" s="24">
        <v>2</v>
      </c>
      <c r="L180" s="24">
        <v>0</v>
      </c>
      <c r="M180" s="24">
        <v>0</v>
      </c>
      <c r="N180" s="24">
        <v>0</v>
      </c>
      <c r="O180" s="24">
        <v>0</v>
      </c>
      <c r="P180" s="24">
        <v>0</v>
      </c>
    </row>
    <row r="181" spans="2:16" x14ac:dyDescent="0.25">
      <c r="B181" s="9">
        <v>10</v>
      </c>
      <c r="D181" s="5" t="s">
        <v>39</v>
      </c>
      <c r="E181" s="24">
        <v>3</v>
      </c>
      <c r="F181" s="24">
        <v>3</v>
      </c>
      <c r="G181" s="24">
        <v>3</v>
      </c>
      <c r="H181" s="33">
        <f t="shared" si="10"/>
        <v>6</v>
      </c>
      <c r="I181" s="24">
        <v>2</v>
      </c>
      <c r="J181" s="26">
        <f t="shared" si="11"/>
        <v>2</v>
      </c>
      <c r="K181" s="24">
        <v>0</v>
      </c>
      <c r="L181" s="24">
        <v>0</v>
      </c>
      <c r="M181" s="24">
        <v>0</v>
      </c>
      <c r="N181" s="24">
        <v>0</v>
      </c>
      <c r="O181" s="24">
        <v>0</v>
      </c>
      <c r="P181" s="24">
        <v>0</v>
      </c>
    </row>
    <row r="182" spans="2:16" x14ac:dyDescent="0.25">
      <c r="B182" s="9">
        <v>11</v>
      </c>
      <c r="D182" s="5" t="s">
        <v>9</v>
      </c>
      <c r="E182" s="24">
        <v>4</v>
      </c>
      <c r="F182" s="24">
        <v>2</v>
      </c>
      <c r="G182" s="24">
        <v>3</v>
      </c>
      <c r="H182" s="33">
        <f t="shared" si="10"/>
        <v>5</v>
      </c>
      <c r="I182" s="24">
        <v>2</v>
      </c>
      <c r="J182" s="26">
        <f t="shared" si="11"/>
        <v>1.25</v>
      </c>
      <c r="K182" s="24">
        <v>0</v>
      </c>
      <c r="L182" s="24">
        <v>0</v>
      </c>
      <c r="M182" s="24">
        <v>0</v>
      </c>
      <c r="N182" s="24">
        <v>0</v>
      </c>
      <c r="O182" s="24">
        <v>0</v>
      </c>
      <c r="P182" s="24">
        <v>0</v>
      </c>
    </row>
    <row r="183" spans="2:16" x14ac:dyDescent="0.25">
      <c r="B183" s="9">
        <v>12</v>
      </c>
      <c r="D183" s="5" t="s">
        <v>232</v>
      </c>
      <c r="E183" s="24">
        <v>17</v>
      </c>
      <c r="F183" s="24">
        <v>2</v>
      </c>
      <c r="G183" s="24">
        <v>2</v>
      </c>
      <c r="H183" s="33">
        <f t="shared" si="10"/>
        <v>4</v>
      </c>
      <c r="I183" s="24">
        <v>0</v>
      </c>
      <c r="J183" s="26">
        <f t="shared" si="11"/>
        <v>0.23529411764705882</v>
      </c>
      <c r="K183" s="24">
        <v>1</v>
      </c>
      <c r="L183" s="24">
        <v>0</v>
      </c>
      <c r="M183" s="24">
        <v>0</v>
      </c>
      <c r="N183" s="24">
        <v>0</v>
      </c>
      <c r="O183" s="24">
        <v>0</v>
      </c>
      <c r="P183" s="24">
        <v>0</v>
      </c>
    </row>
    <row r="184" spans="2:16" x14ac:dyDescent="0.25">
      <c r="B184" s="9">
        <v>13</v>
      </c>
      <c r="D184" s="5" t="s">
        <v>8</v>
      </c>
      <c r="E184" s="24">
        <v>1</v>
      </c>
      <c r="F184" s="24">
        <v>1</v>
      </c>
      <c r="G184" s="24">
        <v>2</v>
      </c>
      <c r="H184" s="33">
        <f t="shared" si="10"/>
        <v>3</v>
      </c>
      <c r="I184" s="24">
        <v>0</v>
      </c>
      <c r="J184" s="26">
        <f t="shared" si="11"/>
        <v>3</v>
      </c>
      <c r="K184" s="24">
        <v>0</v>
      </c>
      <c r="L184" s="24">
        <v>0</v>
      </c>
      <c r="M184" s="24">
        <v>0</v>
      </c>
      <c r="N184" s="24">
        <v>0</v>
      </c>
      <c r="O184" s="24">
        <v>0</v>
      </c>
      <c r="P184" s="24">
        <v>0</v>
      </c>
    </row>
    <row r="185" spans="2:16" x14ac:dyDescent="0.25">
      <c r="B185" s="9">
        <v>14</v>
      </c>
      <c r="D185" s="5" t="s">
        <v>320</v>
      </c>
      <c r="E185" s="24">
        <v>2</v>
      </c>
      <c r="F185" s="24">
        <v>2</v>
      </c>
      <c r="G185" s="24">
        <v>0</v>
      </c>
      <c r="H185" s="33">
        <f t="shared" si="10"/>
        <v>2</v>
      </c>
      <c r="I185" s="24">
        <v>0</v>
      </c>
      <c r="J185" s="26">
        <f t="shared" si="11"/>
        <v>1</v>
      </c>
      <c r="K185" s="24">
        <v>0</v>
      </c>
      <c r="L185" s="24">
        <v>0</v>
      </c>
      <c r="M185" s="24">
        <v>1</v>
      </c>
      <c r="N185" s="24">
        <v>0</v>
      </c>
      <c r="O185" s="24">
        <v>0</v>
      </c>
      <c r="P185" s="24">
        <v>0</v>
      </c>
    </row>
    <row r="186" spans="2:16" x14ac:dyDescent="0.25">
      <c r="B186" s="9">
        <v>15</v>
      </c>
      <c r="D186" s="5" t="s">
        <v>437</v>
      </c>
      <c r="E186" s="24">
        <v>5</v>
      </c>
      <c r="F186" s="24">
        <v>2</v>
      </c>
      <c r="G186" s="24">
        <v>0</v>
      </c>
      <c r="H186" s="33">
        <f t="shared" si="10"/>
        <v>2</v>
      </c>
      <c r="I186" s="24">
        <v>0</v>
      </c>
      <c r="J186" s="26">
        <f t="shared" si="11"/>
        <v>0.4</v>
      </c>
      <c r="K186" s="24">
        <v>0</v>
      </c>
      <c r="L186" s="24">
        <v>0</v>
      </c>
      <c r="M186" s="24">
        <v>0</v>
      </c>
      <c r="N186" s="24">
        <v>0</v>
      </c>
      <c r="O186" s="24">
        <v>0</v>
      </c>
      <c r="P186" s="24">
        <v>0</v>
      </c>
    </row>
    <row r="187" spans="2:16" x14ac:dyDescent="0.25">
      <c r="B187" s="9">
        <v>16</v>
      </c>
      <c r="D187" s="5" t="s">
        <v>255</v>
      </c>
      <c r="E187" s="24">
        <v>17</v>
      </c>
      <c r="F187" s="24">
        <v>2</v>
      </c>
      <c r="G187" s="24">
        <v>0</v>
      </c>
      <c r="H187" s="33">
        <f t="shared" si="10"/>
        <v>2</v>
      </c>
      <c r="I187" s="24">
        <v>0</v>
      </c>
      <c r="J187" s="26">
        <f t="shared" si="11"/>
        <v>0.11764705882352941</v>
      </c>
      <c r="K187" s="24">
        <v>0</v>
      </c>
      <c r="L187" s="24">
        <v>0</v>
      </c>
      <c r="M187" s="24">
        <v>1</v>
      </c>
      <c r="N187" s="24">
        <v>0</v>
      </c>
      <c r="O187" s="24">
        <v>0</v>
      </c>
      <c r="P187" s="24">
        <v>0</v>
      </c>
    </row>
    <row r="188" spans="2:16" x14ac:dyDescent="0.25">
      <c r="B188" s="9">
        <v>17</v>
      </c>
      <c r="D188" s="5" t="s">
        <v>16</v>
      </c>
      <c r="E188" s="24">
        <v>2</v>
      </c>
      <c r="F188" s="24">
        <v>1</v>
      </c>
      <c r="G188" s="24">
        <v>0</v>
      </c>
      <c r="H188" s="33">
        <f t="shared" si="10"/>
        <v>1</v>
      </c>
      <c r="I188" s="24">
        <v>0</v>
      </c>
      <c r="J188" s="26">
        <f t="shared" si="11"/>
        <v>0.5</v>
      </c>
      <c r="K188" s="24">
        <v>0</v>
      </c>
      <c r="L188" s="24">
        <v>0</v>
      </c>
      <c r="M188" s="24">
        <v>1</v>
      </c>
      <c r="N188" s="24">
        <v>0</v>
      </c>
      <c r="O188" s="24">
        <v>0</v>
      </c>
      <c r="P188" s="24">
        <v>0</v>
      </c>
    </row>
    <row r="189" spans="2:16" x14ac:dyDescent="0.25">
      <c r="B189" s="9">
        <v>18</v>
      </c>
      <c r="D189" s="5" t="s">
        <v>36</v>
      </c>
      <c r="E189" s="24">
        <v>7</v>
      </c>
      <c r="F189" s="24">
        <v>0</v>
      </c>
      <c r="G189" s="24">
        <v>1</v>
      </c>
      <c r="H189" s="33">
        <f t="shared" si="10"/>
        <v>1</v>
      </c>
      <c r="I189" s="24">
        <v>0</v>
      </c>
      <c r="J189" s="26">
        <f t="shared" si="11"/>
        <v>0.14285714285714285</v>
      </c>
      <c r="K189" s="24">
        <v>0</v>
      </c>
      <c r="L189" s="24">
        <v>0</v>
      </c>
      <c r="M189" s="24">
        <v>0</v>
      </c>
      <c r="N189" s="24">
        <v>0</v>
      </c>
      <c r="O189" s="24">
        <v>0</v>
      </c>
      <c r="P189" s="24">
        <v>0</v>
      </c>
    </row>
    <row r="190" spans="2:16" x14ac:dyDescent="0.25">
      <c r="B190" s="9">
        <v>19</v>
      </c>
      <c r="D190" s="5" t="s">
        <v>15</v>
      </c>
      <c r="E190" s="24">
        <v>8</v>
      </c>
      <c r="F190" s="24">
        <v>0</v>
      </c>
      <c r="G190" s="24">
        <v>0</v>
      </c>
      <c r="H190" s="33">
        <f t="shared" si="10"/>
        <v>0</v>
      </c>
      <c r="I190" s="24">
        <v>2</v>
      </c>
      <c r="J190" s="26">
        <f t="shared" si="11"/>
        <v>0</v>
      </c>
      <c r="K190" s="24">
        <v>0</v>
      </c>
      <c r="L190" s="24">
        <v>0</v>
      </c>
      <c r="M190" s="24">
        <v>0</v>
      </c>
      <c r="N190" s="24">
        <v>0</v>
      </c>
      <c r="O190" s="24">
        <v>0</v>
      </c>
      <c r="P190" s="24">
        <v>0</v>
      </c>
    </row>
    <row r="191" spans="2:16" x14ac:dyDescent="0.25">
      <c r="B191" s="9">
        <v>20</v>
      </c>
      <c r="D191" s="5" t="s">
        <v>435</v>
      </c>
      <c r="E191" s="24">
        <v>20</v>
      </c>
      <c r="F191" s="24">
        <v>0</v>
      </c>
      <c r="G191" s="24">
        <v>0</v>
      </c>
      <c r="H191" s="33">
        <f t="shared" si="10"/>
        <v>0</v>
      </c>
      <c r="I191" s="24">
        <v>0</v>
      </c>
      <c r="J191" s="26">
        <f t="shared" si="11"/>
        <v>0</v>
      </c>
      <c r="K191" s="24">
        <v>0</v>
      </c>
      <c r="L191" s="24">
        <v>0</v>
      </c>
      <c r="M191" s="24">
        <v>0</v>
      </c>
      <c r="N191" s="24">
        <v>0</v>
      </c>
      <c r="O191" s="24">
        <v>0</v>
      </c>
      <c r="P191" s="24">
        <v>0</v>
      </c>
    </row>
    <row r="192" spans="2:16" x14ac:dyDescent="0.25">
      <c r="B192" s="9">
        <v>21</v>
      </c>
      <c r="D192" s="5" t="s">
        <v>446</v>
      </c>
      <c r="E192" s="24">
        <v>1</v>
      </c>
      <c r="F192" s="24">
        <v>0</v>
      </c>
      <c r="G192" s="24">
        <v>0</v>
      </c>
      <c r="H192" s="33">
        <f t="shared" si="10"/>
        <v>0</v>
      </c>
      <c r="I192" s="24">
        <v>0</v>
      </c>
      <c r="J192" s="26">
        <f t="shared" si="11"/>
        <v>0</v>
      </c>
      <c r="K192" s="24">
        <v>0</v>
      </c>
      <c r="L192" s="24">
        <v>0</v>
      </c>
      <c r="M192" s="24">
        <v>0</v>
      </c>
      <c r="N192" s="24">
        <v>0</v>
      </c>
      <c r="O192" s="24">
        <v>0</v>
      </c>
      <c r="P192" s="24">
        <v>0</v>
      </c>
    </row>
    <row r="193" spans="2:16" x14ac:dyDescent="0.25">
      <c r="B193" s="9">
        <v>22</v>
      </c>
      <c r="D193" s="5" t="s">
        <v>227</v>
      </c>
      <c r="E193" s="24">
        <v>1</v>
      </c>
      <c r="F193" s="24">
        <v>0</v>
      </c>
      <c r="G193" s="24">
        <v>0</v>
      </c>
      <c r="H193" s="33">
        <f t="shared" si="10"/>
        <v>0</v>
      </c>
      <c r="I193" s="24">
        <v>0</v>
      </c>
      <c r="J193" s="26">
        <f t="shared" si="11"/>
        <v>0</v>
      </c>
      <c r="K193" s="24">
        <v>0</v>
      </c>
      <c r="L193" s="24">
        <v>0</v>
      </c>
      <c r="M193" s="24">
        <v>0</v>
      </c>
      <c r="N193" s="24">
        <v>0</v>
      </c>
      <c r="O193" s="24">
        <v>0</v>
      </c>
      <c r="P193" s="24">
        <v>0</v>
      </c>
    </row>
    <row r="196" spans="2:16" x14ac:dyDescent="0.25">
      <c r="C196" s="1" t="s">
        <v>403</v>
      </c>
    </row>
    <row r="198" spans="2:16" x14ac:dyDescent="0.25">
      <c r="D198" s="8" t="s">
        <v>0</v>
      </c>
      <c r="E198" s="18" t="s">
        <v>1</v>
      </c>
      <c r="F198" s="18" t="s">
        <v>2</v>
      </c>
      <c r="G198" s="18" t="s">
        <v>3</v>
      </c>
      <c r="H198" s="32" t="s">
        <v>4</v>
      </c>
      <c r="I198" s="18" t="s">
        <v>5</v>
      </c>
      <c r="J198" s="18" t="s">
        <v>38</v>
      </c>
      <c r="K198" s="18" t="s">
        <v>41</v>
      </c>
      <c r="L198" s="18" t="s">
        <v>42</v>
      </c>
      <c r="M198" s="18" t="s">
        <v>45</v>
      </c>
      <c r="N198" s="18" t="s">
        <v>46</v>
      </c>
      <c r="O198" s="18" t="s">
        <v>44</v>
      </c>
      <c r="P198" s="18" t="s">
        <v>43</v>
      </c>
    </row>
    <row r="199" spans="2:16" x14ac:dyDescent="0.25">
      <c r="B199" s="9">
        <v>1</v>
      </c>
      <c r="D199" s="5" t="s">
        <v>434</v>
      </c>
      <c r="E199" s="24">
        <v>20</v>
      </c>
      <c r="F199" s="24">
        <v>16</v>
      </c>
      <c r="G199" s="24">
        <v>6</v>
      </c>
      <c r="H199" s="33">
        <f t="shared" ref="H199:H226" si="12">F199+G199</f>
        <v>22</v>
      </c>
      <c r="I199" s="24">
        <v>2</v>
      </c>
      <c r="J199" s="26">
        <f t="shared" ref="J199:J226" si="13">H199/E199</f>
        <v>1.1000000000000001</v>
      </c>
      <c r="K199" s="24">
        <v>1</v>
      </c>
      <c r="L199" s="24">
        <v>0</v>
      </c>
      <c r="M199" s="24">
        <v>0</v>
      </c>
      <c r="N199" s="24">
        <v>0</v>
      </c>
      <c r="O199" s="24">
        <v>0</v>
      </c>
      <c r="P199" s="24">
        <v>0</v>
      </c>
    </row>
    <row r="200" spans="2:16" x14ac:dyDescent="0.25">
      <c r="B200" s="9">
        <v>2</v>
      </c>
      <c r="D200" s="5" t="s">
        <v>438</v>
      </c>
      <c r="E200" s="24">
        <v>14</v>
      </c>
      <c r="F200" s="24">
        <v>11</v>
      </c>
      <c r="G200" s="24">
        <v>4</v>
      </c>
      <c r="H200" s="33">
        <f t="shared" si="12"/>
        <v>15</v>
      </c>
      <c r="I200" s="24">
        <v>5</v>
      </c>
      <c r="J200" s="26">
        <f t="shared" si="13"/>
        <v>1.0714285714285714</v>
      </c>
      <c r="K200" s="24">
        <v>0</v>
      </c>
      <c r="L200" s="24">
        <v>0</v>
      </c>
      <c r="M200" s="24">
        <v>1</v>
      </c>
      <c r="N200" s="24">
        <v>0</v>
      </c>
      <c r="O200" s="24">
        <v>0</v>
      </c>
      <c r="P200" s="24">
        <v>0</v>
      </c>
    </row>
    <row r="201" spans="2:16" x14ac:dyDescent="0.25">
      <c r="B201" s="9">
        <v>3</v>
      </c>
      <c r="D201" s="5" t="s">
        <v>324</v>
      </c>
      <c r="E201" s="24">
        <v>11</v>
      </c>
      <c r="F201" s="24">
        <v>9</v>
      </c>
      <c r="G201" s="24">
        <v>4</v>
      </c>
      <c r="H201" s="33">
        <f t="shared" si="12"/>
        <v>13</v>
      </c>
      <c r="I201" s="24">
        <v>4</v>
      </c>
      <c r="J201" s="26">
        <f t="shared" si="13"/>
        <v>1.1818181818181819</v>
      </c>
      <c r="K201" s="24">
        <v>0</v>
      </c>
      <c r="L201" s="24">
        <v>0</v>
      </c>
      <c r="M201" s="24">
        <v>0</v>
      </c>
      <c r="N201" s="24">
        <v>0</v>
      </c>
      <c r="O201" s="24">
        <v>0</v>
      </c>
      <c r="P201" s="24">
        <v>0</v>
      </c>
    </row>
    <row r="202" spans="2:16" x14ac:dyDescent="0.25">
      <c r="B202" s="9">
        <v>4</v>
      </c>
      <c r="D202" s="5" t="s">
        <v>255</v>
      </c>
      <c r="E202" s="24">
        <v>20</v>
      </c>
      <c r="F202" s="24">
        <v>9</v>
      </c>
      <c r="G202" s="24">
        <v>4</v>
      </c>
      <c r="H202" s="33">
        <f t="shared" si="12"/>
        <v>13</v>
      </c>
      <c r="I202" s="24">
        <v>2</v>
      </c>
      <c r="J202" s="26">
        <f t="shared" si="13"/>
        <v>0.65</v>
      </c>
      <c r="K202" s="24">
        <v>1</v>
      </c>
      <c r="L202" s="24">
        <v>0</v>
      </c>
      <c r="M202" s="24">
        <v>1</v>
      </c>
      <c r="N202" s="24">
        <v>0</v>
      </c>
      <c r="O202" s="24">
        <v>0</v>
      </c>
      <c r="P202" s="24">
        <v>0</v>
      </c>
    </row>
    <row r="203" spans="2:16" x14ac:dyDescent="0.25">
      <c r="B203" s="9">
        <v>5</v>
      </c>
      <c r="D203" s="5" t="s">
        <v>22</v>
      </c>
      <c r="E203" s="24">
        <v>18</v>
      </c>
      <c r="F203" s="24">
        <v>4</v>
      </c>
      <c r="G203" s="24">
        <v>7</v>
      </c>
      <c r="H203" s="33">
        <f t="shared" si="12"/>
        <v>11</v>
      </c>
      <c r="I203" s="24">
        <v>6</v>
      </c>
      <c r="J203" s="26">
        <f t="shared" si="13"/>
        <v>0.61111111111111116</v>
      </c>
      <c r="K203" s="24">
        <v>1</v>
      </c>
      <c r="L203" s="24">
        <v>0</v>
      </c>
      <c r="M203" s="24">
        <v>0</v>
      </c>
      <c r="N203" s="24">
        <v>0</v>
      </c>
      <c r="O203" s="24">
        <v>0</v>
      </c>
      <c r="P203" s="24">
        <v>0</v>
      </c>
    </row>
    <row r="204" spans="2:16" x14ac:dyDescent="0.25">
      <c r="B204" s="9">
        <v>6</v>
      </c>
      <c r="D204" s="5" t="s">
        <v>36</v>
      </c>
      <c r="E204" s="24">
        <v>18</v>
      </c>
      <c r="F204" s="24">
        <v>7</v>
      </c>
      <c r="G204" s="24">
        <v>3</v>
      </c>
      <c r="H204" s="33">
        <f t="shared" si="12"/>
        <v>10</v>
      </c>
      <c r="I204" s="24">
        <v>0</v>
      </c>
      <c r="J204" s="26">
        <f t="shared" si="13"/>
        <v>0.55555555555555558</v>
      </c>
      <c r="K204" s="24">
        <v>0</v>
      </c>
      <c r="L204" s="24">
        <v>0</v>
      </c>
      <c r="M204" s="24">
        <v>0</v>
      </c>
      <c r="N204" s="24">
        <v>0</v>
      </c>
      <c r="O204" s="24">
        <v>0</v>
      </c>
      <c r="P204" s="24">
        <v>0</v>
      </c>
    </row>
    <row r="205" spans="2:16" x14ac:dyDescent="0.25">
      <c r="B205" s="9">
        <v>7</v>
      </c>
      <c r="D205" s="5" t="s">
        <v>358</v>
      </c>
      <c r="E205" s="24">
        <v>7</v>
      </c>
      <c r="F205" s="24">
        <v>2</v>
      </c>
      <c r="G205" s="24">
        <v>5</v>
      </c>
      <c r="H205" s="33">
        <f t="shared" si="12"/>
        <v>7</v>
      </c>
      <c r="I205" s="24">
        <v>0</v>
      </c>
      <c r="J205" s="26">
        <f t="shared" si="13"/>
        <v>1</v>
      </c>
      <c r="K205" s="24">
        <v>0</v>
      </c>
      <c r="L205" s="24">
        <v>1</v>
      </c>
      <c r="M205" s="24">
        <v>1</v>
      </c>
      <c r="N205" s="24">
        <v>0</v>
      </c>
      <c r="O205" s="24">
        <v>0</v>
      </c>
      <c r="P205" s="24">
        <v>0</v>
      </c>
    </row>
    <row r="206" spans="2:16" x14ac:dyDescent="0.25">
      <c r="B206" s="9">
        <v>8</v>
      </c>
      <c r="D206" s="5" t="s">
        <v>13</v>
      </c>
      <c r="E206" s="24">
        <v>2</v>
      </c>
      <c r="F206" s="24">
        <v>6</v>
      </c>
      <c r="G206" s="24">
        <v>0</v>
      </c>
      <c r="H206" s="33">
        <f t="shared" si="12"/>
        <v>6</v>
      </c>
      <c r="I206" s="24">
        <v>0</v>
      </c>
      <c r="J206" s="26">
        <f t="shared" si="13"/>
        <v>3</v>
      </c>
      <c r="K206" s="24">
        <v>0</v>
      </c>
      <c r="L206" s="24">
        <v>1</v>
      </c>
      <c r="M206" s="24">
        <v>2</v>
      </c>
      <c r="N206" s="24">
        <v>0</v>
      </c>
      <c r="O206" s="24">
        <v>1</v>
      </c>
      <c r="P206" s="24">
        <v>0</v>
      </c>
    </row>
    <row r="207" spans="2:16" x14ac:dyDescent="0.25">
      <c r="B207" s="9">
        <v>9</v>
      </c>
      <c r="D207" s="5" t="s">
        <v>7</v>
      </c>
      <c r="E207" s="24">
        <v>5</v>
      </c>
      <c r="F207" s="24">
        <v>2</v>
      </c>
      <c r="G207" s="24">
        <v>3</v>
      </c>
      <c r="H207" s="33">
        <f t="shared" si="12"/>
        <v>5</v>
      </c>
      <c r="I207" s="24">
        <v>0</v>
      </c>
      <c r="J207" s="26">
        <f t="shared" si="13"/>
        <v>1</v>
      </c>
      <c r="K207" s="24">
        <v>0</v>
      </c>
      <c r="L207" s="24">
        <v>0</v>
      </c>
      <c r="M207" s="24">
        <v>0</v>
      </c>
      <c r="N207" s="24">
        <v>0</v>
      </c>
      <c r="O207" s="24">
        <v>0</v>
      </c>
      <c r="P207" s="24">
        <v>0</v>
      </c>
    </row>
    <row r="208" spans="2:16" x14ac:dyDescent="0.25">
      <c r="B208" s="9">
        <v>10</v>
      </c>
      <c r="D208" s="5" t="s">
        <v>437</v>
      </c>
      <c r="E208" s="24">
        <v>6</v>
      </c>
      <c r="F208" s="24">
        <v>2</v>
      </c>
      <c r="G208" s="24">
        <v>3</v>
      </c>
      <c r="H208" s="33">
        <f t="shared" si="12"/>
        <v>5</v>
      </c>
      <c r="I208" s="24">
        <v>4</v>
      </c>
      <c r="J208" s="26">
        <f t="shared" si="13"/>
        <v>0.83333333333333337</v>
      </c>
      <c r="K208" s="24">
        <v>0</v>
      </c>
      <c r="L208" s="24">
        <v>0</v>
      </c>
      <c r="M208" s="24">
        <v>0</v>
      </c>
      <c r="N208" s="24">
        <v>0</v>
      </c>
      <c r="O208" s="24">
        <v>0</v>
      </c>
      <c r="P208" s="24">
        <v>0</v>
      </c>
    </row>
    <row r="209" spans="2:16" x14ac:dyDescent="0.25">
      <c r="B209" s="9">
        <v>11</v>
      </c>
      <c r="D209" s="5" t="s">
        <v>446</v>
      </c>
      <c r="E209" s="24">
        <v>10</v>
      </c>
      <c r="F209" s="24">
        <v>2</v>
      </c>
      <c r="G209" s="24">
        <v>3</v>
      </c>
      <c r="H209" s="33">
        <f t="shared" si="12"/>
        <v>5</v>
      </c>
      <c r="I209" s="24">
        <v>0</v>
      </c>
      <c r="J209" s="26">
        <f t="shared" si="13"/>
        <v>0.5</v>
      </c>
      <c r="K209" s="24">
        <v>0</v>
      </c>
      <c r="L209" s="24">
        <v>0</v>
      </c>
      <c r="M209" s="24">
        <v>1</v>
      </c>
      <c r="N209" s="24">
        <v>0</v>
      </c>
      <c r="O209" s="24">
        <v>0</v>
      </c>
      <c r="P209" s="24">
        <v>0</v>
      </c>
    </row>
    <row r="210" spans="2:16" x14ac:dyDescent="0.25">
      <c r="B210" s="9">
        <v>12</v>
      </c>
      <c r="D210" s="5" t="s">
        <v>17</v>
      </c>
      <c r="E210" s="24">
        <v>12</v>
      </c>
      <c r="F210" s="24">
        <v>2</v>
      </c>
      <c r="G210" s="24">
        <v>3</v>
      </c>
      <c r="H210" s="33">
        <f t="shared" si="12"/>
        <v>5</v>
      </c>
      <c r="I210" s="24">
        <v>0</v>
      </c>
      <c r="J210" s="26">
        <f t="shared" si="13"/>
        <v>0.41666666666666669</v>
      </c>
      <c r="K210" s="24">
        <v>0</v>
      </c>
      <c r="L210" s="24">
        <v>0</v>
      </c>
      <c r="M210" s="24">
        <v>0</v>
      </c>
      <c r="N210" s="24">
        <v>0</v>
      </c>
      <c r="O210" s="24">
        <v>0</v>
      </c>
      <c r="P210" s="24">
        <v>0</v>
      </c>
    </row>
    <row r="211" spans="2:16" x14ac:dyDescent="0.25">
      <c r="B211" s="9">
        <v>13</v>
      </c>
      <c r="D211" s="5" t="s">
        <v>232</v>
      </c>
      <c r="E211" s="24">
        <v>16</v>
      </c>
      <c r="F211" s="24">
        <v>2</v>
      </c>
      <c r="G211" s="24">
        <v>3</v>
      </c>
      <c r="H211" s="33">
        <f t="shared" si="12"/>
        <v>5</v>
      </c>
      <c r="I211" s="24">
        <v>8</v>
      </c>
      <c r="J211" s="26">
        <f t="shared" si="13"/>
        <v>0.3125</v>
      </c>
      <c r="K211" s="24">
        <v>0</v>
      </c>
      <c r="L211" s="24">
        <v>0</v>
      </c>
      <c r="M211" s="24">
        <v>0</v>
      </c>
      <c r="N211" s="24">
        <v>0</v>
      </c>
      <c r="O211" s="24">
        <v>0</v>
      </c>
      <c r="P211" s="24">
        <v>0</v>
      </c>
    </row>
    <row r="212" spans="2:16" x14ac:dyDescent="0.25">
      <c r="B212" s="9">
        <v>14</v>
      </c>
      <c r="D212" s="5" t="s">
        <v>9</v>
      </c>
      <c r="E212" s="24">
        <v>1</v>
      </c>
      <c r="F212" s="24">
        <v>1</v>
      </c>
      <c r="G212" s="24">
        <v>4</v>
      </c>
      <c r="H212" s="33">
        <f t="shared" si="12"/>
        <v>5</v>
      </c>
      <c r="I212" s="24">
        <v>0</v>
      </c>
      <c r="J212" s="26">
        <f t="shared" si="13"/>
        <v>5</v>
      </c>
      <c r="K212" s="24">
        <v>0</v>
      </c>
      <c r="L212" s="24">
        <v>0</v>
      </c>
      <c r="M212" s="24">
        <v>1</v>
      </c>
      <c r="N212" s="24">
        <v>0</v>
      </c>
      <c r="O212" s="24">
        <v>0</v>
      </c>
      <c r="P212" s="24">
        <v>0</v>
      </c>
    </row>
    <row r="213" spans="2:16" x14ac:dyDescent="0.25">
      <c r="B213" s="9">
        <v>15</v>
      </c>
      <c r="D213" s="5" t="s">
        <v>225</v>
      </c>
      <c r="E213" s="24">
        <v>6</v>
      </c>
      <c r="F213" s="24">
        <v>2</v>
      </c>
      <c r="G213" s="24">
        <v>2</v>
      </c>
      <c r="H213" s="33">
        <f t="shared" si="12"/>
        <v>4</v>
      </c>
      <c r="I213" s="24">
        <v>2</v>
      </c>
      <c r="J213" s="26">
        <f t="shared" si="13"/>
        <v>0.66666666666666663</v>
      </c>
      <c r="K213" s="24">
        <v>0</v>
      </c>
      <c r="L213" s="24">
        <v>0</v>
      </c>
      <c r="M213" s="24">
        <v>1</v>
      </c>
      <c r="N213" s="24">
        <v>0</v>
      </c>
      <c r="O213" s="24">
        <v>0</v>
      </c>
      <c r="P213" s="24">
        <v>0</v>
      </c>
    </row>
    <row r="214" spans="2:16" x14ac:dyDescent="0.25">
      <c r="B214" s="9">
        <v>16</v>
      </c>
      <c r="D214" s="5" t="s">
        <v>30</v>
      </c>
      <c r="E214" s="24">
        <v>2</v>
      </c>
      <c r="F214" s="24">
        <v>0</v>
      </c>
      <c r="G214" s="24">
        <v>4</v>
      </c>
      <c r="H214" s="33">
        <f t="shared" si="12"/>
        <v>4</v>
      </c>
      <c r="I214" s="24">
        <v>2</v>
      </c>
      <c r="J214" s="26">
        <f t="shared" si="13"/>
        <v>2</v>
      </c>
      <c r="K214" s="24">
        <v>0</v>
      </c>
      <c r="L214" s="24">
        <v>0</v>
      </c>
      <c r="M214" s="24">
        <v>0</v>
      </c>
      <c r="N214" s="24">
        <v>0</v>
      </c>
      <c r="O214" s="24">
        <v>0</v>
      </c>
      <c r="P214" s="24">
        <v>0</v>
      </c>
    </row>
    <row r="215" spans="2:16" x14ac:dyDescent="0.25">
      <c r="B215" s="9">
        <v>17</v>
      </c>
      <c r="D215" s="5" t="s">
        <v>227</v>
      </c>
      <c r="E215" s="24">
        <v>15</v>
      </c>
      <c r="F215" s="24">
        <v>0</v>
      </c>
      <c r="G215" s="24">
        <v>3</v>
      </c>
      <c r="H215" s="33">
        <f t="shared" si="12"/>
        <v>3</v>
      </c>
      <c r="I215" s="24">
        <v>5</v>
      </c>
      <c r="J215" s="26">
        <f t="shared" si="13"/>
        <v>0.2</v>
      </c>
      <c r="K215" s="24">
        <v>0</v>
      </c>
      <c r="L215" s="24">
        <v>0</v>
      </c>
      <c r="M215" s="24">
        <v>0</v>
      </c>
      <c r="N215" s="24">
        <v>0</v>
      </c>
      <c r="O215" s="24">
        <v>0</v>
      </c>
      <c r="P215" s="24">
        <v>0</v>
      </c>
    </row>
    <row r="216" spans="2:16" x14ac:dyDescent="0.25">
      <c r="B216" s="9">
        <v>18</v>
      </c>
      <c r="D216" s="5" t="s">
        <v>15</v>
      </c>
      <c r="E216" s="24">
        <v>4</v>
      </c>
      <c r="F216" s="24">
        <v>1</v>
      </c>
      <c r="G216" s="24">
        <v>1</v>
      </c>
      <c r="H216" s="33">
        <f t="shared" si="12"/>
        <v>2</v>
      </c>
      <c r="I216" s="24">
        <v>2</v>
      </c>
      <c r="J216" s="26">
        <f t="shared" si="13"/>
        <v>0.5</v>
      </c>
      <c r="K216" s="24">
        <v>0</v>
      </c>
      <c r="L216" s="24">
        <v>0</v>
      </c>
      <c r="M216" s="24">
        <v>1</v>
      </c>
      <c r="N216" s="24">
        <v>0</v>
      </c>
      <c r="O216" s="24">
        <v>0</v>
      </c>
      <c r="P216" s="24">
        <v>0</v>
      </c>
    </row>
    <row r="217" spans="2:16" x14ac:dyDescent="0.25">
      <c r="B217" s="9">
        <v>19</v>
      </c>
      <c r="D217" s="5" t="s">
        <v>16</v>
      </c>
      <c r="E217" s="24">
        <v>1</v>
      </c>
      <c r="F217" s="24">
        <v>0</v>
      </c>
      <c r="G217" s="24">
        <v>2</v>
      </c>
      <c r="H217" s="33">
        <f t="shared" si="12"/>
        <v>2</v>
      </c>
      <c r="I217" s="24">
        <v>0</v>
      </c>
      <c r="J217" s="26">
        <f t="shared" si="13"/>
        <v>2</v>
      </c>
      <c r="K217" s="24">
        <v>0</v>
      </c>
      <c r="L217" s="24">
        <v>0</v>
      </c>
      <c r="M217" s="24">
        <v>0</v>
      </c>
      <c r="N217" s="24">
        <v>0</v>
      </c>
      <c r="O217" s="24">
        <v>0</v>
      </c>
      <c r="P217" s="24">
        <v>0</v>
      </c>
    </row>
    <row r="218" spans="2:16" x14ac:dyDescent="0.25">
      <c r="B218" s="9">
        <v>20</v>
      </c>
      <c r="D218" s="5" t="s">
        <v>39</v>
      </c>
      <c r="E218" s="24">
        <v>1</v>
      </c>
      <c r="F218" s="24">
        <v>1</v>
      </c>
      <c r="G218" s="24">
        <v>0</v>
      </c>
      <c r="H218" s="33">
        <f t="shared" si="12"/>
        <v>1</v>
      </c>
      <c r="I218" s="24">
        <v>0</v>
      </c>
      <c r="J218" s="26">
        <f t="shared" si="13"/>
        <v>1</v>
      </c>
      <c r="K218" s="24">
        <v>0</v>
      </c>
      <c r="L218" s="24">
        <v>0</v>
      </c>
      <c r="M218" s="24">
        <v>0</v>
      </c>
      <c r="N218" s="24">
        <v>0</v>
      </c>
      <c r="O218" s="24">
        <v>0</v>
      </c>
      <c r="P218" s="24">
        <v>0</v>
      </c>
    </row>
    <row r="219" spans="2:16" x14ac:dyDescent="0.25">
      <c r="B219" s="9">
        <v>21</v>
      </c>
      <c r="D219" s="5" t="s">
        <v>8</v>
      </c>
      <c r="E219" s="24">
        <v>1</v>
      </c>
      <c r="F219" s="24">
        <v>1</v>
      </c>
      <c r="G219" s="24">
        <v>0</v>
      </c>
      <c r="H219" s="33">
        <f t="shared" si="12"/>
        <v>1</v>
      </c>
      <c r="I219" s="24">
        <v>0</v>
      </c>
      <c r="J219" s="26">
        <f t="shared" si="13"/>
        <v>1</v>
      </c>
      <c r="K219" s="24">
        <v>0</v>
      </c>
      <c r="L219" s="24">
        <v>0</v>
      </c>
      <c r="M219" s="24">
        <v>0</v>
      </c>
      <c r="N219" s="24">
        <v>0</v>
      </c>
      <c r="O219" s="24">
        <v>0</v>
      </c>
      <c r="P219" s="24">
        <v>0</v>
      </c>
    </row>
    <row r="220" spans="2:16" x14ac:dyDescent="0.25">
      <c r="B220" s="9">
        <v>22</v>
      </c>
      <c r="D220" s="5" t="s">
        <v>10</v>
      </c>
      <c r="E220" s="24">
        <v>3</v>
      </c>
      <c r="F220" s="24">
        <v>0</v>
      </c>
      <c r="G220" s="24">
        <v>1</v>
      </c>
      <c r="H220" s="33">
        <f t="shared" si="12"/>
        <v>1</v>
      </c>
      <c r="I220" s="24">
        <v>0</v>
      </c>
      <c r="J220" s="26">
        <f t="shared" si="13"/>
        <v>0.33333333333333331</v>
      </c>
      <c r="K220" s="24">
        <v>0</v>
      </c>
      <c r="L220" s="24">
        <v>0</v>
      </c>
      <c r="M220" s="24">
        <v>0</v>
      </c>
      <c r="N220" s="24">
        <v>0</v>
      </c>
      <c r="O220" s="24">
        <v>0</v>
      </c>
      <c r="P220" s="24">
        <v>0</v>
      </c>
    </row>
    <row r="221" spans="2:16" x14ac:dyDescent="0.25">
      <c r="B221" s="9">
        <v>23</v>
      </c>
      <c r="D221" s="5" t="s">
        <v>226</v>
      </c>
      <c r="E221" s="24">
        <v>7</v>
      </c>
      <c r="F221" s="24">
        <v>0</v>
      </c>
      <c r="G221" s="24">
        <v>1</v>
      </c>
      <c r="H221" s="33">
        <f t="shared" si="12"/>
        <v>1</v>
      </c>
      <c r="I221" s="24">
        <v>0</v>
      </c>
      <c r="J221" s="26">
        <f t="shared" si="13"/>
        <v>0.14285714285714285</v>
      </c>
      <c r="K221" s="24">
        <v>0</v>
      </c>
      <c r="L221" s="24">
        <v>0</v>
      </c>
      <c r="M221" s="24">
        <v>0</v>
      </c>
      <c r="N221" s="24">
        <v>0</v>
      </c>
      <c r="O221" s="24">
        <v>0</v>
      </c>
      <c r="P221" s="24">
        <v>0</v>
      </c>
    </row>
    <row r="222" spans="2:16" x14ac:dyDescent="0.25">
      <c r="B222" s="9">
        <v>24</v>
      </c>
      <c r="D222" s="5" t="s">
        <v>35</v>
      </c>
      <c r="E222" s="24">
        <v>12</v>
      </c>
      <c r="F222" s="24">
        <v>0</v>
      </c>
      <c r="G222" s="24">
        <v>1</v>
      </c>
      <c r="H222" s="33">
        <f t="shared" si="12"/>
        <v>1</v>
      </c>
      <c r="I222" s="24">
        <v>2</v>
      </c>
      <c r="J222" s="26">
        <f t="shared" si="13"/>
        <v>8.3333333333333329E-2</v>
      </c>
      <c r="K222" s="24">
        <v>0</v>
      </c>
      <c r="L222" s="24">
        <v>0</v>
      </c>
      <c r="M222" s="24">
        <v>0</v>
      </c>
      <c r="N222" s="24">
        <v>0</v>
      </c>
      <c r="O222" s="24">
        <v>0</v>
      </c>
      <c r="P222" s="24">
        <v>0</v>
      </c>
    </row>
    <row r="223" spans="2:16" x14ac:dyDescent="0.25">
      <c r="B223" s="9">
        <v>25</v>
      </c>
      <c r="D223" s="5" t="s">
        <v>435</v>
      </c>
      <c r="E223" s="24">
        <v>17</v>
      </c>
      <c r="F223" s="24">
        <v>0</v>
      </c>
      <c r="G223" s="24">
        <v>1</v>
      </c>
      <c r="H223" s="33">
        <f t="shared" si="12"/>
        <v>1</v>
      </c>
      <c r="I223" s="24">
        <v>0</v>
      </c>
      <c r="J223" s="26">
        <f t="shared" si="13"/>
        <v>5.8823529411764705E-2</v>
      </c>
      <c r="K223" s="24">
        <v>0</v>
      </c>
      <c r="L223" s="24">
        <v>0</v>
      </c>
      <c r="M223" s="24">
        <v>0</v>
      </c>
      <c r="N223" s="24">
        <v>0</v>
      </c>
      <c r="O223" s="24">
        <v>0</v>
      </c>
      <c r="P223" s="24">
        <v>0</v>
      </c>
    </row>
    <row r="224" spans="2:16" x14ac:dyDescent="0.25">
      <c r="B224" s="9">
        <v>26</v>
      </c>
      <c r="D224" s="5" t="s">
        <v>75</v>
      </c>
      <c r="E224" s="24">
        <v>3</v>
      </c>
      <c r="F224" s="24">
        <v>0</v>
      </c>
      <c r="G224" s="24">
        <v>1</v>
      </c>
      <c r="H224" s="33">
        <f t="shared" si="12"/>
        <v>1</v>
      </c>
      <c r="I224" s="24">
        <v>0</v>
      </c>
      <c r="J224" s="26">
        <f t="shared" si="13"/>
        <v>0.33333333333333331</v>
      </c>
      <c r="K224" s="24">
        <v>0</v>
      </c>
      <c r="L224" s="24">
        <v>0</v>
      </c>
      <c r="M224" s="24">
        <v>0</v>
      </c>
      <c r="N224" s="24">
        <v>0</v>
      </c>
      <c r="O224" s="24">
        <v>0</v>
      </c>
      <c r="P224" s="24">
        <v>0</v>
      </c>
    </row>
    <row r="225" spans="2:16" x14ac:dyDescent="0.25">
      <c r="B225" s="9">
        <v>27</v>
      </c>
      <c r="D225" s="5" t="s">
        <v>320</v>
      </c>
      <c r="E225" s="24">
        <v>4</v>
      </c>
      <c r="F225" s="24">
        <v>0</v>
      </c>
      <c r="G225" s="24">
        <v>0</v>
      </c>
      <c r="H225" s="33">
        <f t="shared" si="12"/>
        <v>0</v>
      </c>
      <c r="I225" s="24">
        <v>0</v>
      </c>
      <c r="J225" s="26">
        <f t="shared" si="13"/>
        <v>0</v>
      </c>
      <c r="K225" s="24">
        <v>0</v>
      </c>
      <c r="L225" s="24">
        <v>0</v>
      </c>
      <c r="M225" s="24">
        <v>0</v>
      </c>
      <c r="N225" s="24">
        <v>0</v>
      </c>
      <c r="O225" s="24">
        <v>0</v>
      </c>
      <c r="P225" s="24">
        <v>0</v>
      </c>
    </row>
    <row r="226" spans="2:16" x14ac:dyDescent="0.25">
      <c r="B226" s="9">
        <v>28</v>
      </c>
      <c r="D226" s="5" t="s">
        <v>436</v>
      </c>
      <c r="E226" s="24">
        <v>6</v>
      </c>
      <c r="F226" s="24">
        <v>0</v>
      </c>
      <c r="G226" s="24">
        <v>0</v>
      </c>
      <c r="H226" s="33">
        <f t="shared" si="12"/>
        <v>0</v>
      </c>
      <c r="I226" s="24">
        <v>0</v>
      </c>
      <c r="J226" s="26">
        <f t="shared" si="13"/>
        <v>0</v>
      </c>
      <c r="K226" s="24">
        <v>0</v>
      </c>
      <c r="L226" s="24">
        <v>0</v>
      </c>
      <c r="M226" s="24">
        <v>0</v>
      </c>
      <c r="N226" s="24">
        <v>0</v>
      </c>
      <c r="O226" s="24">
        <v>0</v>
      </c>
      <c r="P226" s="24">
        <v>0</v>
      </c>
    </row>
    <row r="229" spans="2:16" x14ac:dyDescent="0.25">
      <c r="C229" s="1" t="s">
        <v>378</v>
      </c>
    </row>
    <row r="231" spans="2:16" x14ac:dyDescent="0.25">
      <c r="D231" s="8" t="s">
        <v>0</v>
      </c>
      <c r="E231" s="18" t="s">
        <v>1</v>
      </c>
      <c r="F231" s="18" t="s">
        <v>2</v>
      </c>
      <c r="G231" s="18" t="s">
        <v>3</v>
      </c>
      <c r="H231" s="32" t="s">
        <v>4</v>
      </c>
      <c r="I231" s="18" t="s">
        <v>5</v>
      </c>
      <c r="J231" s="18" t="s">
        <v>38</v>
      </c>
      <c r="K231" s="18" t="s">
        <v>41</v>
      </c>
      <c r="L231" s="18" t="s">
        <v>42</v>
      </c>
      <c r="M231" s="18" t="s">
        <v>45</v>
      </c>
      <c r="N231" s="18" t="s">
        <v>46</v>
      </c>
      <c r="O231" s="18" t="s">
        <v>44</v>
      </c>
      <c r="P231" s="18" t="s">
        <v>43</v>
      </c>
    </row>
    <row r="232" spans="2:16" x14ac:dyDescent="0.25">
      <c r="B232" s="9">
        <v>1</v>
      </c>
      <c r="D232" s="5" t="s">
        <v>356</v>
      </c>
      <c r="E232" s="24">
        <v>2</v>
      </c>
      <c r="F232" s="24">
        <v>5</v>
      </c>
      <c r="G232" s="24">
        <v>1</v>
      </c>
      <c r="H232" s="33">
        <f t="shared" ref="H232:H246" si="14">F232+G232</f>
        <v>6</v>
      </c>
      <c r="I232" s="24">
        <v>0</v>
      </c>
      <c r="J232" s="26">
        <f t="shared" ref="J232:J246" si="15">H232/E232</f>
        <v>3</v>
      </c>
      <c r="K232" s="24">
        <v>1</v>
      </c>
      <c r="L232" s="24">
        <v>0</v>
      </c>
      <c r="M232" s="24">
        <v>0</v>
      </c>
      <c r="N232" s="24">
        <v>0</v>
      </c>
      <c r="O232" s="24">
        <v>0</v>
      </c>
      <c r="P232" s="24">
        <v>0</v>
      </c>
    </row>
    <row r="233" spans="2:16" x14ac:dyDescent="0.25">
      <c r="B233" s="9">
        <v>2</v>
      </c>
      <c r="D233" s="5" t="s">
        <v>36</v>
      </c>
      <c r="E233" s="24">
        <v>4</v>
      </c>
      <c r="F233" s="24">
        <v>2</v>
      </c>
      <c r="G233" s="24">
        <v>2</v>
      </c>
      <c r="H233" s="33">
        <f t="shared" si="14"/>
        <v>4</v>
      </c>
      <c r="I233" s="24">
        <v>0</v>
      </c>
      <c r="J233" s="26">
        <f t="shared" si="15"/>
        <v>1</v>
      </c>
      <c r="K233" s="24">
        <v>0</v>
      </c>
      <c r="L233" s="24">
        <v>0</v>
      </c>
      <c r="M233" s="24">
        <v>0</v>
      </c>
      <c r="N233" s="24">
        <v>0</v>
      </c>
      <c r="O233" s="24">
        <v>0</v>
      </c>
      <c r="P233" s="24">
        <v>0</v>
      </c>
    </row>
    <row r="234" spans="2:16" x14ac:dyDescent="0.25">
      <c r="B234" s="9">
        <v>3</v>
      </c>
      <c r="D234" s="5" t="s">
        <v>22</v>
      </c>
      <c r="E234" s="24">
        <v>4</v>
      </c>
      <c r="F234" s="24">
        <v>1</v>
      </c>
      <c r="G234" s="24">
        <v>3</v>
      </c>
      <c r="H234" s="33">
        <f t="shared" si="14"/>
        <v>4</v>
      </c>
      <c r="I234" s="24">
        <v>2</v>
      </c>
      <c r="J234" s="26">
        <f t="shared" si="15"/>
        <v>1</v>
      </c>
      <c r="K234" s="24">
        <v>0</v>
      </c>
      <c r="L234" s="24">
        <v>0</v>
      </c>
      <c r="M234" s="24">
        <v>0</v>
      </c>
      <c r="N234" s="24">
        <v>0</v>
      </c>
      <c r="O234" s="24">
        <v>0</v>
      </c>
      <c r="P234" s="24">
        <v>0</v>
      </c>
    </row>
    <row r="235" spans="2:16" x14ac:dyDescent="0.25">
      <c r="B235" s="9">
        <v>4</v>
      </c>
      <c r="D235" s="5" t="s">
        <v>14</v>
      </c>
      <c r="E235" s="24">
        <v>2</v>
      </c>
      <c r="F235" s="24">
        <v>3</v>
      </c>
      <c r="G235" s="24">
        <v>0</v>
      </c>
      <c r="H235" s="33">
        <f t="shared" si="14"/>
        <v>3</v>
      </c>
      <c r="I235" s="24">
        <v>0</v>
      </c>
      <c r="J235" s="26">
        <f t="shared" si="15"/>
        <v>1.5</v>
      </c>
      <c r="K235" s="24">
        <v>0</v>
      </c>
      <c r="L235" s="24">
        <v>0</v>
      </c>
      <c r="M235" s="24">
        <v>0</v>
      </c>
      <c r="N235" s="24">
        <v>0</v>
      </c>
      <c r="O235" s="24">
        <v>0</v>
      </c>
      <c r="P235" s="24">
        <v>0</v>
      </c>
    </row>
    <row r="236" spans="2:16" x14ac:dyDescent="0.25">
      <c r="B236" s="9">
        <v>5</v>
      </c>
      <c r="D236" s="5" t="s">
        <v>226</v>
      </c>
      <c r="E236" s="24">
        <v>3</v>
      </c>
      <c r="F236" s="24">
        <v>2</v>
      </c>
      <c r="G236" s="24">
        <v>1</v>
      </c>
      <c r="H236" s="33">
        <f t="shared" si="14"/>
        <v>3</v>
      </c>
      <c r="I236" s="24">
        <v>0</v>
      </c>
      <c r="J236" s="26">
        <f t="shared" si="15"/>
        <v>1</v>
      </c>
      <c r="K236" s="24">
        <v>0</v>
      </c>
      <c r="L236" s="24">
        <v>0</v>
      </c>
      <c r="M236" s="24">
        <v>0</v>
      </c>
      <c r="N236" s="24">
        <v>0</v>
      </c>
      <c r="O236" s="24">
        <v>0</v>
      </c>
      <c r="P236" s="24">
        <v>0</v>
      </c>
    </row>
    <row r="237" spans="2:16" x14ac:dyDescent="0.25">
      <c r="B237" s="9">
        <v>6</v>
      </c>
      <c r="D237" s="5" t="s">
        <v>255</v>
      </c>
      <c r="E237" s="24">
        <v>4</v>
      </c>
      <c r="F237" s="24">
        <v>1</v>
      </c>
      <c r="G237" s="24">
        <v>2</v>
      </c>
      <c r="H237" s="33">
        <f t="shared" si="14"/>
        <v>3</v>
      </c>
      <c r="I237" s="24">
        <v>0</v>
      </c>
      <c r="J237" s="26">
        <f t="shared" si="15"/>
        <v>0.75</v>
      </c>
      <c r="K237" s="24">
        <v>0</v>
      </c>
      <c r="L237" s="24">
        <v>0</v>
      </c>
      <c r="M237" s="24">
        <v>0</v>
      </c>
      <c r="N237" s="24">
        <v>0</v>
      </c>
      <c r="O237" s="24">
        <v>0</v>
      </c>
      <c r="P237" s="24">
        <v>0</v>
      </c>
    </row>
    <row r="238" spans="2:16" x14ac:dyDescent="0.25">
      <c r="B238" s="9">
        <v>7</v>
      </c>
      <c r="D238" s="5" t="s">
        <v>17</v>
      </c>
      <c r="E238" s="24">
        <v>4</v>
      </c>
      <c r="F238" s="24">
        <v>1</v>
      </c>
      <c r="G238" s="24">
        <v>1</v>
      </c>
      <c r="H238" s="33">
        <f t="shared" si="14"/>
        <v>2</v>
      </c>
      <c r="I238" s="24">
        <v>2</v>
      </c>
      <c r="J238" s="26">
        <f t="shared" si="15"/>
        <v>0.5</v>
      </c>
      <c r="K238" s="24">
        <v>0</v>
      </c>
      <c r="L238" s="24">
        <v>0</v>
      </c>
      <c r="M238" s="24">
        <v>0</v>
      </c>
      <c r="N238" s="24">
        <v>0</v>
      </c>
      <c r="O238" s="24">
        <v>0</v>
      </c>
      <c r="P238" s="24">
        <v>0</v>
      </c>
    </row>
    <row r="239" spans="2:16" x14ac:dyDescent="0.25">
      <c r="B239" s="9">
        <v>8</v>
      </c>
      <c r="D239" s="5" t="s">
        <v>39</v>
      </c>
      <c r="E239" s="24">
        <v>1</v>
      </c>
      <c r="F239" s="24">
        <v>1</v>
      </c>
      <c r="G239" s="24">
        <v>0</v>
      </c>
      <c r="H239" s="33">
        <f t="shared" si="14"/>
        <v>1</v>
      </c>
      <c r="I239" s="24">
        <v>0</v>
      </c>
      <c r="J239" s="26">
        <f t="shared" si="15"/>
        <v>1</v>
      </c>
      <c r="K239" s="24">
        <v>0</v>
      </c>
      <c r="L239" s="24">
        <v>0</v>
      </c>
      <c r="M239" s="24">
        <v>0</v>
      </c>
      <c r="N239" s="24">
        <v>0</v>
      </c>
      <c r="O239" s="24">
        <v>0</v>
      </c>
      <c r="P239" s="24">
        <v>0</v>
      </c>
    </row>
    <row r="240" spans="2:16" x14ac:dyDescent="0.25">
      <c r="B240" s="9">
        <v>9</v>
      </c>
      <c r="D240" s="5" t="s">
        <v>225</v>
      </c>
      <c r="E240" s="24">
        <v>2</v>
      </c>
      <c r="F240" s="24">
        <v>0</v>
      </c>
      <c r="G240" s="24">
        <v>1</v>
      </c>
      <c r="H240" s="33">
        <f t="shared" si="14"/>
        <v>1</v>
      </c>
      <c r="I240" s="24">
        <v>2</v>
      </c>
      <c r="J240" s="26">
        <f t="shared" si="15"/>
        <v>0.5</v>
      </c>
      <c r="K240" s="24">
        <v>0</v>
      </c>
      <c r="L240" s="24">
        <v>0</v>
      </c>
      <c r="M240" s="24">
        <v>0</v>
      </c>
      <c r="N240" s="24">
        <v>0</v>
      </c>
      <c r="O240" s="24">
        <v>0</v>
      </c>
      <c r="P240" s="24">
        <v>0</v>
      </c>
    </row>
    <row r="241" spans="2:16" x14ac:dyDescent="0.25">
      <c r="B241" s="9">
        <v>10</v>
      </c>
      <c r="D241" s="5" t="s">
        <v>227</v>
      </c>
      <c r="E241" s="24">
        <v>4</v>
      </c>
      <c r="F241" s="24">
        <v>0</v>
      </c>
      <c r="G241" s="24">
        <v>1</v>
      </c>
      <c r="H241" s="33">
        <f t="shared" si="14"/>
        <v>1</v>
      </c>
      <c r="I241" s="24">
        <v>0</v>
      </c>
      <c r="J241" s="26">
        <f t="shared" si="15"/>
        <v>0.25</v>
      </c>
      <c r="K241" s="24">
        <v>0</v>
      </c>
      <c r="L241" s="24">
        <v>0</v>
      </c>
      <c r="M241" s="24">
        <v>0</v>
      </c>
      <c r="N241" s="24">
        <v>0</v>
      </c>
      <c r="O241" s="24">
        <v>0</v>
      </c>
      <c r="P241" s="24">
        <v>0</v>
      </c>
    </row>
    <row r="242" spans="2:16" x14ac:dyDescent="0.25">
      <c r="B242" s="9">
        <v>11</v>
      </c>
      <c r="D242" s="5" t="s">
        <v>324</v>
      </c>
      <c r="E242" s="24">
        <v>1</v>
      </c>
      <c r="F242" s="24">
        <v>0</v>
      </c>
      <c r="G242" s="24">
        <v>0</v>
      </c>
      <c r="H242" s="33">
        <f t="shared" si="14"/>
        <v>0</v>
      </c>
      <c r="I242" s="24">
        <v>2</v>
      </c>
      <c r="J242" s="26">
        <f t="shared" si="15"/>
        <v>0</v>
      </c>
      <c r="K242" s="24">
        <v>0</v>
      </c>
      <c r="L242" s="24">
        <v>0</v>
      </c>
      <c r="M242" s="24">
        <v>0</v>
      </c>
      <c r="N242" s="24">
        <v>0</v>
      </c>
      <c r="O242" s="24">
        <v>0</v>
      </c>
      <c r="P242" s="24">
        <v>0</v>
      </c>
    </row>
    <row r="243" spans="2:16" x14ac:dyDescent="0.25">
      <c r="B243" s="9">
        <v>12</v>
      </c>
      <c r="D243" s="5" t="s">
        <v>387</v>
      </c>
      <c r="E243" s="24">
        <v>4</v>
      </c>
      <c r="F243" s="24">
        <v>0</v>
      </c>
      <c r="G243" s="24">
        <v>0</v>
      </c>
      <c r="H243" s="33">
        <f t="shared" si="14"/>
        <v>0</v>
      </c>
      <c r="I243" s="24">
        <v>4</v>
      </c>
      <c r="J243" s="26">
        <f t="shared" si="15"/>
        <v>0</v>
      </c>
      <c r="K243" s="24">
        <v>0</v>
      </c>
      <c r="L243" s="24">
        <v>0</v>
      </c>
      <c r="M243" s="24">
        <v>0</v>
      </c>
      <c r="N243" s="24">
        <v>0</v>
      </c>
      <c r="O243" s="24">
        <v>0</v>
      </c>
      <c r="P243" s="24">
        <v>0</v>
      </c>
    </row>
    <row r="244" spans="2:16" x14ac:dyDescent="0.25">
      <c r="B244" s="9">
        <v>13</v>
      </c>
      <c r="D244" s="5" t="s">
        <v>294</v>
      </c>
      <c r="E244" s="24">
        <v>4</v>
      </c>
      <c r="F244" s="24">
        <v>0</v>
      </c>
      <c r="G244" s="24">
        <v>0</v>
      </c>
      <c r="H244" s="33">
        <f t="shared" si="14"/>
        <v>0</v>
      </c>
      <c r="I244" s="24">
        <v>0</v>
      </c>
      <c r="J244" s="26">
        <f t="shared" si="15"/>
        <v>0</v>
      </c>
      <c r="K244" s="24">
        <v>0</v>
      </c>
      <c r="L244" s="24">
        <v>0</v>
      </c>
      <c r="M244" s="24">
        <v>0</v>
      </c>
      <c r="N244" s="24">
        <v>0</v>
      </c>
      <c r="O244" s="24">
        <v>0</v>
      </c>
      <c r="P244" s="24">
        <v>0</v>
      </c>
    </row>
    <row r="245" spans="2:16" x14ac:dyDescent="0.25">
      <c r="B245" s="9">
        <v>14</v>
      </c>
      <c r="D245" s="5" t="s">
        <v>320</v>
      </c>
      <c r="E245" s="24">
        <v>4</v>
      </c>
      <c r="F245" s="24">
        <v>0</v>
      </c>
      <c r="G245" s="24">
        <v>0</v>
      </c>
      <c r="H245" s="33">
        <f t="shared" si="14"/>
        <v>0</v>
      </c>
      <c r="I245" s="24">
        <v>4</v>
      </c>
      <c r="J245" s="26">
        <f t="shared" si="15"/>
        <v>0</v>
      </c>
      <c r="K245" s="24">
        <v>0</v>
      </c>
      <c r="L245" s="24">
        <v>0</v>
      </c>
      <c r="M245" s="24">
        <v>0</v>
      </c>
      <c r="N245" s="24">
        <v>0</v>
      </c>
      <c r="O245" s="24">
        <v>0</v>
      </c>
      <c r="P245" s="24">
        <v>0</v>
      </c>
    </row>
    <row r="246" spans="2:16" x14ac:dyDescent="0.25">
      <c r="B246" s="9">
        <v>15</v>
      </c>
      <c r="D246" s="5" t="s">
        <v>35</v>
      </c>
      <c r="E246" s="24">
        <v>2</v>
      </c>
      <c r="F246" s="24">
        <v>0</v>
      </c>
      <c r="G246" s="24">
        <v>0</v>
      </c>
      <c r="H246" s="33">
        <f t="shared" si="14"/>
        <v>0</v>
      </c>
      <c r="I246" s="24">
        <v>0</v>
      </c>
      <c r="J246" s="26">
        <f t="shared" si="15"/>
        <v>0</v>
      </c>
      <c r="K246" s="24">
        <v>0</v>
      </c>
      <c r="L246" s="24">
        <v>0</v>
      </c>
      <c r="M246" s="24">
        <v>0</v>
      </c>
      <c r="N246" s="24">
        <v>0</v>
      </c>
      <c r="O246" s="24">
        <v>0</v>
      </c>
      <c r="P246" s="24">
        <v>0</v>
      </c>
    </row>
    <row r="247" spans="2:16" x14ac:dyDescent="0.25">
      <c r="J247" s="25"/>
    </row>
    <row r="248" spans="2:16" x14ac:dyDescent="0.25">
      <c r="J248" s="25"/>
    </row>
    <row r="249" spans="2:16" x14ac:dyDescent="0.25">
      <c r="C249" s="1" t="s">
        <v>349</v>
      </c>
    </row>
    <row r="251" spans="2:16" x14ac:dyDescent="0.25">
      <c r="D251" s="8" t="s">
        <v>0</v>
      </c>
      <c r="E251" s="18" t="s">
        <v>1</v>
      </c>
      <c r="F251" s="18" t="s">
        <v>2</v>
      </c>
      <c r="G251" s="18" t="s">
        <v>3</v>
      </c>
      <c r="H251" s="32" t="s">
        <v>4</v>
      </c>
      <c r="I251" s="18" t="s">
        <v>5</v>
      </c>
      <c r="J251" s="18" t="s">
        <v>38</v>
      </c>
      <c r="K251" s="18" t="s">
        <v>41</v>
      </c>
      <c r="L251" s="18" t="s">
        <v>42</v>
      </c>
      <c r="M251" s="18" t="s">
        <v>45</v>
      </c>
      <c r="N251" s="18" t="s">
        <v>46</v>
      </c>
      <c r="O251" s="18" t="s">
        <v>44</v>
      </c>
      <c r="P251" s="18" t="s">
        <v>43</v>
      </c>
    </row>
    <row r="252" spans="2:16" x14ac:dyDescent="0.25">
      <c r="B252" s="9">
        <v>1</v>
      </c>
      <c r="D252" s="5" t="s">
        <v>7</v>
      </c>
      <c r="E252" s="24">
        <v>12</v>
      </c>
      <c r="F252" s="24">
        <v>16</v>
      </c>
      <c r="G252" s="24">
        <v>7</v>
      </c>
      <c r="H252" s="33">
        <f t="shared" ref="H252:H271" si="16">F252+G252</f>
        <v>23</v>
      </c>
      <c r="I252" s="24">
        <v>0</v>
      </c>
      <c r="J252" s="26">
        <f t="shared" ref="J252:J271" si="17">H252/E252</f>
        <v>1.9166666666666667</v>
      </c>
      <c r="K252" s="24">
        <v>1</v>
      </c>
      <c r="L252" s="24">
        <v>0</v>
      </c>
      <c r="M252" s="24">
        <v>1</v>
      </c>
      <c r="N252" s="24">
        <v>0</v>
      </c>
      <c r="O252" s="24">
        <v>0</v>
      </c>
      <c r="P252" s="24">
        <v>0</v>
      </c>
    </row>
    <row r="253" spans="2:16" x14ac:dyDescent="0.25">
      <c r="B253" s="9">
        <v>2</v>
      </c>
      <c r="D253" s="5" t="s">
        <v>324</v>
      </c>
      <c r="E253" s="24">
        <v>11</v>
      </c>
      <c r="F253" s="24">
        <v>8</v>
      </c>
      <c r="G253" s="24">
        <v>9</v>
      </c>
      <c r="H253" s="33">
        <f t="shared" si="16"/>
        <v>17</v>
      </c>
      <c r="I253" s="24">
        <v>6</v>
      </c>
      <c r="J253" s="26">
        <f t="shared" si="17"/>
        <v>1.5454545454545454</v>
      </c>
      <c r="K253" s="24">
        <v>0</v>
      </c>
      <c r="L253" s="24">
        <v>0</v>
      </c>
      <c r="M253" s="24">
        <v>1</v>
      </c>
      <c r="N253" s="24">
        <v>0</v>
      </c>
      <c r="O253" s="24">
        <v>0</v>
      </c>
      <c r="P253" s="24">
        <v>0</v>
      </c>
    </row>
    <row r="254" spans="2:16" x14ac:dyDescent="0.25">
      <c r="B254" s="9">
        <v>3</v>
      </c>
      <c r="D254" s="5" t="s">
        <v>358</v>
      </c>
      <c r="E254" s="24">
        <v>14</v>
      </c>
      <c r="F254" s="24">
        <v>12</v>
      </c>
      <c r="G254" s="24">
        <v>4</v>
      </c>
      <c r="H254" s="33">
        <f t="shared" si="16"/>
        <v>16</v>
      </c>
      <c r="I254" s="24">
        <v>0</v>
      </c>
      <c r="J254" s="26">
        <f t="shared" si="17"/>
        <v>1.1428571428571428</v>
      </c>
      <c r="K254" s="24">
        <v>0</v>
      </c>
      <c r="L254" s="24">
        <v>1</v>
      </c>
      <c r="M254" s="24">
        <v>2</v>
      </c>
      <c r="N254" s="24">
        <v>0</v>
      </c>
      <c r="O254" s="24">
        <v>0</v>
      </c>
      <c r="P254" s="24">
        <v>0</v>
      </c>
    </row>
    <row r="255" spans="2:16" x14ac:dyDescent="0.25">
      <c r="B255" s="9">
        <v>4</v>
      </c>
      <c r="D255" s="5" t="s">
        <v>34</v>
      </c>
      <c r="E255" s="24">
        <v>8</v>
      </c>
      <c r="F255" s="24">
        <v>10</v>
      </c>
      <c r="G255" s="24">
        <v>5</v>
      </c>
      <c r="H255" s="33">
        <f t="shared" si="16"/>
        <v>15</v>
      </c>
      <c r="I255" s="24">
        <v>2</v>
      </c>
      <c r="J255" s="26">
        <f t="shared" si="17"/>
        <v>1.875</v>
      </c>
      <c r="K255" s="24">
        <v>1</v>
      </c>
      <c r="L255" s="24">
        <v>0</v>
      </c>
      <c r="M255" s="24">
        <v>0</v>
      </c>
      <c r="N255" s="24">
        <v>0</v>
      </c>
      <c r="O255" s="24">
        <v>0</v>
      </c>
      <c r="P255" s="24">
        <v>0</v>
      </c>
    </row>
    <row r="256" spans="2:16" x14ac:dyDescent="0.25">
      <c r="B256" s="9">
        <v>5</v>
      </c>
      <c r="D256" s="5" t="s">
        <v>359</v>
      </c>
      <c r="E256" s="24">
        <v>14</v>
      </c>
      <c r="F256" s="24">
        <v>9</v>
      </c>
      <c r="G256" s="24">
        <v>6</v>
      </c>
      <c r="H256" s="33">
        <f t="shared" si="16"/>
        <v>15</v>
      </c>
      <c r="I256" s="24">
        <v>0</v>
      </c>
      <c r="J256" s="26">
        <f t="shared" si="17"/>
        <v>1.0714285714285714</v>
      </c>
      <c r="K256" s="24">
        <v>0</v>
      </c>
      <c r="L256" s="24">
        <v>0</v>
      </c>
      <c r="M256" s="24">
        <v>2</v>
      </c>
      <c r="N256" s="24">
        <v>0</v>
      </c>
      <c r="O256" s="24">
        <v>0</v>
      </c>
      <c r="P256" s="24">
        <v>0</v>
      </c>
    </row>
    <row r="257" spans="2:16" x14ac:dyDescent="0.25">
      <c r="B257" s="9">
        <v>6</v>
      </c>
      <c r="D257" s="5" t="s">
        <v>255</v>
      </c>
      <c r="E257" s="24">
        <v>16</v>
      </c>
      <c r="F257" s="24">
        <v>4</v>
      </c>
      <c r="G257" s="24">
        <v>7</v>
      </c>
      <c r="H257" s="33">
        <f t="shared" si="16"/>
        <v>11</v>
      </c>
      <c r="I257" s="24">
        <v>0</v>
      </c>
      <c r="J257" s="26">
        <f t="shared" si="17"/>
        <v>0.6875</v>
      </c>
      <c r="K257" s="24">
        <v>0</v>
      </c>
      <c r="L257" s="24">
        <v>0</v>
      </c>
      <c r="M257" s="24">
        <v>0</v>
      </c>
      <c r="N257" s="24">
        <v>0</v>
      </c>
      <c r="O257" s="24">
        <v>0</v>
      </c>
      <c r="P257" s="24">
        <v>0</v>
      </c>
    </row>
    <row r="258" spans="2:16" x14ac:dyDescent="0.25">
      <c r="B258" s="9">
        <v>7</v>
      </c>
      <c r="D258" s="5" t="s">
        <v>226</v>
      </c>
      <c r="E258" s="24">
        <v>8</v>
      </c>
      <c r="F258" s="24">
        <v>3</v>
      </c>
      <c r="G258" s="24">
        <v>5</v>
      </c>
      <c r="H258" s="33">
        <f t="shared" si="16"/>
        <v>8</v>
      </c>
      <c r="I258" s="24">
        <v>0</v>
      </c>
      <c r="J258" s="26">
        <f t="shared" si="17"/>
        <v>1</v>
      </c>
      <c r="K258" s="24">
        <v>1</v>
      </c>
      <c r="L258" s="24">
        <v>0</v>
      </c>
      <c r="M258" s="24">
        <v>0</v>
      </c>
      <c r="N258" s="24">
        <v>0</v>
      </c>
      <c r="O258" s="24">
        <v>0</v>
      </c>
      <c r="P258" s="24">
        <v>0</v>
      </c>
    </row>
    <row r="259" spans="2:16" x14ac:dyDescent="0.25">
      <c r="B259" s="9">
        <v>8</v>
      </c>
      <c r="D259" s="5" t="s">
        <v>13</v>
      </c>
      <c r="E259" s="24">
        <v>2</v>
      </c>
      <c r="F259" s="24">
        <v>4</v>
      </c>
      <c r="G259" s="24">
        <v>3</v>
      </c>
      <c r="H259" s="33">
        <f t="shared" si="16"/>
        <v>7</v>
      </c>
      <c r="I259" s="24">
        <v>4</v>
      </c>
      <c r="J259" s="26">
        <f t="shared" si="17"/>
        <v>3.5</v>
      </c>
      <c r="K259" s="24">
        <v>0</v>
      </c>
      <c r="L259" s="24">
        <v>0</v>
      </c>
      <c r="M259" s="24">
        <v>0</v>
      </c>
      <c r="N259" s="24">
        <v>1</v>
      </c>
      <c r="O259" s="24">
        <v>0</v>
      </c>
      <c r="P259" s="24">
        <v>0</v>
      </c>
    </row>
    <row r="260" spans="2:16" x14ac:dyDescent="0.25">
      <c r="B260" s="9">
        <v>9</v>
      </c>
      <c r="D260" s="5" t="s">
        <v>227</v>
      </c>
      <c r="E260" s="24">
        <v>14</v>
      </c>
      <c r="F260" s="24">
        <v>5</v>
      </c>
      <c r="G260" s="24">
        <v>1</v>
      </c>
      <c r="H260" s="33">
        <f t="shared" si="16"/>
        <v>6</v>
      </c>
      <c r="I260" s="24">
        <v>4</v>
      </c>
      <c r="J260" s="26">
        <f t="shared" si="17"/>
        <v>0.42857142857142855</v>
      </c>
      <c r="K260" s="24">
        <v>0</v>
      </c>
      <c r="L260" s="24">
        <v>0</v>
      </c>
      <c r="M260" s="24">
        <v>2</v>
      </c>
      <c r="N260" s="24">
        <v>0</v>
      </c>
      <c r="O260" s="24">
        <v>0</v>
      </c>
      <c r="P260" s="24">
        <v>0</v>
      </c>
    </row>
    <row r="261" spans="2:16" x14ac:dyDescent="0.25">
      <c r="B261" s="9">
        <v>10</v>
      </c>
      <c r="D261" s="5" t="s">
        <v>232</v>
      </c>
      <c r="E261" s="24">
        <v>16</v>
      </c>
      <c r="F261" s="24">
        <v>2</v>
      </c>
      <c r="G261" s="24">
        <v>4</v>
      </c>
      <c r="H261" s="33">
        <f t="shared" si="16"/>
        <v>6</v>
      </c>
      <c r="I261" s="24">
        <v>4</v>
      </c>
      <c r="J261" s="26">
        <f t="shared" si="17"/>
        <v>0.375</v>
      </c>
      <c r="K261" s="24">
        <v>0</v>
      </c>
      <c r="L261" s="24">
        <v>0</v>
      </c>
      <c r="M261" s="24">
        <v>1</v>
      </c>
      <c r="N261" s="24">
        <v>0</v>
      </c>
      <c r="O261" s="24">
        <v>0</v>
      </c>
      <c r="P261" s="24">
        <v>0</v>
      </c>
    </row>
    <row r="262" spans="2:16" x14ac:dyDescent="0.25">
      <c r="B262" s="9">
        <v>11</v>
      </c>
      <c r="D262" s="5" t="s">
        <v>17</v>
      </c>
      <c r="E262" s="24">
        <v>16</v>
      </c>
      <c r="F262" s="24">
        <v>1</v>
      </c>
      <c r="G262" s="24">
        <v>4</v>
      </c>
      <c r="H262" s="33">
        <f t="shared" si="16"/>
        <v>5</v>
      </c>
      <c r="I262" s="24">
        <v>2</v>
      </c>
      <c r="J262" s="26">
        <f t="shared" si="17"/>
        <v>0.3125</v>
      </c>
      <c r="K262" s="24">
        <v>1</v>
      </c>
      <c r="L262" s="24">
        <v>0</v>
      </c>
      <c r="M262" s="24">
        <v>0</v>
      </c>
      <c r="N262" s="24">
        <v>0</v>
      </c>
      <c r="O262" s="24">
        <v>0</v>
      </c>
      <c r="P262" s="24">
        <v>0</v>
      </c>
    </row>
    <row r="263" spans="2:16" x14ac:dyDescent="0.25">
      <c r="B263" s="9">
        <v>12</v>
      </c>
      <c r="D263" s="5" t="s">
        <v>256</v>
      </c>
      <c r="E263" s="24">
        <v>6</v>
      </c>
      <c r="F263" s="24">
        <v>2</v>
      </c>
      <c r="G263" s="24">
        <v>2</v>
      </c>
      <c r="H263" s="33">
        <f t="shared" si="16"/>
        <v>4</v>
      </c>
      <c r="I263" s="24">
        <v>0</v>
      </c>
      <c r="J263" s="26">
        <f t="shared" si="17"/>
        <v>0.66666666666666663</v>
      </c>
      <c r="K263" s="24">
        <v>0</v>
      </c>
      <c r="L263" s="24">
        <v>0</v>
      </c>
      <c r="M263" s="24">
        <v>0</v>
      </c>
      <c r="N263" s="24">
        <v>0</v>
      </c>
      <c r="O263" s="24">
        <v>0</v>
      </c>
      <c r="P263" s="24">
        <v>0</v>
      </c>
    </row>
    <row r="264" spans="2:16" x14ac:dyDescent="0.25">
      <c r="B264" s="9">
        <v>13</v>
      </c>
      <c r="D264" s="5" t="s">
        <v>22</v>
      </c>
      <c r="E264" s="24">
        <v>14</v>
      </c>
      <c r="F264" s="24">
        <v>2</v>
      </c>
      <c r="G264" s="24">
        <v>2</v>
      </c>
      <c r="H264" s="33">
        <f t="shared" si="16"/>
        <v>4</v>
      </c>
      <c r="I264" s="24">
        <v>0</v>
      </c>
      <c r="J264" s="26">
        <f t="shared" si="17"/>
        <v>0.2857142857142857</v>
      </c>
      <c r="K264" s="24">
        <v>0</v>
      </c>
      <c r="L264" s="24">
        <v>0</v>
      </c>
      <c r="M264" s="24">
        <v>0</v>
      </c>
      <c r="N264" s="24">
        <v>0</v>
      </c>
      <c r="O264" s="24">
        <v>0</v>
      </c>
      <c r="P264" s="24">
        <v>0</v>
      </c>
    </row>
    <row r="265" spans="2:16" x14ac:dyDescent="0.25">
      <c r="B265" s="9">
        <v>14</v>
      </c>
      <c r="D265" s="5" t="s">
        <v>35</v>
      </c>
      <c r="E265" s="24">
        <v>14</v>
      </c>
      <c r="F265" s="24">
        <v>1</v>
      </c>
      <c r="G265" s="24">
        <v>2</v>
      </c>
      <c r="H265" s="33">
        <f t="shared" si="16"/>
        <v>3</v>
      </c>
      <c r="I265" s="24">
        <v>8</v>
      </c>
      <c r="J265" s="26">
        <f t="shared" si="17"/>
        <v>0.21428571428571427</v>
      </c>
      <c r="K265" s="24">
        <v>0</v>
      </c>
      <c r="L265" s="24">
        <v>0</v>
      </c>
      <c r="M265" s="24">
        <v>0</v>
      </c>
      <c r="N265" s="24">
        <v>0</v>
      </c>
      <c r="O265" s="24">
        <v>0</v>
      </c>
      <c r="P265" s="24">
        <v>0</v>
      </c>
    </row>
    <row r="266" spans="2:16" x14ac:dyDescent="0.25">
      <c r="B266" s="9">
        <v>15</v>
      </c>
      <c r="D266" s="5" t="s">
        <v>10</v>
      </c>
      <c r="E266" s="24">
        <v>1</v>
      </c>
      <c r="F266" s="24">
        <v>1</v>
      </c>
      <c r="G266" s="24">
        <v>1</v>
      </c>
      <c r="H266" s="33">
        <f t="shared" si="16"/>
        <v>2</v>
      </c>
      <c r="I266" s="24">
        <v>0</v>
      </c>
      <c r="J266" s="26">
        <f t="shared" si="17"/>
        <v>2</v>
      </c>
      <c r="K266" s="24">
        <v>0</v>
      </c>
      <c r="L266" s="24">
        <v>0</v>
      </c>
      <c r="M266" s="24">
        <v>0</v>
      </c>
      <c r="N266" s="24">
        <v>0</v>
      </c>
      <c r="O266" s="24">
        <v>0</v>
      </c>
      <c r="P266" s="24">
        <v>0</v>
      </c>
    </row>
    <row r="267" spans="2:16" x14ac:dyDescent="0.25">
      <c r="B267" s="9">
        <v>16</v>
      </c>
      <c r="D267" s="5" t="s">
        <v>356</v>
      </c>
      <c r="E267" s="24">
        <v>1</v>
      </c>
      <c r="F267" s="24">
        <v>1</v>
      </c>
      <c r="G267" s="24">
        <v>1</v>
      </c>
      <c r="H267" s="33">
        <f t="shared" si="16"/>
        <v>2</v>
      </c>
      <c r="I267" s="24">
        <v>0</v>
      </c>
      <c r="J267" s="26">
        <f t="shared" si="17"/>
        <v>2</v>
      </c>
      <c r="K267" s="24">
        <v>0</v>
      </c>
      <c r="L267" s="24">
        <v>0</v>
      </c>
      <c r="M267" s="24">
        <v>0</v>
      </c>
      <c r="N267" s="24">
        <v>0</v>
      </c>
      <c r="O267" s="24">
        <v>0</v>
      </c>
      <c r="P267" s="24">
        <v>0</v>
      </c>
    </row>
    <row r="268" spans="2:16" x14ac:dyDescent="0.25">
      <c r="B268" s="9">
        <v>17</v>
      </c>
      <c r="D268" s="5" t="s">
        <v>320</v>
      </c>
      <c r="E268" s="24">
        <v>14</v>
      </c>
      <c r="F268" s="24">
        <v>0</v>
      </c>
      <c r="G268" s="24">
        <v>2</v>
      </c>
      <c r="H268" s="33">
        <f t="shared" si="16"/>
        <v>2</v>
      </c>
      <c r="I268" s="24">
        <v>0</v>
      </c>
      <c r="J268" s="26">
        <f t="shared" si="17"/>
        <v>0.14285714285714285</v>
      </c>
      <c r="K268" s="24">
        <v>0</v>
      </c>
      <c r="L268" s="24">
        <v>0</v>
      </c>
      <c r="M268" s="24">
        <v>0</v>
      </c>
      <c r="N268" s="24">
        <v>0</v>
      </c>
      <c r="O268" s="24">
        <v>0</v>
      </c>
      <c r="P268" s="24">
        <v>0</v>
      </c>
    </row>
    <row r="269" spans="2:16" x14ac:dyDescent="0.25">
      <c r="B269" s="9">
        <v>18</v>
      </c>
      <c r="D269" s="5" t="s">
        <v>225</v>
      </c>
      <c r="E269" s="24">
        <v>2</v>
      </c>
      <c r="F269" s="24">
        <v>1</v>
      </c>
      <c r="G269" s="24">
        <v>0</v>
      </c>
      <c r="H269" s="33">
        <f t="shared" si="16"/>
        <v>1</v>
      </c>
      <c r="I269" s="24">
        <v>0</v>
      </c>
      <c r="J269" s="26">
        <f t="shared" si="17"/>
        <v>0.5</v>
      </c>
      <c r="K269" s="24">
        <v>0</v>
      </c>
      <c r="L269" s="24">
        <v>0</v>
      </c>
      <c r="M269" s="24">
        <v>1</v>
      </c>
      <c r="N269" s="24">
        <v>0</v>
      </c>
      <c r="O269" s="24">
        <v>1</v>
      </c>
      <c r="P269" s="24">
        <v>0</v>
      </c>
    </row>
    <row r="270" spans="2:16" x14ac:dyDescent="0.25">
      <c r="B270" s="9">
        <v>19</v>
      </c>
      <c r="D270" s="5" t="s">
        <v>254</v>
      </c>
      <c r="E270" s="24">
        <v>7</v>
      </c>
      <c r="F270" s="24">
        <v>0</v>
      </c>
      <c r="G270" s="24">
        <v>1</v>
      </c>
      <c r="H270" s="33">
        <f t="shared" si="16"/>
        <v>1</v>
      </c>
      <c r="I270" s="24">
        <v>2</v>
      </c>
      <c r="J270" s="26">
        <f t="shared" si="17"/>
        <v>0.14285714285714285</v>
      </c>
      <c r="K270" s="24">
        <v>0</v>
      </c>
      <c r="L270" s="24">
        <v>0</v>
      </c>
      <c r="M270" s="24">
        <v>0</v>
      </c>
      <c r="N270" s="24">
        <v>0</v>
      </c>
      <c r="O270" s="24">
        <v>0</v>
      </c>
      <c r="P270" s="24">
        <v>0</v>
      </c>
    </row>
    <row r="271" spans="2:16" x14ac:dyDescent="0.25">
      <c r="B271" s="9">
        <v>20</v>
      </c>
      <c r="D271" s="5" t="s">
        <v>294</v>
      </c>
      <c r="E271" s="24">
        <v>16</v>
      </c>
      <c r="F271" s="24">
        <v>0</v>
      </c>
      <c r="G271" s="24">
        <v>1</v>
      </c>
      <c r="H271" s="33">
        <f t="shared" si="16"/>
        <v>1</v>
      </c>
      <c r="I271" s="24">
        <v>0</v>
      </c>
      <c r="J271" s="26">
        <f t="shared" si="17"/>
        <v>6.25E-2</v>
      </c>
      <c r="K271" s="24">
        <v>0</v>
      </c>
      <c r="L271" s="24">
        <v>0</v>
      </c>
      <c r="M271" s="24">
        <v>0</v>
      </c>
      <c r="N271" s="24">
        <v>0</v>
      </c>
      <c r="O271" s="24">
        <v>0</v>
      </c>
      <c r="P271" s="24">
        <v>0</v>
      </c>
    </row>
    <row r="274" spans="2:16" x14ac:dyDescent="0.25">
      <c r="C274" s="1" t="s">
        <v>319</v>
      </c>
    </row>
    <row r="276" spans="2:16" x14ac:dyDescent="0.25">
      <c r="D276" s="8" t="s">
        <v>0</v>
      </c>
      <c r="E276" s="18" t="s">
        <v>1</v>
      </c>
      <c r="F276" s="18" t="s">
        <v>2</v>
      </c>
      <c r="G276" s="18" t="s">
        <v>3</v>
      </c>
      <c r="H276" s="32" t="s">
        <v>4</v>
      </c>
      <c r="I276" s="18" t="s">
        <v>5</v>
      </c>
      <c r="J276" s="18" t="s">
        <v>38</v>
      </c>
      <c r="K276" s="18" t="s">
        <v>41</v>
      </c>
      <c r="L276" s="18" t="s">
        <v>42</v>
      </c>
      <c r="M276" s="18" t="s">
        <v>45</v>
      </c>
      <c r="N276" s="18" t="s">
        <v>46</v>
      </c>
      <c r="O276" s="18" t="s">
        <v>44</v>
      </c>
      <c r="P276" s="18" t="s">
        <v>43</v>
      </c>
    </row>
    <row r="277" spans="2:16" x14ac:dyDescent="0.25">
      <c r="B277" s="9">
        <v>1</v>
      </c>
      <c r="D277" s="5" t="s">
        <v>13</v>
      </c>
      <c r="E277" s="24">
        <v>10</v>
      </c>
      <c r="F277" s="24">
        <v>26</v>
      </c>
      <c r="G277" s="24">
        <v>17</v>
      </c>
      <c r="H277" s="33">
        <f t="shared" ref="H277:H299" si="18">F277+G277</f>
        <v>43</v>
      </c>
      <c r="I277" s="24">
        <v>4</v>
      </c>
      <c r="J277" s="26">
        <f t="shared" ref="J277:J299" si="19">H277/E277</f>
        <v>4.3</v>
      </c>
      <c r="K277" s="24">
        <v>1</v>
      </c>
      <c r="L277" s="24">
        <v>0</v>
      </c>
      <c r="M277" s="24">
        <v>1</v>
      </c>
      <c r="N277" s="24">
        <v>0</v>
      </c>
      <c r="O277" s="24">
        <v>2</v>
      </c>
      <c r="P277" s="24">
        <v>0</v>
      </c>
    </row>
    <row r="278" spans="2:16" x14ac:dyDescent="0.25">
      <c r="B278" s="9">
        <v>2</v>
      </c>
      <c r="D278" s="5" t="s">
        <v>36</v>
      </c>
      <c r="E278" s="24">
        <v>20</v>
      </c>
      <c r="F278" s="24">
        <v>12</v>
      </c>
      <c r="G278" s="24">
        <v>5</v>
      </c>
      <c r="H278" s="33">
        <f t="shared" si="18"/>
        <v>17</v>
      </c>
      <c r="I278" s="24">
        <v>2</v>
      </c>
      <c r="J278" s="26">
        <f t="shared" si="19"/>
        <v>0.85</v>
      </c>
      <c r="K278" s="24">
        <v>1</v>
      </c>
      <c r="L278" s="24">
        <v>0</v>
      </c>
      <c r="M278" s="24">
        <v>2</v>
      </c>
      <c r="N278" s="24">
        <v>0</v>
      </c>
      <c r="O278" s="24">
        <v>0</v>
      </c>
      <c r="P278" s="24">
        <v>0</v>
      </c>
    </row>
    <row r="279" spans="2:16" x14ac:dyDescent="0.25">
      <c r="B279" s="9">
        <v>3</v>
      </c>
      <c r="D279" s="5" t="s">
        <v>34</v>
      </c>
      <c r="E279" s="24">
        <v>13</v>
      </c>
      <c r="F279" s="24">
        <v>12</v>
      </c>
      <c r="G279" s="24">
        <v>4</v>
      </c>
      <c r="H279" s="33">
        <f t="shared" si="18"/>
        <v>16</v>
      </c>
      <c r="I279" s="24">
        <v>2</v>
      </c>
      <c r="J279" s="26">
        <f t="shared" si="19"/>
        <v>1.2307692307692308</v>
      </c>
      <c r="K279" s="24">
        <v>0</v>
      </c>
      <c r="L279" s="24">
        <v>0</v>
      </c>
      <c r="M279" s="24">
        <v>1</v>
      </c>
      <c r="N279" s="24">
        <v>0</v>
      </c>
      <c r="O279" s="24">
        <v>0</v>
      </c>
      <c r="P279" s="24">
        <v>0</v>
      </c>
    </row>
    <row r="280" spans="2:16" x14ac:dyDescent="0.25">
      <c r="B280" s="9">
        <v>4</v>
      </c>
      <c r="D280" s="5" t="s">
        <v>8</v>
      </c>
      <c r="E280" s="24">
        <v>3</v>
      </c>
      <c r="F280" s="24">
        <v>8</v>
      </c>
      <c r="G280" s="24">
        <v>4</v>
      </c>
      <c r="H280" s="33">
        <f t="shared" si="18"/>
        <v>12</v>
      </c>
      <c r="I280" s="24">
        <v>0</v>
      </c>
      <c r="J280" s="26">
        <f t="shared" si="19"/>
        <v>4</v>
      </c>
      <c r="K280" s="24">
        <v>0</v>
      </c>
      <c r="L280" s="24">
        <v>0</v>
      </c>
      <c r="M280" s="24">
        <v>1</v>
      </c>
      <c r="N280" s="24">
        <v>0</v>
      </c>
      <c r="O280" s="24">
        <v>0</v>
      </c>
      <c r="P280" s="24">
        <v>0</v>
      </c>
    </row>
    <row r="281" spans="2:16" x14ac:dyDescent="0.25">
      <c r="B281" s="9">
        <v>5</v>
      </c>
      <c r="D281" s="5" t="s">
        <v>226</v>
      </c>
      <c r="E281" s="24">
        <v>17</v>
      </c>
      <c r="F281" s="24">
        <v>5</v>
      </c>
      <c r="G281" s="24">
        <v>7</v>
      </c>
      <c r="H281" s="33">
        <f t="shared" si="18"/>
        <v>12</v>
      </c>
      <c r="I281" s="24">
        <v>0</v>
      </c>
      <c r="J281" s="26">
        <f t="shared" si="19"/>
        <v>0.70588235294117652</v>
      </c>
      <c r="K281" s="24">
        <v>0</v>
      </c>
      <c r="L281" s="24">
        <v>0</v>
      </c>
      <c r="M281" s="24">
        <v>2</v>
      </c>
      <c r="N281" s="24">
        <v>0</v>
      </c>
      <c r="O281" s="24">
        <v>0</v>
      </c>
      <c r="P281" s="24">
        <v>0</v>
      </c>
    </row>
    <row r="282" spans="2:16" x14ac:dyDescent="0.25">
      <c r="B282" s="9">
        <v>6</v>
      </c>
      <c r="D282" s="5" t="s">
        <v>255</v>
      </c>
      <c r="E282" s="24">
        <v>24</v>
      </c>
      <c r="F282" s="24">
        <v>3</v>
      </c>
      <c r="G282" s="24">
        <v>8</v>
      </c>
      <c r="H282" s="33">
        <f t="shared" si="18"/>
        <v>11</v>
      </c>
      <c r="I282" s="24">
        <v>0</v>
      </c>
      <c r="J282" s="26">
        <f t="shared" si="19"/>
        <v>0.45833333333333331</v>
      </c>
      <c r="K282" s="24">
        <v>0</v>
      </c>
      <c r="L282" s="24">
        <v>0</v>
      </c>
      <c r="M282" s="24">
        <v>0</v>
      </c>
      <c r="N282" s="24">
        <v>0</v>
      </c>
      <c r="O282" s="24">
        <v>0</v>
      </c>
      <c r="P282" s="24">
        <v>0</v>
      </c>
    </row>
    <row r="283" spans="2:16" x14ac:dyDescent="0.25">
      <c r="B283" s="9">
        <v>7</v>
      </c>
      <c r="D283" s="5" t="s">
        <v>7</v>
      </c>
      <c r="E283" s="24">
        <v>4</v>
      </c>
      <c r="F283" s="24">
        <v>6</v>
      </c>
      <c r="G283" s="24">
        <v>4</v>
      </c>
      <c r="H283" s="33">
        <f t="shared" si="18"/>
        <v>10</v>
      </c>
      <c r="I283" s="24">
        <v>0</v>
      </c>
      <c r="J283" s="26">
        <f t="shared" si="19"/>
        <v>2.5</v>
      </c>
      <c r="K283" s="24">
        <v>0</v>
      </c>
      <c r="L283" s="24">
        <v>1</v>
      </c>
      <c r="M283" s="24">
        <v>0</v>
      </c>
      <c r="N283" s="24">
        <v>0</v>
      </c>
      <c r="O283" s="24">
        <v>0</v>
      </c>
      <c r="P283" s="24">
        <v>0</v>
      </c>
    </row>
    <row r="284" spans="2:16" x14ac:dyDescent="0.25">
      <c r="B284" s="9">
        <v>8</v>
      </c>
      <c r="D284" s="5" t="s">
        <v>22</v>
      </c>
      <c r="E284" s="24">
        <v>14</v>
      </c>
      <c r="F284" s="24">
        <v>4</v>
      </c>
      <c r="G284" s="24">
        <v>5</v>
      </c>
      <c r="H284" s="33">
        <f t="shared" si="18"/>
        <v>9</v>
      </c>
      <c r="I284" s="24">
        <v>2</v>
      </c>
      <c r="J284" s="26">
        <f t="shared" si="19"/>
        <v>0.6428571428571429</v>
      </c>
      <c r="K284" s="24">
        <v>1</v>
      </c>
      <c r="L284" s="24">
        <v>0</v>
      </c>
      <c r="M284" s="24">
        <v>0</v>
      </c>
      <c r="N284" s="24">
        <v>0</v>
      </c>
      <c r="O284" s="24">
        <v>0</v>
      </c>
      <c r="P284" s="24">
        <v>0</v>
      </c>
    </row>
    <row r="285" spans="2:16" x14ac:dyDescent="0.25">
      <c r="B285" s="9">
        <v>9</v>
      </c>
      <c r="D285" s="5" t="s">
        <v>10</v>
      </c>
      <c r="E285" s="24">
        <v>6</v>
      </c>
      <c r="F285" s="24">
        <v>1</v>
      </c>
      <c r="G285" s="24">
        <v>8</v>
      </c>
      <c r="H285" s="33">
        <f t="shared" si="18"/>
        <v>9</v>
      </c>
      <c r="I285" s="24">
        <v>0</v>
      </c>
      <c r="J285" s="26">
        <f t="shared" si="19"/>
        <v>1.5</v>
      </c>
      <c r="K285" s="24">
        <v>0</v>
      </c>
      <c r="L285" s="24">
        <v>0</v>
      </c>
      <c r="M285" s="24">
        <v>0</v>
      </c>
      <c r="N285" s="24">
        <v>0</v>
      </c>
      <c r="O285" s="24">
        <v>0</v>
      </c>
      <c r="P285" s="24">
        <v>0</v>
      </c>
    </row>
    <row r="286" spans="2:16" x14ac:dyDescent="0.25">
      <c r="B286" s="9">
        <v>10</v>
      </c>
      <c r="D286" s="5" t="s">
        <v>232</v>
      </c>
      <c r="E286" s="24">
        <v>18</v>
      </c>
      <c r="F286" s="24">
        <v>4</v>
      </c>
      <c r="G286" s="24">
        <v>4</v>
      </c>
      <c r="H286" s="33">
        <f t="shared" si="18"/>
        <v>8</v>
      </c>
      <c r="I286" s="24">
        <v>2</v>
      </c>
      <c r="J286" s="26">
        <f t="shared" si="19"/>
        <v>0.44444444444444442</v>
      </c>
      <c r="K286" s="24">
        <v>0</v>
      </c>
      <c r="L286" s="24">
        <v>0</v>
      </c>
      <c r="M286" s="24">
        <v>0</v>
      </c>
      <c r="N286" s="24">
        <v>0</v>
      </c>
      <c r="O286" s="24">
        <v>0</v>
      </c>
      <c r="P286" s="24">
        <v>0</v>
      </c>
    </row>
    <row r="287" spans="2:16" x14ac:dyDescent="0.25">
      <c r="B287" s="9">
        <v>11</v>
      </c>
      <c r="D287" s="5" t="s">
        <v>227</v>
      </c>
      <c r="E287" s="24">
        <v>18</v>
      </c>
      <c r="F287" s="24">
        <v>4</v>
      </c>
      <c r="G287" s="24">
        <v>2</v>
      </c>
      <c r="H287" s="33">
        <f t="shared" si="18"/>
        <v>6</v>
      </c>
      <c r="I287" s="24">
        <v>8</v>
      </c>
      <c r="J287" s="26">
        <f t="shared" si="19"/>
        <v>0.33333333333333331</v>
      </c>
      <c r="K287" s="24">
        <v>0</v>
      </c>
      <c r="L287" s="24">
        <v>0</v>
      </c>
      <c r="M287" s="24">
        <v>1</v>
      </c>
      <c r="N287" s="24">
        <v>0</v>
      </c>
      <c r="O287" s="24">
        <v>0</v>
      </c>
      <c r="P287" s="24">
        <v>0</v>
      </c>
    </row>
    <row r="288" spans="2:16" x14ac:dyDescent="0.25">
      <c r="B288" s="9">
        <v>12</v>
      </c>
      <c r="D288" s="5" t="s">
        <v>254</v>
      </c>
      <c r="E288" s="24">
        <v>12</v>
      </c>
      <c r="F288" s="24">
        <v>2</v>
      </c>
      <c r="G288" s="24">
        <v>3</v>
      </c>
      <c r="H288" s="33">
        <f t="shared" si="18"/>
        <v>5</v>
      </c>
      <c r="I288" s="24">
        <v>0</v>
      </c>
      <c r="J288" s="26">
        <f t="shared" si="19"/>
        <v>0.41666666666666669</v>
      </c>
      <c r="K288" s="24">
        <v>0</v>
      </c>
      <c r="L288" s="24">
        <v>0</v>
      </c>
      <c r="M288" s="24">
        <v>0</v>
      </c>
      <c r="N288" s="24">
        <v>0</v>
      </c>
      <c r="O288" s="24">
        <v>0</v>
      </c>
      <c r="P288" s="24">
        <v>0</v>
      </c>
    </row>
    <row r="289" spans="2:16" x14ac:dyDescent="0.25">
      <c r="B289" s="9">
        <v>13</v>
      </c>
      <c r="D289" s="5" t="s">
        <v>30</v>
      </c>
      <c r="E289" s="24">
        <v>1</v>
      </c>
      <c r="F289" s="24">
        <v>2</v>
      </c>
      <c r="G289" s="24">
        <v>2</v>
      </c>
      <c r="H289" s="33">
        <f t="shared" si="18"/>
        <v>4</v>
      </c>
      <c r="I289" s="24">
        <v>2</v>
      </c>
      <c r="J289" s="26">
        <f t="shared" si="19"/>
        <v>4</v>
      </c>
      <c r="K289" s="24">
        <v>0</v>
      </c>
      <c r="L289" s="24">
        <v>0</v>
      </c>
      <c r="M289" s="24">
        <v>0</v>
      </c>
      <c r="N289" s="24">
        <v>0</v>
      </c>
      <c r="O289" s="24">
        <v>0</v>
      </c>
      <c r="P289" s="24">
        <v>0</v>
      </c>
    </row>
    <row r="290" spans="2:16" x14ac:dyDescent="0.25">
      <c r="B290" s="9">
        <v>14</v>
      </c>
      <c r="D290" s="5" t="s">
        <v>17</v>
      </c>
      <c r="E290" s="24">
        <v>14</v>
      </c>
      <c r="F290" s="24">
        <v>2</v>
      </c>
      <c r="G290" s="24">
        <v>2</v>
      </c>
      <c r="H290" s="33">
        <f t="shared" si="18"/>
        <v>4</v>
      </c>
      <c r="I290" s="24">
        <v>6</v>
      </c>
      <c r="J290" s="26">
        <f t="shared" si="19"/>
        <v>0.2857142857142857</v>
      </c>
      <c r="K290" s="24">
        <v>0</v>
      </c>
      <c r="L290" s="24">
        <v>0</v>
      </c>
      <c r="M290" s="24">
        <v>0</v>
      </c>
      <c r="N290" s="24">
        <v>0</v>
      </c>
      <c r="O290" s="24">
        <v>0</v>
      </c>
      <c r="P290" s="24">
        <v>0</v>
      </c>
    </row>
    <row r="291" spans="2:16" x14ac:dyDescent="0.25">
      <c r="B291" s="9">
        <v>15</v>
      </c>
      <c r="D291" s="5" t="s">
        <v>320</v>
      </c>
      <c r="E291" s="24">
        <v>10</v>
      </c>
      <c r="F291" s="24">
        <v>3</v>
      </c>
      <c r="G291" s="24">
        <v>0</v>
      </c>
      <c r="H291" s="33">
        <f t="shared" si="18"/>
        <v>3</v>
      </c>
      <c r="I291" s="24">
        <v>5</v>
      </c>
      <c r="J291" s="26">
        <f t="shared" si="19"/>
        <v>0.3</v>
      </c>
      <c r="K291" s="24">
        <v>0</v>
      </c>
      <c r="L291" s="24">
        <v>0</v>
      </c>
      <c r="M291" s="24">
        <v>0</v>
      </c>
      <c r="N291" s="24">
        <v>0</v>
      </c>
      <c r="O291" s="24">
        <v>0</v>
      </c>
      <c r="P291" s="24">
        <v>0</v>
      </c>
    </row>
    <row r="292" spans="2:16" x14ac:dyDescent="0.25">
      <c r="B292" s="9">
        <v>16</v>
      </c>
      <c r="D292" s="5" t="s">
        <v>324</v>
      </c>
      <c r="E292" s="24">
        <v>4</v>
      </c>
      <c r="F292" s="24">
        <v>1</v>
      </c>
      <c r="G292" s="24">
        <v>2</v>
      </c>
      <c r="H292" s="33">
        <f t="shared" si="18"/>
        <v>3</v>
      </c>
      <c r="I292" s="24">
        <v>0</v>
      </c>
      <c r="J292" s="26">
        <f t="shared" si="19"/>
        <v>0.75</v>
      </c>
      <c r="K292" s="24">
        <v>0</v>
      </c>
      <c r="L292" s="24">
        <v>0</v>
      </c>
      <c r="M292" s="24">
        <v>0</v>
      </c>
      <c r="N292" s="24">
        <v>0</v>
      </c>
      <c r="O292" s="24">
        <v>0</v>
      </c>
      <c r="P292" s="24">
        <v>0</v>
      </c>
    </row>
    <row r="293" spans="2:16" x14ac:dyDescent="0.25">
      <c r="B293" s="9">
        <v>17</v>
      </c>
      <c r="D293" s="5" t="s">
        <v>256</v>
      </c>
      <c r="E293" s="24">
        <v>10</v>
      </c>
      <c r="F293" s="24">
        <v>1</v>
      </c>
      <c r="G293" s="24">
        <v>1</v>
      </c>
      <c r="H293" s="33">
        <f t="shared" si="18"/>
        <v>2</v>
      </c>
      <c r="I293" s="24">
        <v>4</v>
      </c>
      <c r="J293" s="26">
        <f t="shared" si="19"/>
        <v>0.2</v>
      </c>
      <c r="K293" s="24">
        <v>0</v>
      </c>
      <c r="L293" s="24">
        <v>0</v>
      </c>
      <c r="M293" s="24">
        <v>0</v>
      </c>
      <c r="N293" s="24">
        <v>0</v>
      </c>
      <c r="O293" s="24">
        <v>0</v>
      </c>
      <c r="P293" s="24">
        <v>0</v>
      </c>
    </row>
    <row r="294" spans="2:16" x14ac:dyDescent="0.25">
      <c r="B294" s="9">
        <v>18</v>
      </c>
      <c r="D294" s="5" t="s">
        <v>35</v>
      </c>
      <c r="E294" s="24">
        <v>18</v>
      </c>
      <c r="F294" s="24">
        <v>0</v>
      </c>
      <c r="G294" s="24">
        <v>2</v>
      </c>
      <c r="H294" s="33">
        <f t="shared" si="18"/>
        <v>2</v>
      </c>
      <c r="I294" s="24">
        <v>8</v>
      </c>
      <c r="J294" s="26">
        <f t="shared" si="19"/>
        <v>0.1111111111111111</v>
      </c>
      <c r="K294" s="24">
        <v>0</v>
      </c>
      <c r="L294" s="24">
        <v>0</v>
      </c>
      <c r="M294" s="24">
        <v>0</v>
      </c>
      <c r="N294" s="24">
        <v>0</v>
      </c>
      <c r="O294" s="24">
        <v>0</v>
      </c>
      <c r="P294" s="24">
        <v>0</v>
      </c>
    </row>
    <row r="295" spans="2:16" x14ac:dyDescent="0.25">
      <c r="B295" s="9">
        <v>19</v>
      </c>
      <c r="D295" s="5" t="s">
        <v>225</v>
      </c>
      <c r="E295" s="24">
        <v>2</v>
      </c>
      <c r="F295" s="24">
        <v>1</v>
      </c>
      <c r="G295" s="24">
        <v>0</v>
      </c>
      <c r="H295" s="33">
        <f t="shared" si="18"/>
        <v>1</v>
      </c>
      <c r="I295" s="24">
        <v>0</v>
      </c>
      <c r="J295" s="26">
        <f t="shared" si="19"/>
        <v>0.5</v>
      </c>
      <c r="K295" s="24">
        <v>0</v>
      </c>
      <c r="L295" s="24">
        <v>0</v>
      </c>
      <c r="M295" s="24">
        <v>0</v>
      </c>
      <c r="N295" s="24">
        <v>0</v>
      </c>
      <c r="O295" s="24">
        <v>0</v>
      </c>
      <c r="P295" s="24">
        <v>0</v>
      </c>
    </row>
    <row r="296" spans="2:16" x14ac:dyDescent="0.25">
      <c r="B296" s="9">
        <v>20</v>
      </c>
      <c r="D296" s="5" t="s">
        <v>75</v>
      </c>
      <c r="E296" s="24">
        <v>4</v>
      </c>
      <c r="F296" s="24">
        <v>0</v>
      </c>
      <c r="G296" s="24">
        <v>0</v>
      </c>
      <c r="H296" s="33">
        <f t="shared" si="18"/>
        <v>0</v>
      </c>
      <c r="I296" s="24">
        <v>0</v>
      </c>
      <c r="J296" s="26">
        <f t="shared" si="19"/>
        <v>0</v>
      </c>
      <c r="K296" s="24">
        <v>0</v>
      </c>
      <c r="L296" s="24">
        <v>0</v>
      </c>
      <c r="M296" s="24">
        <v>0</v>
      </c>
      <c r="N296" s="24">
        <v>0</v>
      </c>
      <c r="O296" s="24">
        <v>0</v>
      </c>
      <c r="P296" s="24">
        <v>0</v>
      </c>
    </row>
    <row r="297" spans="2:16" x14ac:dyDescent="0.25">
      <c r="B297" s="9">
        <v>21</v>
      </c>
      <c r="D297" s="5" t="s">
        <v>294</v>
      </c>
      <c r="E297" s="24">
        <v>20</v>
      </c>
      <c r="F297" s="24">
        <v>0</v>
      </c>
      <c r="G297" s="24">
        <v>0</v>
      </c>
      <c r="H297" s="33">
        <f t="shared" si="18"/>
        <v>0</v>
      </c>
      <c r="I297" s="24">
        <v>0</v>
      </c>
      <c r="J297" s="26">
        <f t="shared" si="19"/>
        <v>0</v>
      </c>
      <c r="K297" s="24">
        <v>0</v>
      </c>
      <c r="L297" s="24">
        <v>0</v>
      </c>
      <c r="M297" s="24">
        <v>0</v>
      </c>
      <c r="N297" s="24">
        <v>0</v>
      </c>
      <c r="O297" s="24">
        <v>0</v>
      </c>
      <c r="P297" s="24">
        <v>0</v>
      </c>
    </row>
    <row r="298" spans="2:16" x14ac:dyDescent="0.25">
      <c r="B298" s="9">
        <v>22</v>
      </c>
      <c r="D298" s="5" t="s">
        <v>16</v>
      </c>
      <c r="E298" s="24">
        <v>1</v>
      </c>
      <c r="F298" s="24">
        <v>0</v>
      </c>
      <c r="G298" s="24">
        <v>0</v>
      </c>
      <c r="H298" s="33">
        <f t="shared" si="18"/>
        <v>0</v>
      </c>
      <c r="I298" s="24">
        <v>0</v>
      </c>
      <c r="J298" s="26">
        <f t="shared" si="19"/>
        <v>0</v>
      </c>
      <c r="K298" s="24">
        <v>0</v>
      </c>
      <c r="L298" s="24">
        <v>0</v>
      </c>
      <c r="M298" s="24">
        <v>0</v>
      </c>
      <c r="N298" s="24">
        <v>0</v>
      </c>
      <c r="O298" s="24">
        <v>0</v>
      </c>
      <c r="P298" s="24">
        <v>0</v>
      </c>
    </row>
    <row r="299" spans="2:16" x14ac:dyDescent="0.25">
      <c r="B299" s="9">
        <v>23</v>
      </c>
      <c r="D299" s="5" t="s">
        <v>9</v>
      </c>
      <c r="E299" s="24">
        <v>2</v>
      </c>
      <c r="F299" s="24">
        <v>0</v>
      </c>
      <c r="G299" s="24">
        <v>0</v>
      </c>
      <c r="H299" s="33">
        <f t="shared" si="18"/>
        <v>0</v>
      </c>
      <c r="I299" s="24">
        <v>0</v>
      </c>
      <c r="J299" s="26">
        <f t="shared" si="19"/>
        <v>0</v>
      </c>
      <c r="K299" s="24">
        <v>0</v>
      </c>
      <c r="L299" s="24">
        <v>0</v>
      </c>
      <c r="M299" s="24">
        <v>0</v>
      </c>
      <c r="N299" s="24">
        <v>0</v>
      </c>
      <c r="O299" s="24">
        <v>0</v>
      </c>
      <c r="P299" s="24">
        <v>0</v>
      </c>
    </row>
    <row r="302" spans="2:16" x14ac:dyDescent="0.25">
      <c r="C302" s="1" t="s">
        <v>220</v>
      </c>
    </row>
    <row r="304" spans="2:16" x14ac:dyDescent="0.25">
      <c r="D304" s="8" t="s">
        <v>0</v>
      </c>
      <c r="E304" s="18" t="s">
        <v>1</v>
      </c>
      <c r="F304" s="18" t="s">
        <v>2</v>
      </c>
      <c r="G304" s="18" t="s">
        <v>3</v>
      </c>
      <c r="H304" s="32" t="s">
        <v>4</v>
      </c>
      <c r="I304" s="18" t="s">
        <v>5</v>
      </c>
      <c r="J304" s="18" t="s">
        <v>38</v>
      </c>
      <c r="K304" s="18" t="s">
        <v>41</v>
      </c>
      <c r="L304" s="18" t="s">
        <v>42</v>
      </c>
      <c r="M304" s="18" t="s">
        <v>45</v>
      </c>
      <c r="N304" s="18" t="s">
        <v>46</v>
      </c>
      <c r="O304" s="18" t="s">
        <v>44</v>
      </c>
      <c r="P304" s="18" t="s">
        <v>43</v>
      </c>
    </row>
    <row r="305" spans="2:16" x14ac:dyDescent="0.25">
      <c r="B305" s="9">
        <v>1</v>
      </c>
      <c r="D305" s="5" t="s">
        <v>7</v>
      </c>
      <c r="E305" s="24">
        <v>6</v>
      </c>
      <c r="F305" s="24">
        <v>6</v>
      </c>
      <c r="G305" s="24">
        <v>5</v>
      </c>
      <c r="H305" s="33">
        <f t="shared" ref="H305:H326" si="20">F305+G305</f>
        <v>11</v>
      </c>
      <c r="I305" s="24">
        <v>4</v>
      </c>
      <c r="J305" s="26">
        <f t="shared" ref="J305:J326" si="21">H305/E305</f>
        <v>1.8333333333333333</v>
      </c>
      <c r="K305" s="24">
        <v>0</v>
      </c>
      <c r="L305" s="24">
        <v>1</v>
      </c>
      <c r="M305" s="24">
        <v>0</v>
      </c>
      <c r="N305" s="24">
        <v>0</v>
      </c>
      <c r="O305" s="24">
        <v>1</v>
      </c>
      <c r="P305" s="24">
        <v>0</v>
      </c>
    </row>
    <row r="306" spans="2:16" x14ac:dyDescent="0.25">
      <c r="B306" s="9">
        <v>2</v>
      </c>
      <c r="D306" s="5" t="s">
        <v>20</v>
      </c>
      <c r="E306" s="24">
        <v>16</v>
      </c>
      <c r="F306" s="24">
        <v>3</v>
      </c>
      <c r="G306" s="24">
        <v>8</v>
      </c>
      <c r="H306" s="33">
        <f t="shared" si="20"/>
        <v>11</v>
      </c>
      <c r="I306" s="24">
        <v>2</v>
      </c>
      <c r="J306" s="26">
        <f t="shared" si="21"/>
        <v>0.6875</v>
      </c>
      <c r="K306" s="24">
        <v>0</v>
      </c>
      <c r="L306" s="24">
        <v>0</v>
      </c>
      <c r="M306" s="24">
        <v>0</v>
      </c>
      <c r="N306" s="24">
        <v>0</v>
      </c>
      <c r="O306" s="24">
        <v>0</v>
      </c>
      <c r="P306" s="24">
        <v>0</v>
      </c>
    </row>
    <row r="307" spans="2:16" x14ac:dyDescent="0.25">
      <c r="B307" s="9">
        <v>3</v>
      </c>
      <c r="D307" s="5" t="s">
        <v>22</v>
      </c>
      <c r="E307" s="24">
        <v>20</v>
      </c>
      <c r="F307" s="24">
        <v>4</v>
      </c>
      <c r="G307" s="24">
        <v>4</v>
      </c>
      <c r="H307" s="33">
        <f t="shared" si="20"/>
        <v>8</v>
      </c>
      <c r="I307" s="24">
        <v>6</v>
      </c>
      <c r="J307" s="26">
        <f t="shared" si="21"/>
        <v>0.4</v>
      </c>
      <c r="K307" s="24">
        <v>1</v>
      </c>
      <c r="L307" s="24">
        <v>0</v>
      </c>
      <c r="M307" s="24">
        <v>0</v>
      </c>
      <c r="N307" s="24">
        <v>0</v>
      </c>
      <c r="O307" s="24">
        <v>0</v>
      </c>
      <c r="P307" s="24">
        <v>0</v>
      </c>
    </row>
    <row r="308" spans="2:16" x14ac:dyDescent="0.25">
      <c r="B308" s="9">
        <v>4</v>
      </c>
      <c r="D308" s="5" t="s">
        <v>34</v>
      </c>
      <c r="E308" s="24">
        <v>8</v>
      </c>
      <c r="F308" s="24">
        <v>5</v>
      </c>
      <c r="G308" s="24">
        <v>1</v>
      </c>
      <c r="H308" s="33">
        <f t="shared" si="20"/>
        <v>6</v>
      </c>
      <c r="I308" s="24">
        <v>6</v>
      </c>
      <c r="J308" s="26">
        <f t="shared" si="21"/>
        <v>0.75</v>
      </c>
      <c r="K308" s="24">
        <v>0</v>
      </c>
      <c r="L308" s="24">
        <v>0</v>
      </c>
      <c r="M308" s="24">
        <v>2</v>
      </c>
      <c r="N308" s="24">
        <v>0</v>
      </c>
      <c r="O308" s="24">
        <v>0</v>
      </c>
      <c r="P308" s="24">
        <v>0</v>
      </c>
    </row>
    <row r="309" spans="2:16" x14ac:dyDescent="0.25">
      <c r="B309" s="9">
        <v>5</v>
      </c>
      <c r="D309" s="5" t="s">
        <v>226</v>
      </c>
      <c r="E309" s="24">
        <v>16</v>
      </c>
      <c r="F309" s="24">
        <v>4</v>
      </c>
      <c r="G309" s="24">
        <v>2</v>
      </c>
      <c r="H309" s="33">
        <f t="shared" si="20"/>
        <v>6</v>
      </c>
      <c r="I309" s="24">
        <v>0</v>
      </c>
      <c r="J309" s="26">
        <f t="shared" si="21"/>
        <v>0.375</v>
      </c>
      <c r="K309" s="24">
        <v>0</v>
      </c>
      <c r="L309" s="24">
        <v>0</v>
      </c>
      <c r="M309" s="24">
        <v>1</v>
      </c>
      <c r="N309" s="24">
        <v>0</v>
      </c>
      <c r="O309" s="24">
        <v>0</v>
      </c>
      <c r="P309" s="24">
        <v>0</v>
      </c>
    </row>
    <row r="310" spans="2:16" x14ac:dyDescent="0.25">
      <c r="B310" s="9">
        <v>6</v>
      </c>
      <c r="D310" s="5" t="s">
        <v>253</v>
      </c>
      <c r="E310" s="24">
        <v>12</v>
      </c>
      <c r="F310" s="24">
        <v>2</v>
      </c>
      <c r="G310" s="24">
        <v>4</v>
      </c>
      <c r="H310" s="33">
        <f t="shared" si="20"/>
        <v>6</v>
      </c>
      <c r="I310" s="24">
        <v>2</v>
      </c>
      <c r="J310" s="26">
        <f t="shared" si="21"/>
        <v>0.5</v>
      </c>
      <c r="K310" s="24">
        <v>1</v>
      </c>
      <c r="L310" s="24">
        <v>0</v>
      </c>
      <c r="M310" s="24">
        <v>0</v>
      </c>
      <c r="N310" s="24">
        <v>0</v>
      </c>
      <c r="O310" s="24">
        <v>0</v>
      </c>
      <c r="P310" s="24">
        <v>1</v>
      </c>
    </row>
    <row r="311" spans="2:16" x14ac:dyDescent="0.25">
      <c r="B311" s="9">
        <v>7</v>
      </c>
      <c r="D311" s="5" t="s">
        <v>10</v>
      </c>
      <c r="E311" s="24">
        <v>8</v>
      </c>
      <c r="F311" s="24">
        <v>3</v>
      </c>
      <c r="G311" s="24">
        <v>2</v>
      </c>
      <c r="H311" s="33">
        <f t="shared" si="20"/>
        <v>5</v>
      </c>
      <c r="I311" s="24">
        <v>4</v>
      </c>
      <c r="J311" s="26">
        <f t="shared" si="21"/>
        <v>0.625</v>
      </c>
      <c r="K311" s="24">
        <v>1</v>
      </c>
      <c r="L311" s="24">
        <v>0</v>
      </c>
      <c r="M311" s="24">
        <v>0</v>
      </c>
      <c r="N311" s="24">
        <v>0</v>
      </c>
      <c r="O311" s="24">
        <v>0</v>
      </c>
      <c r="P311" s="24">
        <v>0</v>
      </c>
    </row>
    <row r="312" spans="2:16" x14ac:dyDescent="0.25">
      <c r="B312" s="9">
        <v>8</v>
      </c>
      <c r="D312" s="5" t="s">
        <v>36</v>
      </c>
      <c r="E312" s="24">
        <v>18</v>
      </c>
      <c r="F312" s="24">
        <v>3</v>
      </c>
      <c r="G312" s="24">
        <v>1</v>
      </c>
      <c r="H312" s="33">
        <f t="shared" si="20"/>
        <v>4</v>
      </c>
      <c r="I312" s="24">
        <v>2</v>
      </c>
      <c r="J312" s="26">
        <f t="shared" si="21"/>
        <v>0.22222222222222221</v>
      </c>
      <c r="K312" s="24">
        <v>0</v>
      </c>
      <c r="L312" s="24">
        <v>0</v>
      </c>
      <c r="M312" s="24">
        <v>0</v>
      </c>
      <c r="N312" s="24">
        <v>0</v>
      </c>
      <c r="O312" s="24">
        <v>0</v>
      </c>
      <c r="P312" s="24">
        <v>0</v>
      </c>
    </row>
    <row r="313" spans="2:16" x14ac:dyDescent="0.25">
      <c r="B313" s="9">
        <v>9</v>
      </c>
      <c r="D313" s="5" t="s">
        <v>255</v>
      </c>
      <c r="E313" s="24">
        <v>20</v>
      </c>
      <c r="F313" s="24">
        <v>3</v>
      </c>
      <c r="G313" s="24">
        <v>1</v>
      </c>
      <c r="H313" s="33">
        <f t="shared" si="20"/>
        <v>4</v>
      </c>
      <c r="I313" s="24">
        <v>4</v>
      </c>
      <c r="J313" s="26">
        <f t="shared" si="21"/>
        <v>0.2</v>
      </c>
      <c r="K313" s="24">
        <v>0</v>
      </c>
      <c r="L313" s="24">
        <v>0</v>
      </c>
      <c r="M313" s="24">
        <v>0</v>
      </c>
      <c r="N313" s="24">
        <v>0</v>
      </c>
      <c r="O313" s="24">
        <v>0</v>
      </c>
      <c r="P313" s="24">
        <v>0</v>
      </c>
    </row>
    <row r="314" spans="2:16" x14ac:dyDescent="0.25">
      <c r="B314" s="9">
        <v>10</v>
      </c>
      <c r="D314" s="5" t="s">
        <v>227</v>
      </c>
      <c r="E314" s="24">
        <v>18</v>
      </c>
      <c r="F314" s="24">
        <v>1</v>
      </c>
      <c r="G314" s="24">
        <v>3</v>
      </c>
      <c r="H314" s="33">
        <f t="shared" si="20"/>
        <v>4</v>
      </c>
      <c r="I314" s="24">
        <v>0</v>
      </c>
      <c r="J314" s="26">
        <f t="shared" si="21"/>
        <v>0.22222222222222221</v>
      </c>
      <c r="K314" s="24">
        <v>0</v>
      </c>
      <c r="L314" s="24">
        <v>0</v>
      </c>
      <c r="M314" s="24">
        <v>0</v>
      </c>
      <c r="N314" s="24">
        <v>0</v>
      </c>
      <c r="O314" s="24">
        <v>0</v>
      </c>
      <c r="P314" s="24">
        <v>0</v>
      </c>
    </row>
    <row r="315" spans="2:16" x14ac:dyDescent="0.25">
      <c r="B315" s="9">
        <v>11</v>
      </c>
      <c r="D315" s="5" t="s">
        <v>256</v>
      </c>
      <c r="E315" s="24">
        <v>11</v>
      </c>
      <c r="F315" s="24">
        <v>2</v>
      </c>
      <c r="G315" s="24">
        <v>0</v>
      </c>
      <c r="H315" s="33">
        <f t="shared" si="20"/>
        <v>2</v>
      </c>
      <c r="I315" s="24">
        <v>2</v>
      </c>
      <c r="J315" s="26">
        <f t="shared" si="21"/>
        <v>0.18181818181818182</v>
      </c>
      <c r="K315" s="24">
        <v>0</v>
      </c>
      <c r="L315" s="24">
        <v>0</v>
      </c>
      <c r="M315" s="24">
        <v>0</v>
      </c>
      <c r="N315" s="24">
        <v>0</v>
      </c>
      <c r="O315" s="24">
        <v>0</v>
      </c>
      <c r="P315" s="24">
        <v>0</v>
      </c>
    </row>
    <row r="316" spans="2:16" x14ac:dyDescent="0.25">
      <c r="B316" s="9">
        <v>12</v>
      </c>
      <c r="D316" s="5" t="s">
        <v>232</v>
      </c>
      <c r="E316" s="24">
        <v>15</v>
      </c>
      <c r="F316" s="24">
        <v>1</v>
      </c>
      <c r="G316" s="24">
        <v>1</v>
      </c>
      <c r="H316" s="33">
        <f t="shared" si="20"/>
        <v>2</v>
      </c>
      <c r="I316" s="24">
        <v>4</v>
      </c>
      <c r="J316" s="26">
        <f t="shared" si="21"/>
        <v>0.13333333333333333</v>
      </c>
      <c r="K316" s="24">
        <v>0</v>
      </c>
      <c r="L316" s="24">
        <v>0</v>
      </c>
      <c r="M316" s="24">
        <v>0</v>
      </c>
      <c r="N316" s="24">
        <v>0</v>
      </c>
      <c r="O316" s="24">
        <v>0</v>
      </c>
      <c r="P316" s="24">
        <v>0</v>
      </c>
    </row>
    <row r="317" spans="2:16" x14ac:dyDescent="0.25">
      <c r="B317" s="9">
        <v>13</v>
      </c>
      <c r="D317" s="5" t="s">
        <v>8</v>
      </c>
      <c r="E317" s="24">
        <v>2</v>
      </c>
      <c r="F317" s="24">
        <v>1</v>
      </c>
      <c r="G317" s="24">
        <v>0</v>
      </c>
      <c r="H317" s="33">
        <f t="shared" si="20"/>
        <v>1</v>
      </c>
      <c r="I317" s="24">
        <v>2</v>
      </c>
      <c r="J317" s="26">
        <f t="shared" si="21"/>
        <v>0.5</v>
      </c>
      <c r="K317" s="24">
        <v>0</v>
      </c>
      <c r="L317" s="24">
        <v>0</v>
      </c>
      <c r="M317" s="24">
        <v>0</v>
      </c>
      <c r="N317" s="24">
        <v>0</v>
      </c>
      <c r="O317" s="24">
        <v>0</v>
      </c>
      <c r="P317" s="24">
        <v>0</v>
      </c>
    </row>
    <row r="318" spans="2:16" x14ac:dyDescent="0.25">
      <c r="B318" s="9">
        <v>14</v>
      </c>
      <c r="D318" s="5" t="s">
        <v>17</v>
      </c>
      <c r="E318" s="24">
        <v>18</v>
      </c>
      <c r="F318" s="24">
        <v>1</v>
      </c>
      <c r="G318" s="24">
        <v>0</v>
      </c>
      <c r="H318" s="33">
        <f t="shared" si="20"/>
        <v>1</v>
      </c>
      <c r="I318" s="24">
        <v>0</v>
      </c>
      <c r="J318" s="26">
        <f t="shared" si="21"/>
        <v>5.5555555555555552E-2</v>
      </c>
      <c r="K318" s="24">
        <v>0</v>
      </c>
      <c r="L318" s="24">
        <v>0</v>
      </c>
      <c r="M318" s="24">
        <v>0</v>
      </c>
      <c r="N318" s="24">
        <v>0</v>
      </c>
      <c r="O318" s="24">
        <v>0</v>
      </c>
      <c r="P318" s="24">
        <v>0</v>
      </c>
    </row>
    <row r="319" spans="2:16" x14ac:dyDescent="0.25">
      <c r="B319" s="9">
        <v>15</v>
      </c>
      <c r="D319" s="5" t="s">
        <v>39</v>
      </c>
      <c r="E319" s="24">
        <v>3</v>
      </c>
      <c r="F319" s="24">
        <v>0</v>
      </c>
      <c r="G319" s="24">
        <v>1</v>
      </c>
      <c r="H319" s="33">
        <f t="shared" si="20"/>
        <v>1</v>
      </c>
      <c r="I319" s="24">
        <v>0</v>
      </c>
      <c r="J319" s="26">
        <f t="shared" si="21"/>
        <v>0.33333333333333331</v>
      </c>
      <c r="K319" s="24">
        <v>0</v>
      </c>
      <c r="L319" s="24">
        <v>0</v>
      </c>
      <c r="M319" s="24">
        <v>0</v>
      </c>
      <c r="N319" s="24">
        <v>0</v>
      </c>
      <c r="O319" s="24">
        <v>0</v>
      </c>
      <c r="P319" s="24">
        <v>0</v>
      </c>
    </row>
    <row r="320" spans="2:16" x14ac:dyDescent="0.25">
      <c r="B320" s="9">
        <v>16</v>
      </c>
      <c r="D320" s="5" t="s">
        <v>254</v>
      </c>
      <c r="E320" s="24">
        <v>16</v>
      </c>
      <c r="F320" s="24">
        <v>0</v>
      </c>
      <c r="G320" s="24">
        <v>0</v>
      </c>
      <c r="H320" s="33">
        <f t="shared" si="20"/>
        <v>0</v>
      </c>
      <c r="I320" s="24">
        <v>0</v>
      </c>
      <c r="J320" s="26">
        <f t="shared" si="21"/>
        <v>0</v>
      </c>
      <c r="K320" s="24">
        <v>0</v>
      </c>
      <c r="L320" s="24">
        <v>0</v>
      </c>
      <c r="M320" s="24">
        <v>0</v>
      </c>
      <c r="N320" s="24">
        <v>0</v>
      </c>
      <c r="O320" s="24">
        <v>0</v>
      </c>
      <c r="P320" s="24">
        <v>0</v>
      </c>
    </row>
    <row r="321" spans="2:16" x14ac:dyDescent="0.25">
      <c r="B321" s="9">
        <v>17</v>
      </c>
      <c r="D321" s="5" t="s">
        <v>35</v>
      </c>
      <c r="E321" s="24">
        <v>14</v>
      </c>
      <c r="F321" s="24">
        <v>0</v>
      </c>
      <c r="G321" s="24">
        <v>0</v>
      </c>
      <c r="H321" s="33">
        <f t="shared" si="20"/>
        <v>0</v>
      </c>
      <c r="I321" s="24">
        <v>4</v>
      </c>
      <c r="J321" s="26">
        <f t="shared" si="21"/>
        <v>0</v>
      </c>
      <c r="K321" s="24">
        <v>0</v>
      </c>
      <c r="L321" s="24">
        <v>0</v>
      </c>
      <c r="M321" s="24">
        <v>0</v>
      </c>
      <c r="N321" s="24">
        <v>0</v>
      </c>
      <c r="O321" s="24">
        <v>0</v>
      </c>
      <c r="P321" s="24">
        <v>0</v>
      </c>
    </row>
    <row r="322" spans="2:16" x14ac:dyDescent="0.25">
      <c r="B322" s="9">
        <v>18</v>
      </c>
      <c r="D322" s="5" t="s">
        <v>258</v>
      </c>
      <c r="E322" s="24">
        <v>10</v>
      </c>
      <c r="F322" s="24">
        <v>0</v>
      </c>
      <c r="G322" s="24">
        <v>0</v>
      </c>
      <c r="H322" s="33">
        <f t="shared" si="20"/>
        <v>0</v>
      </c>
      <c r="I322" s="24">
        <v>2</v>
      </c>
      <c r="J322" s="26">
        <f t="shared" si="21"/>
        <v>0</v>
      </c>
      <c r="K322" s="24">
        <v>0</v>
      </c>
      <c r="L322" s="24">
        <v>0</v>
      </c>
      <c r="M322" s="24">
        <v>0</v>
      </c>
      <c r="N322" s="24">
        <v>0</v>
      </c>
      <c r="O322" s="24">
        <v>0</v>
      </c>
      <c r="P322" s="24">
        <v>0</v>
      </c>
    </row>
    <row r="323" spans="2:16" x14ac:dyDescent="0.25">
      <c r="B323" s="9">
        <v>19</v>
      </c>
      <c r="D323" s="5" t="s">
        <v>224</v>
      </c>
      <c r="E323" s="24">
        <v>5</v>
      </c>
      <c r="F323" s="24">
        <v>0</v>
      </c>
      <c r="G323" s="24">
        <v>0</v>
      </c>
      <c r="H323" s="33">
        <f t="shared" si="20"/>
        <v>0</v>
      </c>
      <c r="I323" s="24">
        <v>0</v>
      </c>
      <c r="J323" s="26">
        <f t="shared" si="21"/>
        <v>0</v>
      </c>
      <c r="K323" s="24">
        <v>0</v>
      </c>
      <c r="L323" s="24">
        <v>0</v>
      </c>
      <c r="M323" s="24">
        <v>0</v>
      </c>
      <c r="N323" s="24">
        <v>0</v>
      </c>
      <c r="O323" s="24">
        <v>0</v>
      </c>
      <c r="P323" s="24">
        <v>0</v>
      </c>
    </row>
    <row r="324" spans="2:16" x14ac:dyDescent="0.25">
      <c r="B324" s="9">
        <v>20</v>
      </c>
      <c r="D324" s="5" t="s">
        <v>91</v>
      </c>
      <c r="E324" s="24">
        <v>2</v>
      </c>
      <c r="F324" s="24">
        <v>0</v>
      </c>
      <c r="G324" s="24">
        <v>0</v>
      </c>
      <c r="H324" s="33">
        <f t="shared" si="20"/>
        <v>0</v>
      </c>
      <c r="I324" s="24">
        <v>0</v>
      </c>
      <c r="J324" s="26">
        <f t="shared" si="21"/>
        <v>0</v>
      </c>
      <c r="K324" s="24">
        <v>0</v>
      </c>
      <c r="L324" s="24">
        <v>0</v>
      </c>
      <c r="M324" s="24">
        <v>0</v>
      </c>
      <c r="N324" s="24">
        <v>0</v>
      </c>
      <c r="O324" s="24">
        <v>0</v>
      </c>
      <c r="P324" s="24">
        <v>0</v>
      </c>
    </row>
    <row r="325" spans="2:16" x14ac:dyDescent="0.25">
      <c r="B325" s="9">
        <v>21</v>
      </c>
      <c r="D325" s="5" t="s">
        <v>75</v>
      </c>
      <c r="E325" s="24">
        <v>4</v>
      </c>
      <c r="F325" s="24">
        <v>0</v>
      </c>
      <c r="G325" s="24">
        <v>0</v>
      </c>
      <c r="H325" s="33">
        <f t="shared" si="20"/>
        <v>0</v>
      </c>
      <c r="I325" s="24">
        <v>0</v>
      </c>
      <c r="J325" s="26">
        <f t="shared" si="21"/>
        <v>0</v>
      </c>
      <c r="K325" s="24">
        <v>0</v>
      </c>
      <c r="L325" s="24">
        <v>0</v>
      </c>
      <c r="M325" s="24">
        <v>0</v>
      </c>
      <c r="N325" s="24">
        <v>0</v>
      </c>
      <c r="O325" s="24">
        <v>0</v>
      </c>
      <c r="P325" s="24">
        <v>0</v>
      </c>
    </row>
    <row r="326" spans="2:16" x14ac:dyDescent="0.25">
      <c r="B326" s="9">
        <v>22</v>
      </c>
      <c r="D326" s="5" t="s">
        <v>293</v>
      </c>
      <c r="E326" s="24">
        <v>4</v>
      </c>
      <c r="F326" s="24">
        <v>0</v>
      </c>
      <c r="G326" s="24">
        <v>0</v>
      </c>
      <c r="H326" s="33">
        <f t="shared" si="20"/>
        <v>0</v>
      </c>
      <c r="I326" s="24">
        <v>0</v>
      </c>
      <c r="J326" s="26">
        <f t="shared" si="21"/>
        <v>0</v>
      </c>
      <c r="K326" s="24">
        <v>0</v>
      </c>
      <c r="L326" s="24">
        <v>0</v>
      </c>
      <c r="M326" s="24">
        <v>0</v>
      </c>
      <c r="N326" s="24">
        <v>0</v>
      </c>
      <c r="O326" s="24">
        <v>0</v>
      </c>
      <c r="P326" s="24">
        <v>0</v>
      </c>
    </row>
    <row r="329" spans="2:16" x14ac:dyDescent="0.25">
      <c r="C329" s="1" t="s">
        <v>81</v>
      </c>
    </row>
    <row r="331" spans="2:16" x14ac:dyDescent="0.25">
      <c r="D331" s="8" t="s">
        <v>0</v>
      </c>
      <c r="E331" s="18" t="s">
        <v>1</v>
      </c>
      <c r="F331" s="18" t="s">
        <v>2</v>
      </c>
      <c r="G331" s="18" t="s">
        <v>3</v>
      </c>
      <c r="H331" s="32" t="s">
        <v>4</v>
      </c>
      <c r="I331" s="18" t="s">
        <v>5</v>
      </c>
      <c r="J331" s="18" t="s">
        <v>38</v>
      </c>
      <c r="K331" s="18" t="s">
        <v>41</v>
      </c>
      <c r="L331" s="18" t="s">
        <v>42</v>
      </c>
      <c r="M331" s="18" t="s">
        <v>45</v>
      </c>
      <c r="N331" s="18" t="s">
        <v>46</v>
      </c>
      <c r="O331" s="18" t="s">
        <v>44</v>
      </c>
      <c r="P331" s="18" t="s">
        <v>43</v>
      </c>
    </row>
    <row r="332" spans="2:16" x14ac:dyDescent="0.25">
      <c r="B332" s="9">
        <v>1</v>
      </c>
      <c r="D332" s="5" t="s">
        <v>7</v>
      </c>
      <c r="E332" s="24">
        <v>10</v>
      </c>
      <c r="F332" s="24">
        <v>14</v>
      </c>
      <c r="G332" s="24">
        <v>14</v>
      </c>
      <c r="H332" s="33">
        <f t="shared" ref="H332:H351" si="22">F332+G332</f>
        <v>28</v>
      </c>
      <c r="I332" s="24">
        <v>2</v>
      </c>
      <c r="J332" s="26">
        <f t="shared" ref="J332:J351" si="23">H332/E332</f>
        <v>2.8</v>
      </c>
      <c r="K332" s="24">
        <v>1</v>
      </c>
      <c r="L332" s="24">
        <v>1</v>
      </c>
      <c r="M332" s="24">
        <v>0</v>
      </c>
      <c r="N332" s="24">
        <v>2</v>
      </c>
      <c r="O332" s="24">
        <v>0</v>
      </c>
      <c r="P332" s="24">
        <v>0</v>
      </c>
    </row>
    <row r="333" spans="2:16" x14ac:dyDescent="0.25">
      <c r="B333" s="9">
        <v>2</v>
      </c>
      <c r="D333" s="5" t="s">
        <v>13</v>
      </c>
      <c r="E333" s="24">
        <v>4</v>
      </c>
      <c r="F333" s="24">
        <v>8</v>
      </c>
      <c r="G333" s="24">
        <v>7</v>
      </c>
      <c r="H333" s="33">
        <f t="shared" si="22"/>
        <v>15</v>
      </c>
      <c r="I333" s="24">
        <v>2</v>
      </c>
      <c r="J333" s="26">
        <f t="shared" si="23"/>
        <v>3.75</v>
      </c>
      <c r="K333" s="24">
        <v>0</v>
      </c>
      <c r="L333" s="24">
        <v>0</v>
      </c>
      <c r="M333" s="24">
        <v>0</v>
      </c>
      <c r="N333" s="24">
        <v>1</v>
      </c>
      <c r="O333" s="24">
        <v>0</v>
      </c>
      <c r="P333" s="24">
        <v>0</v>
      </c>
    </row>
    <row r="334" spans="2:16" x14ac:dyDescent="0.25">
      <c r="B334" s="9">
        <v>3</v>
      </c>
      <c r="D334" s="5" t="s">
        <v>225</v>
      </c>
      <c r="E334" s="24">
        <v>16</v>
      </c>
      <c r="F334" s="24">
        <v>7</v>
      </c>
      <c r="G334" s="24">
        <v>3</v>
      </c>
      <c r="H334" s="33">
        <f t="shared" si="22"/>
        <v>10</v>
      </c>
      <c r="I334" s="24">
        <v>2</v>
      </c>
      <c r="J334" s="26">
        <f t="shared" si="23"/>
        <v>0.625</v>
      </c>
      <c r="K334" s="24">
        <v>1</v>
      </c>
      <c r="L334" s="24">
        <v>1</v>
      </c>
      <c r="M334" s="24">
        <v>0</v>
      </c>
      <c r="N334" s="24">
        <v>0</v>
      </c>
      <c r="O334" s="24">
        <v>0</v>
      </c>
      <c r="P334" s="24">
        <v>0</v>
      </c>
    </row>
    <row r="335" spans="2:16" x14ac:dyDescent="0.25">
      <c r="B335" s="9">
        <v>4</v>
      </c>
      <c r="D335" s="5" t="s">
        <v>9</v>
      </c>
      <c r="E335" s="24">
        <v>4</v>
      </c>
      <c r="F335" s="24">
        <v>5</v>
      </c>
      <c r="G335" s="24">
        <v>4</v>
      </c>
      <c r="H335" s="33">
        <f t="shared" si="22"/>
        <v>9</v>
      </c>
      <c r="I335" s="24">
        <v>0</v>
      </c>
      <c r="J335" s="26">
        <f t="shared" si="23"/>
        <v>2.25</v>
      </c>
      <c r="K335" s="24">
        <v>0</v>
      </c>
      <c r="L335" s="24">
        <v>0</v>
      </c>
      <c r="M335" s="24">
        <v>1</v>
      </c>
      <c r="N335" s="24">
        <v>0</v>
      </c>
      <c r="O335" s="24">
        <v>0</v>
      </c>
      <c r="P335" s="24">
        <v>0</v>
      </c>
    </row>
    <row r="336" spans="2:16" x14ac:dyDescent="0.25">
      <c r="B336" s="9">
        <v>5</v>
      </c>
      <c r="D336" s="5" t="s">
        <v>82</v>
      </c>
      <c r="E336" s="24">
        <v>10</v>
      </c>
      <c r="F336" s="24">
        <v>3</v>
      </c>
      <c r="G336" s="24">
        <v>4</v>
      </c>
      <c r="H336" s="33">
        <f t="shared" si="22"/>
        <v>7</v>
      </c>
      <c r="I336" s="24">
        <v>6</v>
      </c>
      <c r="J336" s="26">
        <f t="shared" si="23"/>
        <v>0.7</v>
      </c>
      <c r="K336" s="24">
        <v>0</v>
      </c>
      <c r="L336" s="24">
        <v>0</v>
      </c>
      <c r="M336" s="24">
        <v>0</v>
      </c>
      <c r="N336" s="24">
        <v>0</v>
      </c>
      <c r="O336" s="24">
        <v>0</v>
      </c>
      <c r="P336" s="24">
        <v>0</v>
      </c>
    </row>
    <row r="337" spans="2:16" x14ac:dyDescent="0.25">
      <c r="B337" s="9">
        <v>6</v>
      </c>
      <c r="D337" s="5" t="s">
        <v>232</v>
      </c>
      <c r="E337" s="24">
        <v>16</v>
      </c>
      <c r="F337" s="24">
        <v>3</v>
      </c>
      <c r="G337" s="24">
        <v>3</v>
      </c>
      <c r="H337" s="33">
        <f t="shared" si="22"/>
        <v>6</v>
      </c>
      <c r="I337" s="24">
        <v>4</v>
      </c>
      <c r="J337" s="26">
        <f t="shared" si="23"/>
        <v>0.375</v>
      </c>
      <c r="K337" s="24">
        <v>0</v>
      </c>
      <c r="L337" s="24">
        <v>0</v>
      </c>
      <c r="M337" s="24">
        <v>0</v>
      </c>
      <c r="N337" s="24">
        <v>0</v>
      </c>
      <c r="O337" s="24">
        <v>0</v>
      </c>
      <c r="P337" s="24">
        <v>0</v>
      </c>
    </row>
    <row r="338" spans="2:16" x14ac:dyDescent="0.25">
      <c r="B338" s="9">
        <v>7</v>
      </c>
      <c r="D338" s="5" t="s">
        <v>17</v>
      </c>
      <c r="E338" s="24">
        <v>17</v>
      </c>
      <c r="F338" s="24">
        <v>4</v>
      </c>
      <c r="G338" s="24">
        <v>1</v>
      </c>
      <c r="H338" s="33">
        <f t="shared" si="22"/>
        <v>5</v>
      </c>
      <c r="I338" s="24">
        <v>2</v>
      </c>
      <c r="J338" s="26">
        <f t="shared" si="23"/>
        <v>0.29411764705882354</v>
      </c>
      <c r="K338" s="24">
        <v>0</v>
      </c>
      <c r="L338" s="24">
        <v>0</v>
      </c>
      <c r="M338" s="24">
        <v>0</v>
      </c>
      <c r="N338" s="24">
        <v>0</v>
      </c>
      <c r="O338" s="24">
        <v>0</v>
      </c>
      <c r="P338" s="24">
        <v>0</v>
      </c>
    </row>
    <row r="339" spans="2:16" x14ac:dyDescent="0.25">
      <c r="B339" s="9">
        <v>8</v>
      </c>
      <c r="D339" s="5" t="s">
        <v>10</v>
      </c>
      <c r="E339" s="24">
        <v>6</v>
      </c>
      <c r="F339" s="24">
        <v>3</v>
      </c>
      <c r="G339" s="24">
        <v>2</v>
      </c>
      <c r="H339" s="33">
        <f t="shared" si="22"/>
        <v>5</v>
      </c>
      <c r="I339" s="24">
        <v>4</v>
      </c>
      <c r="J339" s="26">
        <f t="shared" si="23"/>
        <v>0.83333333333333337</v>
      </c>
      <c r="K339" s="24">
        <v>0</v>
      </c>
      <c r="L339" s="24">
        <v>0</v>
      </c>
      <c r="M339" s="24">
        <v>0</v>
      </c>
      <c r="N339" s="24">
        <v>0</v>
      </c>
      <c r="O339" s="24">
        <v>0</v>
      </c>
      <c r="P339" s="24">
        <v>0</v>
      </c>
    </row>
    <row r="340" spans="2:16" x14ac:dyDescent="0.25">
      <c r="B340" s="9">
        <v>9</v>
      </c>
      <c r="D340" s="5" t="s">
        <v>226</v>
      </c>
      <c r="E340" s="24">
        <v>16</v>
      </c>
      <c r="F340" s="24">
        <v>3</v>
      </c>
      <c r="G340" s="24">
        <v>2</v>
      </c>
      <c r="H340" s="33">
        <f t="shared" si="22"/>
        <v>5</v>
      </c>
      <c r="I340" s="24">
        <v>0</v>
      </c>
      <c r="J340" s="26">
        <f t="shared" si="23"/>
        <v>0.3125</v>
      </c>
      <c r="K340" s="24">
        <v>0</v>
      </c>
      <c r="L340" s="24">
        <v>0</v>
      </c>
      <c r="M340" s="24">
        <v>0</v>
      </c>
      <c r="N340" s="24">
        <v>0</v>
      </c>
      <c r="O340" s="24">
        <v>0</v>
      </c>
      <c r="P340" s="24">
        <v>0</v>
      </c>
    </row>
    <row r="341" spans="2:16" x14ac:dyDescent="0.25">
      <c r="B341" s="9">
        <v>10</v>
      </c>
      <c r="D341" s="5" t="s">
        <v>223</v>
      </c>
      <c r="E341" s="24">
        <v>10</v>
      </c>
      <c r="F341" s="24">
        <v>2</v>
      </c>
      <c r="G341" s="24">
        <v>3</v>
      </c>
      <c r="H341" s="33">
        <f t="shared" si="22"/>
        <v>5</v>
      </c>
      <c r="I341" s="24">
        <v>0</v>
      </c>
      <c r="J341" s="26">
        <f t="shared" si="23"/>
        <v>0.5</v>
      </c>
      <c r="K341" s="24">
        <v>0</v>
      </c>
      <c r="L341" s="24">
        <v>0</v>
      </c>
      <c r="M341" s="24">
        <v>0</v>
      </c>
      <c r="N341" s="24">
        <v>0</v>
      </c>
      <c r="O341" s="24">
        <v>0</v>
      </c>
      <c r="P341" s="24">
        <v>0</v>
      </c>
    </row>
    <row r="342" spans="2:16" x14ac:dyDescent="0.25">
      <c r="B342" s="9">
        <v>11</v>
      </c>
      <c r="D342" s="5" t="s">
        <v>77</v>
      </c>
      <c r="E342" s="24">
        <v>2</v>
      </c>
      <c r="F342" s="24">
        <v>2</v>
      </c>
      <c r="G342" s="24">
        <v>2</v>
      </c>
      <c r="H342" s="33">
        <f t="shared" si="22"/>
        <v>4</v>
      </c>
      <c r="I342" s="24">
        <v>2</v>
      </c>
      <c r="J342" s="26">
        <f t="shared" si="23"/>
        <v>2</v>
      </c>
      <c r="K342" s="24">
        <v>0</v>
      </c>
      <c r="L342" s="24">
        <v>0</v>
      </c>
      <c r="M342" s="24">
        <v>0</v>
      </c>
      <c r="N342" s="24">
        <v>0</v>
      </c>
      <c r="O342" s="24">
        <v>0</v>
      </c>
      <c r="P342" s="24">
        <v>0</v>
      </c>
    </row>
    <row r="343" spans="2:16" x14ac:dyDescent="0.25">
      <c r="B343" s="9">
        <v>12</v>
      </c>
      <c r="D343" s="5" t="s">
        <v>227</v>
      </c>
      <c r="E343" s="24">
        <v>18</v>
      </c>
      <c r="F343" s="24">
        <v>2</v>
      </c>
      <c r="G343" s="24">
        <v>2</v>
      </c>
      <c r="H343" s="33">
        <f t="shared" si="22"/>
        <v>4</v>
      </c>
      <c r="I343" s="24">
        <v>4</v>
      </c>
      <c r="J343" s="26">
        <f t="shared" si="23"/>
        <v>0.22222222222222221</v>
      </c>
      <c r="K343" s="24">
        <v>0</v>
      </c>
      <c r="L343" s="24">
        <v>0</v>
      </c>
      <c r="M343" s="24">
        <v>0</v>
      </c>
      <c r="N343" s="24">
        <v>0</v>
      </c>
      <c r="O343" s="24">
        <v>0</v>
      </c>
      <c r="P343" s="24">
        <v>0</v>
      </c>
    </row>
    <row r="344" spans="2:16" x14ac:dyDescent="0.25">
      <c r="B344" s="9">
        <v>13</v>
      </c>
      <c r="D344" s="5" t="s">
        <v>22</v>
      </c>
      <c r="E344" s="24">
        <v>20</v>
      </c>
      <c r="F344" s="24">
        <v>2</v>
      </c>
      <c r="G344" s="24">
        <v>2</v>
      </c>
      <c r="H344" s="33">
        <f t="shared" si="22"/>
        <v>4</v>
      </c>
      <c r="I344" s="24">
        <v>31</v>
      </c>
      <c r="J344" s="26">
        <f t="shared" si="23"/>
        <v>0.2</v>
      </c>
      <c r="K344" s="24">
        <v>0</v>
      </c>
      <c r="L344" s="24">
        <v>0</v>
      </c>
      <c r="M344" s="24">
        <v>0</v>
      </c>
      <c r="N344" s="24">
        <v>0</v>
      </c>
      <c r="O344" s="24">
        <v>0</v>
      </c>
      <c r="P344" s="24">
        <v>0</v>
      </c>
    </row>
    <row r="345" spans="2:16" x14ac:dyDescent="0.25">
      <c r="B345" s="9">
        <v>14</v>
      </c>
      <c r="D345" s="5" t="s">
        <v>8</v>
      </c>
      <c r="E345" s="24">
        <v>2</v>
      </c>
      <c r="F345" s="24">
        <v>1</v>
      </c>
      <c r="G345" s="24">
        <v>1</v>
      </c>
      <c r="H345" s="33">
        <f t="shared" si="22"/>
        <v>2</v>
      </c>
      <c r="I345" s="24">
        <v>2</v>
      </c>
      <c r="J345" s="26">
        <f t="shared" si="23"/>
        <v>1</v>
      </c>
      <c r="K345" s="24">
        <v>0</v>
      </c>
      <c r="L345" s="24">
        <v>0</v>
      </c>
      <c r="M345" s="24">
        <v>0</v>
      </c>
      <c r="N345" s="24">
        <v>0</v>
      </c>
      <c r="O345" s="24">
        <v>0</v>
      </c>
      <c r="P345" s="24">
        <v>0</v>
      </c>
    </row>
    <row r="346" spans="2:16" x14ac:dyDescent="0.25">
      <c r="B346" s="9">
        <v>15</v>
      </c>
      <c r="D346" s="5" t="s">
        <v>36</v>
      </c>
      <c r="E346" s="24">
        <v>12</v>
      </c>
      <c r="F346" s="24">
        <v>1</v>
      </c>
      <c r="G346" s="24">
        <v>1</v>
      </c>
      <c r="H346" s="33">
        <f t="shared" si="22"/>
        <v>2</v>
      </c>
      <c r="I346" s="24">
        <v>2</v>
      </c>
      <c r="J346" s="26">
        <f t="shared" si="23"/>
        <v>0.16666666666666666</v>
      </c>
      <c r="K346" s="24">
        <v>0</v>
      </c>
      <c r="L346" s="24">
        <v>0</v>
      </c>
      <c r="M346" s="24">
        <v>0</v>
      </c>
      <c r="N346" s="24">
        <v>0</v>
      </c>
      <c r="O346" s="24">
        <v>0</v>
      </c>
      <c r="P346" s="24">
        <v>0</v>
      </c>
    </row>
    <row r="347" spans="2:16" x14ac:dyDescent="0.25">
      <c r="B347" s="9">
        <v>16</v>
      </c>
      <c r="D347" s="5" t="s">
        <v>35</v>
      </c>
      <c r="E347" s="24">
        <v>18</v>
      </c>
      <c r="F347" s="24">
        <v>1</v>
      </c>
      <c r="G347" s="24">
        <v>0</v>
      </c>
      <c r="H347" s="33">
        <f t="shared" si="22"/>
        <v>1</v>
      </c>
      <c r="I347" s="24">
        <v>6</v>
      </c>
      <c r="J347" s="26">
        <f t="shared" si="23"/>
        <v>5.5555555555555552E-2</v>
      </c>
      <c r="K347" s="24">
        <v>1</v>
      </c>
      <c r="L347" s="24">
        <v>0</v>
      </c>
      <c r="M347" s="24">
        <v>0</v>
      </c>
      <c r="N347" s="24">
        <v>0</v>
      </c>
      <c r="O347" s="24">
        <v>0</v>
      </c>
      <c r="P347" s="24">
        <v>0</v>
      </c>
    </row>
    <row r="348" spans="2:16" x14ac:dyDescent="0.25">
      <c r="B348" s="9">
        <v>17</v>
      </c>
      <c r="D348" s="5" t="s">
        <v>224</v>
      </c>
      <c r="E348" s="24">
        <v>11</v>
      </c>
      <c r="F348" s="24">
        <v>0</v>
      </c>
      <c r="G348" s="24">
        <v>0</v>
      </c>
      <c r="H348" s="33">
        <f t="shared" si="22"/>
        <v>0</v>
      </c>
      <c r="I348" s="24">
        <v>4</v>
      </c>
      <c r="J348" s="26">
        <f t="shared" si="23"/>
        <v>0</v>
      </c>
      <c r="K348" s="24">
        <v>0</v>
      </c>
      <c r="L348" s="24">
        <v>0</v>
      </c>
      <c r="M348" s="24">
        <v>0</v>
      </c>
      <c r="N348" s="24">
        <v>0</v>
      </c>
      <c r="O348" s="24">
        <v>0</v>
      </c>
      <c r="P348" s="24">
        <v>0</v>
      </c>
    </row>
    <row r="349" spans="2:16" x14ac:dyDescent="0.25">
      <c r="B349" s="9">
        <v>18</v>
      </c>
      <c r="D349" s="5" t="s">
        <v>87</v>
      </c>
      <c r="E349" s="24">
        <v>14</v>
      </c>
      <c r="F349" s="24">
        <v>0</v>
      </c>
      <c r="G349" s="24">
        <v>0</v>
      </c>
      <c r="H349" s="33">
        <f t="shared" si="22"/>
        <v>0</v>
      </c>
      <c r="I349" s="24">
        <v>0</v>
      </c>
      <c r="J349" s="26">
        <f t="shared" si="23"/>
        <v>0</v>
      </c>
      <c r="K349" s="24">
        <v>0</v>
      </c>
      <c r="L349" s="24">
        <v>0</v>
      </c>
      <c r="M349" s="24">
        <v>0</v>
      </c>
      <c r="N349" s="24">
        <v>0</v>
      </c>
      <c r="O349" s="24">
        <v>0</v>
      </c>
      <c r="P349" s="24">
        <v>0</v>
      </c>
    </row>
    <row r="350" spans="2:16" x14ac:dyDescent="0.25">
      <c r="B350" s="9">
        <v>19</v>
      </c>
      <c r="D350" s="5" t="s">
        <v>91</v>
      </c>
      <c r="E350" s="24">
        <v>4</v>
      </c>
      <c r="F350" s="24">
        <v>0</v>
      </c>
      <c r="G350" s="24">
        <v>0</v>
      </c>
      <c r="H350" s="33">
        <f t="shared" si="22"/>
        <v>0</v>
      </c>
      <c r="I350" s="24">
        <v>0</v>
      </c>
      <c r="J350" s="26">
        <f t="shared" si="23"/>
        <v>0</v>
      </c>
      <c r="K350" s="24">
        <v>0</v>
      </c>
      <c r="L350" s="24">
        <v>0</v>
      </c>
      <c r="M350" s="24">
        <v>0</v>
      </c>
      <c r="N350" s="24">
        <v>0</v>
      </c>
      <c r="O350" s="24">
        <v>0</v>
      </c>
      <c r="P350" s="24">
        <v>0</v>
      </c>
    </row>
    <row r="351" spans="2:16" x14ac:dyDescent="0.25">
      <c r="B351" s="9">
        <v>20</v>
      </c>
      <c r="D351" s="5" t="s">
        <v>250</v>
      </c>
      <c r="E351" s="24">
        <v>1</v>
      </c>
      <c r="F351" s="24">
        <v>0</v>
      </c>
      <c r="G351" s="24">
        <v>0</v>
      </c>
      <c r="H351" s="33">
        <f t="shared" si="22"/>
        <v>0</v>
      </c>
      <c r="I351" s="24">
        <v>0</v>
      </c>
      <c r="J351" s="26">
        <f t="shared" si="23"/>
        <v>0</v>
      </c>
      <c r="K351" s="24">
        <v>0</v>
      </c>
      <c r="L351" s="24">
        <v>0</v>
      </c>
      <c r="M351" s="24">
        <v>0</v>
      </c>
      <c r="N351" s="24">
        <v>0</v>
      </c>
      <c r="O351" s="24">
        <v>0</v>
      </c>
      <c r="P351" s="24">
        <v>0</v>
      </c>
    </row>
    <row r="354" spans="2:16" x14ac:dyDescent="0.25">
      <c r="C354" s="1" t="s">
        <v>80</v>
      </c>
    </row>
    <row r="356" spans="2:16" x14ac:dyDescent="0.25">
      <c r="D356" s="8" t="s">
        <v>0</v>
      </c>
      <c r="E356" s="18" t="s">
        <v>1</v>
      </c>
      <c r="F356" s="18" t="s">
        <v>2</v>
      </c>
      <c r="G356" s="18" t="s">
        <v>3</v>
      </c>
      <c r="H356" s="32" t="s">
        <v>4</v>
      </c>
      <c r="I356" s="18" t="s">
        <v>5</v>
      </c>
      <c r="J356" s="18" t="s">
        <v>38</v>
      </c>
      <c r="K356" s="18" t="s">
        <v>41</v>
      </c>
      <c r="L356" s="18" t="s">
        <v>42</v>
      </c>
      <c r="M356" s="18" t="s">
        <v>45</v>
      </c>
      <c r="N356" s="18" t="s">
        <v>46</v>
      </c>
      <c r="O356" s="18" t="s">
        <v>44</v>
      </c>
      <c r="P356" s="18" t="s">
        <v>43</v>
      </c>
    </row>
    <row r="357" spans="2:16" x14ac:dyDescent="0.25">
      <c r="B357" s="9">
        <v>1</v>
      </c>
      <c r="D357" s="5" t="s">
        <v>13</v>
      </c>
      <c r="E357" s="24">
        <v>9</v>
      </c>
      <c r="F357" s="24">
        <v>21</v>
      </c>
      <c r="G357" s="24">
        <v>13</v>
      </c>
      <c r="H357" s="33">
        <f t="shared" ref="H357:H381" si="24">F357+G357</f>
        <v>34</v>
      </c>
      <c r="I357" s="24">
        <v>2</v>
      </c>
      <c r="J357" s="26">
        <f t="shared" ref="J357:J381" si="25">H357/E357</f>
        <v>3.7777777777777777</v>
      </c>
      <c r="K357" s="24">
        <v>1</v>
      </c>
      <c r="L357" s="24">
        <v>0</v>
      </c>
      <c r="M357" s="24">
        <v>3</v>
      </c>
      <c r="N357" s="24">
        <v>1</v>
      </c>
      <c r="O357" s="24">
        <v>0</v>
      </c>
      <c r="P357" s="24">
        <v>0</v>
      </c>
    </row>
    <row r="358" spans="2:16" x14ac:dyDescent="0.25">
      <c r="B358" s="9">
        <v>2</v>
      </c>
      <c r="D358" s="5" t="s">
        <v>30</v>
      </c>
      <c r="E358" s="24">
        <v>18</v>
      </c>
      <c r="F358" s="24">
        <v>13</v>
      </c>
      <c r="G358" s="24">
        <v>18</v>
      </c>
      <c r="H358" s="33">
        <f t="shared" si="24"/>
        <v>31</v>
      </c>
      <c r="I358" s="24">
        <v>4</v>
      </c>
      <c r="J358" s="26">
        <f t="shared" si="25"/>
        <v>1.7222222222222223</v>
      </c>
      <c r="K358" s="24">
        <v>1</v>
      </c>
      <c r="L358" s="24">
        <v>0</v>
      </c>
      <c r="M358" s="24">
        <v>0</v>
      </c>
      <c r="N358" s="24">
        <v>0</v>
      </c>
      <c r="O358" s="24">
        <v>0</v>
      </c>
      <c r="P358" s="24">
        <v>0</v>
      </c>
    </row>
    <row r="359" spans="2:16" x14ac:dyDescent="0.25">
      <c r="B359" s="9">
        <v>3</v>
      </c>
      <c r="D359" s="5" t="s">
        <v>7</v>
      </c>
      <c r="E359" s="24">
        <v>12</v>
      </c>
      <c r="F359" s="24">
        <v>18</v>
      </c>
      <c r="G359" s="24">
        <v>8</v>
      </c>
      <c r="H359" s="33">
        <f t="shared" si="24"/>
        <v>26</v>
      </c>
      <c r="I359" s="24">
        <v>0</v>
      </c>
      <c r="J359" s="26">
        <f t="shared" si="25"/>
        <v>2.1666666666666665</v>
      </c>
      <c r="K359" s="24">
        <v>0</v>
      </c>
      <c r="L359" s="24">
        <v>0</v>
      </c>
      <c r="M359" s="24">
        <v>1</v>
      </c>
      <c r="N359" s="24">
        <v>0</v>
      </c>
      <c r="O359" s="24">
        <v>0</v>
      </c>
      <c r="P359" s="24">
        <v>1</v>
      </c>
    </row>
    <row r="360" spans="2:16" x14ac:dyDescent="0.25">
      <c r="B360" s="9">
        <v>4</v>
      </c>
      <c r="D360" s="5" t="s">
        <v>203</v>
      </c>
      <c r="E360" s="24">
        <v>6</v>
      </c>
      <c r="F360" s="24">
        <v>10</v>
      </c>
      <c r="G360" s="24">
        <v>9</v>
      </c>
      <c r="H360" s="33">
        <f t="shared" si="24"/>
        <v>19</v>
      </c>
      <c r="I360" s="24">
        <v>0</v>
      </c>
      <c r="J360" s="26">
        <f t="shared" si="25"/>
        <v>3.1666666666666665</v>
      </c>
      <c r="K360" s="24">
        <v>1</v>
      </c>
      <c r="L360" s="24">
        <v>0</v>
      </c>
      <c r="M360" s="24">
        <v>1</v>
      </c>
      <c r="N360" s="24">
        <v>0</v>
      </c>
      <c r="O360" s="24">
        <v>0</v>
      </c>
      <c r="P360" s="24">
        <v>0</v>
      </c>
    </row>
    <row r="361" spans="2:16" x14ac:dyDescent="0.25">
      <c r="B361" s="9">
        <v>5</v>
      </c>
      <c r="D361" s="5" t="s">
        <v>82</v>
      </c>
      <c r="E361" s="24">
        <v>18</v>
      </c>
      <c r="F361" s="24">
        <v>12</v>
      </c>
      <c r="G361" s="24">
        <v>4</v>
      </c>
      <c r="H361" s="33">
        <f t="shared" si="24"/>
        <v>16</v>
      </c>
      <c r="I361" s="24">
        <v>6</v>
      </c>
      <c r="J361" s="26">
        <f t="shared" si="25"/>
        <v>0.88888888888888884</v>
      </c>
      <c r="K361" s="24">
        <v>0</v>
      </c>
      <c r="L361" s="24">
        <v>0</v>
      </c>
      <c r="M361" s="24">
        <v>2</v>
      </c>
      <c r="N361" s="24">
        <v>0</v>
      </c>
      <c r="O361" s="24">
        <v>0</v>
      </c>
      <c r="P361" s="24">
        <v>0</v>
      </c>
    </row>
    <row r="362" spans="2:16" x14ac:dyDescent="0.25">
      <c r="B362" s="9">
        <v>6</v>
      </c>
      <c r="D362" s="5" t="s">
        <v>20</v>
      </c>
      <c r="E362" s="24">
        <v>12</v>
      </c>
      <c r="F362" s="24">
        <v>3</v>
      </c>
      <c r="G362" s="24">
        <v>8</v>
      </c>
      <c r="H362" s="33">
        <f t="shared" si="24"/>
        <v>11</v>
      </c>
      <c r="I362" s="24">
        <v>2</v>
      </c>
      <c r="J362" s="26">
        <f t="shared" si="25"/>
        <v>0.91666666666666663</v>
      </c>
      <c r="K362" s="24">
        <v>0</v>
      </c>
      <c r="L362" s="24">
        <v>0</v>
      </c>
      <c r="M362" s="24">
        <v>0</v>
      </c>
      <c r="N362" s="24">
        <v>0</v>
      </c>
      <c r="O362" s="24">
        <v>0</v>
      </c>
      <c r="P362" s="24">
        <v>0</v>
      </c>
    </row>
    <row r="363" spans="2:16" x14ac:dyDescent="0.25">
      <c r="B363" s="9">
        <v>7</v>
      </c>
      <c r="D363" s="5" t="s">
        <v>83</v>
      </c>
      <c r="E363" s="24">
        <v>12</v>
      </c>
      <c r="F363" s="24">
        <v>8</v>
      </c>
      <c r="G363" s="24">
        <v>1</v>
      </c>
      <c r="H363" s="33">
        <f t="shared" si="24"/>
        <v>9</v>
      </c>
      <c r="I363" s="24">
        <v>2</v>
      </c>
      <c r="J363" s="26">
        <f t="shared" si="25"/>
        <v>0.75</v>
      </c>
      <c r="K363" s="24">
        <v>0</v>
      </c>
      <c r="L363" s="24">
        <v>0</v>
      </c>
      <c r="M363" s="24">
        <v>1</v>
      </c>
      <c r="N363" s="24">
        <v>0</v>
      </c>
      <c r="O363" s="24">
        <v>0</v>
      </c>
      <c r="P363" s="24">
        <v>0</v>
      </c>
    </row>
    <row r="364" spans="2:16" x14ac:dyDescent="0.25">
      <c r="B364" s="9">
        <v>8</v>
      </c>
      <c r="D364" s="5" t="s">
        <v>36</v>
      </c>
      <c r="E364" s="24">
        <v>16</v>
      </c>
      <c r="F364" s="24">
        <v>3</v>
      </c>
      <c r="G364" s="24">
        <v>4</v>
      </c>
      <c r="H364" s="33">
        <f t="shared" si="24"/>
        <v>7</v>
      </c>
      <c r="I364" s="24">
        <v>0</v>
      </c>
      <c r="J364" s="26">
        <f t="shared" si="25"/>
        <v>0.4375</v>
      </c>
      <c r="K364" s="24">
        <v>0</v>
      </c>
      <c r="L364" s="24">
        <v>0</v>
      </c>
      <c r="M364" s="24">
        <v>1</v>
      </c>
      <c r="N364" s="24">
        <v>0</v>
      </c>
      <c r="O364" s="24">
        <v>0</v>
      </c>
      <c r="P364" s="24">
        <v>0</v>
      </c>
    </row>
    <row r="365" spans="2:16" x14ac:dyDescent="0.25">
      <c r="B365" s="9">
        <v>9</v>
      </c>
      <c r="D365" s="5" t="s">
        <v>93</v>
      </c>
      <c r="E365" s="24">
        <v>5</v>
      </c>
      <c r="F365" s="24">
        <v>3</v>
      </c>
      <c r="G365" s="24">
        <v>2</v>
      </c>
      <c r="H365" s="33">
        <f t="shared" si="24"/>
        <v>5</v>
      </c>
      <c r="I365" s="24">
        <v>0</v>
      </c>
      <c r="J365" s="26">
        <f t="shared" si="25"/>
        <v>1</v>
      </c>
      <c r="K365" s="24">
        <v>0</v>
      </c>
      <c r="L365" s="24">
        <v>0</v>
      </c>
      <c r="M365" s="24">
        <v>0</v>
      </c>
      <c r="N365" s="24">
        <v>0</v>
      </c>
      <c r="O365" s="24">
        <v>0</v>
      </c>
      <c r="P365" s="24">
        <v>0</v>
      </c>
    </row>
    <row r="366" spans="2:16" x14ac:dyDescent="0.25">
      <c r="B366" s="9">
        <v>10</v>
      </c>
      <c r="D366" s="5" t="s">
        <v>35</v>
      </c>
      <c r="E366" s="24">
        <v>18</v>
      </c>
      <c r="F366" s="24">
        <v>1</v>
      </c>
      <c r="G366" s="24">
        <v>4</v>
      </c>
      <c r="H366" s="33">
        <f t="shared" si="24"/>
        <v>5</v>
      </c>
      <c r="I366" s="24">
        <v>4</v>
      </c>
      <c r="J366" s="26">
        <f t="shared" si="25"/>
        <v>0.27777777777777779</v>
      </c>
      <c r="K366" s="24">
        <v>1</v>
      </c>
      <c r="L366" s="24">
        <v>0</v>
      </c>
      <c r="M366" s="24">
        <v>0</v>
      </c>
      <c r="N366" s="24">
        <v>0</v>
      </c>
      <c r="O366" s="24">
        <v>0</v>
      </c>
      <c r="P366" s="24">
        <v>0</v>
      </c>
    </row>
    <row r="367" spans="2:16" x14ac:dyDescent="0.25">
      <c r="B367" s="9">
        <v>11</v>
      </c>
      <c r="D367" s="5" t="s">
        <v>16</v>
      </c>
      <c r="E367" s="24">
        <v>7</v>
      </c>
      <c r="F367" s="24">
        <v>2</v>
      </c>
      <c r="G367" s="24">
        <v>2</v>
      </c>
      <c r="H367" s="33">
        <f t="shared" si="24"/>
        <v>4</v>
      </c>
      <c r="I367" s="24">
        <v>2</v>
      </c>
      <c r="J367" s="26">
        <f t="shared" si="25"/>
        <v>0.5714285714285714</v>
      </c>
      <c r="K367" s="24">
        <v>0</v>
      </c>
      <c r="L367" s="24">
        <v>0</v>
      </c>
      <c r="M367" s="24">
        <v>0</v>
      </c>
      <c r="N367" s="24">
        <v>0</v>
      </c>
      <c r="O367" s="24">
        <v>0</v>
      </c>
      <c r="P367" s="24">
        <v>0</v>
      </c>
    </row>
    <row r="368" spans="2:16" x14ac:dyDescent="0.25">
      <c r="B368" s="9">
        <v>12</v>
      </c>
      <c r="D368" s="5" t="s">
        <v>10</v>
      </c>
      <c r="E368" s="24">
        <v>4</v>
      </c>
      <c r="F368" s="24">
        <v>1</v>
      </c>
      <c r="G368" s="24">
        <v>3</v>
      </c>
      <c r="H368" s="33">
        <f t="shared" si="24"/>
        <v>4</v>
      </c>
      <c r="I368" s="24">
        <v>0</v>
      </c>
      <c r="J368" s="26">
        <f t="shared" si="25"/>
        <v>1</v>
      </c>
      <c r="K368" s="24">
        <v>0</v>
      </c>
      <c r="L368" s="24">
        <v>0</v>
      </c>
      <c r="M368" s="24">
        <v>0</v>
      </c>
      <c r="N368" s="24">
        <v>0</v>
      </c>
      <c r="O368" s="24">
        <v>0</v>
      </c>
      <c r="P368" s="24">
        <v>0</v>
      </c>
    </row>
    <row r="369" spans="2:35" x14ac:dyDescent="0.25">
      <c r="B369" s="9">
        <v>13</v>
      </c>
      <c r="D369" s="5" t="s">
        <v>12</v>
      </c>
      <c r="E369" s="24">
        <v>3</v>
      </c>
      <c r="F369" s="24">
        <v>0</v>
      </c>
      <c r="G369" s="24">
        <v>3</v>
      </c>
      <c r="H369" s="33">
        <f t="shared" si="24"/>
        <v>3</v>
      </c>
      <c r="I369" s="24">
        <v>0</v>
      </c>
      <c r="J369" s="26">
        <f t="shared" si="25"/>
        <v>1</v>
      </c>
      <c r="K369" s="24">
        <v>0</v>
      </c>
      <c r="L369" s="24">
        <v>0</v>
      </c>
      <c r="M369" s="24">
        <v>0</v>
      </c>
      <c r="N369" s="24">
        <v>0</v>
      </c>
      <c r="O369" s="24">
        <v>0</v>
      </c>
      <c r="P369" s="24">
        <v>0</v>
      </c>
    </row>
    <row r="370" spans="2:35" x14ac:dyDescent="0.25">
      <c r="B370" s="9">
        <v>14</v>
      </c>
      <c r="D370" s="5" t="s">
        <v>91</v>
      </c>
      <c r="E370" s="24">
        <v>7</v>
      </c>
      <c r="F370" s="24">
        <v>0</v>
      </c>
      <c r="G370" s="24">
        <v>3</v>
      </c>
      <c r="H370" s="33">
        <f t="shared" si="24"/>
        <v>3</v>
      </c>
      <c r="I370" s="24">
        <v>0</v>
      </c>
      <c r="J370" s="26">
        <f t="shared" si="25"/>
        <v>0.42857142857142855</v>
      </c>
      <c r="K370" s="24">
        <v>0</v>
      </c>
      <c r="L370" s="24">
        <v>0</v>
      </c>
      <c r="M370" s="24">
        <v>0</v>
      </c>
      <c r="N370" s="24">
        <v>0</v>
      </c>
      <c r="O370" s="24">
        <v>0</v>
      </c>
      <c r="P370" s="24">
        <v>0</v>
      </c>
    </row>
    <row r="371" spans="2:35" x14ac:dyDescent="0.25">
      <c r="B371" s="9">
        <v>15</v>
      </c>
      <c r="D371" s="5" t="s">
        <v>39</v>
      </c>
      <c r="E371" s="24">
        <v>2</v>
      </c>
      <c r="F371" s="24">
        <v>2</v>
      </c>
      <c r="G371" s="24">
        <v>0</v>
      </c>
      <c r="H371" s="33">
        <f t="shared" si="24"/>
        <v>2</v>
      </c>
      <c r="I371" s="24">
        <v>0</v>
      </c>
      <c r="J371" s="26">
        <f t="shared" si="25"/>
        <v>1</v>
      </c>
      <c r="K371" s="24">
        <v>0</v>
      </c>
      <c r="L371" s="24">
        <v>0</v>
      </c>
      <c r="M371" s="24">
        <v>0</v>
      </c>
      <c r="N371" s="24">
        <v>0</v>
      </c>
      <c r="O371" s="24">
        <v>0</v>
      </c>
      <c r="P371" s="24">
        <v>0</v>
      </c>
    </row>
    <row r="372" spans="2:35" x14ac:dyDescent="0.25">
      <c r="B372" s="9">
        <v>16</v>
      </c>
      <c r="D372" s="5" t="s">
        <v>204</v>
      </c>
      <c r="E372" s="24">
        <v>2</v>
      </c>
      <c r="F372" s="24">
        <v>1</v>
      </c>
      <c r="G372" s="24">
        <v>1</v>
      </c>
      <c r="H372" s="33">
        <f t="shared" si="24"/>
        <v>2</v>
      </c>
      <c r="I372" s="24">
        <v>0</v>
      </c>
      <c r="J372" s="26">
        <f t="shared" si="25"/>
        <v>1</v>
      </c>
      <c r="K372" s="24">
        <v>0</v>
      </c>
      <c r="L372" s="24">
        <v>0</v>
      </c>
      <c r="M372" s="24">
        <v>1</v>
      </c>
      <c r="N372" s="24">
        <v>0</v>
      </c>
      <c r="O372" s="24">
        <v>0</v>
      </c>
      <c r="P372" s="24">
        <v>0</v>
      </c>
    </row>
    <row r="373" spans="2:35" x14ac:dyDescent="0.25">
      <c r="B373" s="9">
        <v>17</v>
      </c>
      <c r="D373" s="5" t="s">
        <v>92</v>
      </c>
      <c r="E373" s="24">
        <v>10</v>
      </c>
      <c r="F373" s="24">
        <v>1</v>
      </c>
      <c r="G373" s="24">
        <v>1</v>
      </c>
      <c r="H373" s="33">
        <f t="shared" si="24"/>
        <v>2</v>
      </c>
      <c r="I373" s="24">
        <v>0</v>
      </c>
      <c r="J373" s="26">
        <f t="shared" si="25"/>
        <v>0.2</v>
      </c>
      <c r="K373" s="24">
        <v>0</v>
      </c>
      <c r="L373" s="24">
        <v>0</v>
      </c>
      <c r="M373" s="24">
        <v>0</v>
      </c>
      <c r="N373" s="24">
        <v>0</v>
      </c>
      <c r="O373" s="24">
        <v>0</v>
      </c>
      <c r="P373" s="24">
        <v>0</v>
      </c>
    </row>
    <row r="374" spans="2:35" x14ac:dyDescent="0.25">
      <c r="B374" s="9">
        <v>18</v>
      </c>
      <c r="D374" s="5" t="s">
        <v>17</v>
      </c>
      <c r="E374" s="24">
        <v>16</v>
      </c>
      <c r="F374" s="24">
        <v>0</v>
      </c>
      <c r="G374" s="24">
        <v>2</v>
      </c>
      <c r="H374" s="33">
        <f t="shared" si="24"/>
        <v>2</v>
      </c>
      <c r="I374" s="24">
        <v>4</v>
      </c>
      <c r="J374" s="26">
        <f t="shared" si="25"/>
        <v>0.125</v>
      </c>
      <c r="K374" s="24">
        <v>0</v>
      </c>
      <c r="L374" s="24">
        <v>0</v>
      </c>
      <c r="M374" s="24">
        <v>0</v>
      </c>
      <c r="N374" s="24">
        <v>0</v>
      </c>
      <c r="O374" s="24">
        <v>0</v>
      </c>
      <c r="P374" s="24">
        <v>0</v>
      </c>
    </row>
    <row r="375" spans="2:35" x14ac:dyDescent="0.25">
      <c r="B375" s="9">
        <v>19</v>
      </c>
      <c r="D375" s="5" t="s">
        <v>15</v>
      </c>
      <c r="E375" s="24">
        <v>1</v>
      </c>
      <c r="F375" s="24">
        <v>1</v>
      </c>
      <c r="G375" s="24">
        <v>0</v>
      </c>
      <c r="H375" s="33">
        <f t="shared" si="24"/>
        <v>1</v>
      </c>
      <c r="I375" s="24">
        <v>0</v>
      </c>
      <c r="J375" s="26">
        <f t="shared" si="25"/>
        <v>1</v>
      </c>
      <c r="K375" s="24">
        <v>1</v>
      </c>
      <c r="L375" s="24">
        <v>0</v>
      </c>
      <c r="M375" s="24">
        <v>0</v>
      </c>
      <c r="N375" s="24">
        <v>0</v>
      </c>
      <c r="O375" s="24">
        <v>0</v>
      </c>
      <c r="P375" s="24">
        <v>0</v>
      </c>
    </row>
    <row r="376" spans="2:35" x14ac:dyDescent="0.25">
      <c r="B376" s="9">
        <v>20</v>
      </c>
      <c r="D376" s="5" t="s">
        <v>14</v>
      </c>
      <c r="E376" s="24">
        <v>2</v>
      </c>
      <c r="F376" s="24">
        <v>1</v>
      </c>
      <c r="G376" s="24">
        <v>0</v>
      </c>
      <c r="H376" s="33">
        <f t="shared" si="24"/>
        <v>1</v>
      </c>
      <c r="I376" s="24">
        <v>0</v>
      </c>
      <c r="J376" s="26">
        <f t="shared" si="25"/>
        <v>0.5</v>
      </c>
      <c r="K376" s="24">
        <v>0</v>
      </c>
      <c r="L376" s="24">
        <v>0</v>
      </c>
      <c r="M376" s="24">
        <v>0</v>
      </c>
      <c r="N376" s="24">
        <v>0</v>
      </c>
      <c r="O376" s="24">
        <v>0</v>
      </c>
      <c r="P376" s="24">
        <v>0</v>
      </c>
    </row>
    <row r="377" spans="2:35" x14ac:dyDescent="0.25">
      <c r="B377" s="9">
        <v>21</v>
      </c>
      <c r="D377" s="5" t="s">
        <v>22</v>
      </c>
      <c r="E377" s="24">
        <v>6</v>
      </c>
      <c r="F377" s="24">
        <v>0</v>
      </c>
      <c r="G377" s="24">
        <v>1</v>
      </c>
      <c r="H377" s="33">
        <f t="shared" si="24"/>
        <v>1</v>
      </c>
      <c r="I377" s="24">
        <v>2</v>
      </c>
      <c r="J377" s="26">
        <f t="shared" si="25"/>
        <v>0.16666666666666666</v>
      </c>
      <c r="K377" s="24">
        <v>0</v>
      </c>
      <c r="L377" s="24">
        <v>0</v>
      </c>
      <c r="M377" s="24">
        <v>0</v>
      </c>
      <c r="N377" s="24">
        <v>0</v>
      </c>
      <c r="O377" s="24">
        <v>0</v>
      </c>
      <c r="P377" s="24">
        <v>0</v>
      </c>
    </row>
    <row r="378" spans="2:35" x14ac:dyDescent="0.25">
      <c r="B378" s="9">
        <v>22</v>
      </c>
      <c r="D378" s="5" t="s">
        <v>94</v>
      </c>
      <c r="E378" s="24">
        <v>7</v>
      </c>
      <c r="F378" s="24">
        <v>0</v>
      </c>
      <c r="G378" s="24">
        <v>0</v>
      </c>
      <c r="H378" s="33">
        <f t="shared" si="24"/>
        <v>0</v>
      </c>
      <c r="I378" s="24">
        <v>2</v>
      </c>
      <c r="J378" s="26">
        <f t="shared" si="25"/>
        <v>0</v>
      </c>
      <c r="K378" s="24">
        <v>0</v>
      </c>
      <c r="L378" s="24">
        <v>0</v>
      </c>
      <c r="M378" s="24">
        <v>0</v>
      </c>
      <c r="N378" s="24">
        <v>0</v>
      </c>
      <c r="O378" s="24">
        <v>0</v>
      </c>
      <c r="P378" s="24">
        <v>0</v>
      </c>
      <c r="AA378" s="17"/>
      <c r="AB378" s="17"/>
      <c r="AC378" s="17"/>
      <c r="AD378" s="31"/>
      <c r="AE378" s="17"/>
      <c r="AF378" s="25"/>
      <c r="AG378" s="17"/>
      <c r="AH378" s="17"/>
      <c r="AI378" s="17"/>
    </row>
    <row r="379" spans="2:35" x14ac:dyDescent="0.25">
      <c r="B379" s="9">
        <v>23</v>
      </c>
      <c r="D379" s="5" t="s">
        <v>8</v>
      </c>
      <c r="E379" s="24">
        <v>3</v>
      </c>
      <c r="F379" s="24">
        <v>0</v>
      </c>
      <c r="G379" s="24">
        <v>0</v>
      </c>
      <c r="H379" s="33">
        <f t="shared" si="24"/>
        <v>0</v>
      </c>
      <c r="I379" s="24">
        <v>0</v>
      </c>
      <c r="J379" s="26">
        <f t="shared" si="25"/>
        <v>0</v>
      </c>
      <c r="K379" s="24">
        <v>0</v>
      </c>
      <c r="L379" s="24">
        <v>0</v>
      </c>
      <c r="M379" s="24">
        <v>0</v>
      </c>
      <c r="N379" s="24">
        <v>0</v>
      </c>
      <c r="O379" s="24">
        <v>0</v>
      </c>
      <c r="P379" s="24">
        <v>0</v>
      </c>
      <c r="AA379" s="17"/>
      <c r="AB379" s="17"/>
      <c r="AC379" s="17"/>
      <c r="AD379" s="31"/>
      <c r="AE379" s="17"/>
      <c r="AF379" s="25"/>
      <c r="AG379" s="17"/>
      <c r="AH379" s="17"/>
      <c r="AI379" s="17"/>
    </row>
    <row r="380" spans="2:35" x14ac:dyDescent="0.25">
      <c r="B380" s="9">
        <v>24</v>
      </c>
      <c r="D380" s="5" t="s">
        <v>87</v>
      </c>
      <c r="E380" s="24">
        <v>9</v>
      </c>
      <c r="F380" s="24">
        <v>0</v>
      </c>
      <c r="G380" s="24">
        <v>0</v>
      </c>
      <c r="H380" s="33">
        <f t="shared" si="24"/>
        <v>0</v>
      </c>
      <c r="I380" s="24">
        <v>0</v>
      </c>
      <c r="J380" s="26">
        <f t="shared" si="25"/>
        <v>0</v>
      </c>
      <c r="K380" s="24">
        <v>0</v>
      </c>
      <c r="L380" s="24">
        <v>0</v>
      </c>
      <c r="M380" s="24">
        <v>0</v>
      </c>
      <c r="N380" s="24">
        <v>0</v>
      </c>
      <c r="O380" s="24">
        <v>0</v>
      </c>
      <c r="P380" s="24">
        <v>0</v>
      </c>
      <c r="AA380" s="17"/>
      <c r="AB380" s="17"/>
      <c r="AC380" s="17"/>
      <c r="AD380" s="31"/>
      <c r="AE380" s="17"/>
      <c r="AF380" s="25"/>
      <c r="AG380" s="17"/>
      <c r="AH380" s="17"/>
      <c r="AI380" s="17"/>
    </row>
    <row r="381" spans="2:35" x14ac:dyDescent="0.25">
      <c r="B381" s="9">
        <v>25</v>
      </c>
      <c r="D381" s="5" t="s">
        <v>75</v>
      </c>
      <c r="E381" s="24">
        <v>4</v>
      </c>
      <c r="F381" s="24">
        <v>0</v>
      </c>
      <c r="G381" s="24">
        <v>0</v>
      </c>
      <c r="H381" s="33">
        <f t="shared" si="24"/>
        <v>0</v>
      </c>
      <c r="I381" s="24">
        <v>0</v>
      </c>
      <c r="J381" s="26">
        <f t="shared" si="25"/>
        <v>0</v>
      </c>
      <c r="K381" s="24">
        <v>0</v>
      </c>
      <c r="L381" s="24">
        <v>0</v>
      </c>
      <c r="M381" s="24">
        <v>0</v>
      </c>
      <c r="N381" s="24">
        <v>0</v>
      </c>
      <c r="O381" s="24">
        <v>0</v>
      </c>
      <c r="P381" s="24">
        <v>0</v>
      </c>
      <c r="AA381" s="17"/>
      <c r="AB381" s="17"/>
      <c r="AC381" s="17"/>
      <c r="AD381" s="31"/>
      <c r="AE381" s="17"/>
      <c r="AF381" s="25"/>
      <c r="AG381" s="17"/>
      <c r="AH381" s="17"/>
      <c r="AI381" s="17"/>
    </row>
    <row r="382" spans="2:35" x14ac:dyDescent="0.25">
      <c r="AA382" s="17"/>
      <c r="AB382" s="17"/>
      <c r="AC382" s="17"/>
      <c r="AD382" s="31"/>
      <c r="AE382" s="17"/>
      <c r="AF382" s="25"/>
      <c r="AG382" s="17"/>
      <c r="AH382" s="17"/>
      <c r="AI382" s="17"/>
    </row>
    <row r="383" spans="2:35" x14ac:dyDescent="0.25">
      <c r="AA383" s="17"/>
      <c r="AB383" s="17"/>
      <c r="AC383" s="17"/>
      <c r="AD383" s="31"/>
      <c r="AE383" s="17"/>
      <c r="AF383" s="25"/>
      <c r="AG383" s="17"/>
      <c r="AH383" s="17"/>
      <c r="AI383" s="17"/>
    </row>
    <row r="384" spans="2:35" x14ac:dyDescent="0.25">
      <c r="C384" s="1" t="s">
        <v>40</v>
      </c>
      <c r="AA384" s="17"/>
      <c r="AB384" s="17"/>
      <c r="AC384" s="17"/>
      <c r="AD384" s="31"/>
      <c r="AE384" s="17"/>
      <c r="AF384" s="25"/>
      <c r="AG384" s="17"/>
      <c r="AH384" s="17"/>
      <c r="AI384" s="17"/>
    </row>
    <row r="385" spans="2:35" x14ac:dyDescent="0.25">
      <c r="AA385" s="17"/>
      <c r="AB385" s="17"/>
      <c r="AC385" s="17"/>
      <c r="AD385" s="31"/>
      <c r="AE385" s="17"/>
      <c r="AF385" s="25"/>
      <c r="AG385" s="17"/>
      <c r="AH385" s="17"/>
      <c r="AI385" s="17"/>
    </row>
    <row r="386" spans="2:35" x14ac:dyDescent="0.25">
      <c r="D386" s="8" t="s">
        <v>0</v>
      </c>
      <c r="E386" s="18" t="s">
        <v>1</v>
      </c>
      <c r="F386" s="18" t="s">
        <v>2</v>
      </c>
      <c r="G386" s="18" t="s">
        <v>3</v>
      </c>
      <c r="H386" s="32" t="s">
        <v>4</v>
      </c>
      <c r="I386" s="18" t="s">
        <v>5</v>
      </c>
      <c r="J386" s="18" t="s">
        <v>38</v>
      </c>
      <c r="K386" s="18" t="s">
        <v>41</v>
      </c>
      <c r="L386" s="18" t="s">
        <v>42</v>
      </c>
      <c r="M386" s="18" t="s">
        <v>45</v>
      </c>
      <c r="N386" s="18" t="s">
        <v>46</v>
      </c>
      <c r="O386" s="18" t="s">
        <v>44</v>
      </c>
      <c r="P386" s="18" t="s">
        <v>43</v>
      </c>
    </row>
    <row r="387" spans="2:35" x14ac:dyDescent="0.25">
      <c r="B387" s="9">
        <v>1</v>
      </c>
      <c r="D387" s="5" t="s">
        <v>30</v>
      </c>
      <c r="E387" s="24">
        <v>19</v>
      </c>
      <c r="F387" s="24">
        <v>10</v>
      </c>
      <c r="G387" s="24">
        <v>18</v>
      </c>
      <c r="H387" s="33">
        <f t="shared" ref="H387:H407" si="26">F387+G387</f>
        <v>28</v>
      </c>
      <c r="I387" s="24">
        <v>2</v>
      </c>
      <c r="J387" s="26">
        <f t="shared" ref="J387:J407" si="27">H387/E387</f>
        <v>1.4736842105263157</v>
      </c>
      <c r="K387" s="24">
        <v>0</v>
      </c>
      <c r="L387" s="24">
        <v>0</v>
      </c>
      <c r="M387" s="24">
        <v>0</v>
      </c>
      <c r="N387" s="24">
        <v>0</v>
      </c>
      <c r="O387" s="24">
        <v>0</v>
      </c>
      <c r="P387" s="24">
        <v>0</v>
      </c>
    </row>
    <row r="388" spans="2:35" x14ac:dyDescent="0.25">
      <c r="B388" s="9">
        <v>2</v>
      </c>
      <c r="D388" s="5" t="s">
        <v>77</v>
      </c>
      <c r="E388" s="24">
        <v>12</v>
      </c>
      <c r="F388" s="24">
        <v>13</v>
      </c>
      <c r="G388" s="24">
        <v>11</v>
      </c>
      <c r="H388" s="33">
        <f t="shared" si="26"/>
        <v>24</v>
      </c>
      <c r="I388" s="24">
        <v>21</v>
      </c>
      <c r="J388" s="26">
        <f t="shared" si="27"/>
        <v>2</v>
      </c>
      <c r="K388" s="24">
        <v>1</v>
      </c>
      <c r="L388" s="24">
        <v>1</v>
      </c>
      <c r="M388" s="24">
        <v>1</v>
      </c>
      <c r="N388" s="24">
        <v>0</v>
      </c>
      <c r="O388" s="24">
        <v>0</v>
      </c>
      <c r="P388" s="24">
        <v>0</v>
      </c>
    </row>
    <row r="389" spans="2:35" x14ac:dyDescent="0.25">
      <c r="B389" s="9">
        <v>3</v>
      </c>
      <c r="D389" s="5" t="s">
        <v>7</v>
      </c>
      <c r="E389" s="24">
        <v>9</v>
      </c>
      <c r="F389" s="24">
        <v>15</v>
      </c>
      <c r="G389" s="24">
        <v>1</v>
      </c>
      <c r="H389" s="33">
        <f t="shared" si="26"/>
        <v>16</v>
      </c>
      <c r="I389" s="24">
        <v>2</v>
      </c>
      <c r="J389" s="26">
        <f t="shared" si="27"/>
        <v>1.7777777777777777</v>
      </c>
      <c r="K389" s="24">
        <v>2</v>
      </c>
      <c r="L389" s="24">
        <v>0</v>
      </c>
      <c r="M389" s="24">
        <v>1</v>
      </c>
      <c r="N389" s="24">
        <v>0</v>
      </c>
      <c r="O389" s="24">
        <v>0</v>
      </c>
      <c r="P389" s="24">
        <v>0</v>
      </c>
      <c r="AA389" s="17"/>
      <c r="AB389" s="17"/>
      <c r="AC389" s="17"/>
      <c r="AD389" s="31"/>
      <c r="AE389" s="17"/>
      <c r="AF389" s="25"/>
      <c r="AG389" s="17"/>
      <c r="AH389" s="17"/>
      <c r="AI389" s="17"/>
    </row>
    <row r="390" spans="2:35" x14ac:dyDescent="0.25">
      <c r="B390" s="9">
        <v>4</v>
      </c>
      <c r="D390" s="5" t="s">
        <v>36</v>
      </c>
      <c r="E390" s="24">
        <v>14</v>
      </c>
      <c r="F390" s="24">
        <v>8</v>
      </c>
      <c r="G390" s="24">
        <v>5</v>
      </c>
      <c r="H390" s="33">
        <f t="shared" si="26"/>
        <v>13</v>
      </c>
      <c r="I390" s="24">
        <v>0</v>
      </c>
      <c r="J390" s="26">
        <f t="shared" si="27"/>
        <v>0.9285714285714286</v>
      </c>
      <c r="K390" s="24">
        <v>0</v>
      </c>
      <c r="L390" s="24">
        <v>0</v>
      </c>
      <c r="M390" s="24">
        <v>0</v>
      </c>
      <c r="N390" s="24">
        <v>0</v>
      </c>
      <c r="O390" s="24">
        <v>0</v>
      </c>
      <c r="P390" s="24">
        <v>0</v>
      </c>
      <c r="AA390" s="17"/>
      <c r="AB390" s="17"/>
      <c r="AC390" s="17"/>
      <c r="AD390" s="31"/>
      <c r="AE390" s="17"/>
      <c r="AF390" s="25"/>
      <c r="AG390" s="17"/>
      <c r="AH390" s="17"/>
      <c r="AI390" s="17"/>
    </row>
    <row r="391" spans="2:35" x14ac:dyDescent="0.25">
      <c r="B391" s="9">
        <v>5</v>
      </c>
      <c r="D391" s="5" t="s">
        <v>39</v>
      </c>
      <c r="E391" s="24">
        <v>8</v>
      </c>
      <c r="F391" s="24">
        <v>6</v>
      </c>
      <c r="G391" s="24">
        <v>5</v>
      </c>
      <c r="H391" s="33">
        <f t="shared" si="26"/>
        <v>11</v>
      </c>
      <c r="I391" s="24">
        <v>0</v>
      </c>
      <c r="J391" s="26">
        <f t="shared" si="27"/>
        <v>1.375</v>
      </c>
      <c r="K391" s="24">
        <v>2</v>
      </c>
      <c r="L391" s="24">
        <v>0</v>
      </c>
      <c r="M391" s="24">
        <v>0</v>
      </c>
      <c r="N391" s="24">
        <v>0</v>
      </c>
      <c r="O391" s="24">
        <v>0</v>
      </c>
      <c r="P391" s="24">
        <v>0</v>
      </c>
      <c r="AA391" s="17"/>
      <c r="AB391" s="17"/>
      <c r="AC391" s="17"/>
      <c r="AD391" s="31"/>
      <c r="AE391" s="17"/>
      <c r="AF391" s="25"/>
      <c r="AG391" s="17"/>
      <c r="AH391" s="17"/>
      <c r="AI391" s="17"/>
    </row>
    <row r="392" spans="2:35" x14ac:dyDescent="0.25">
      <c r="B392" s="9">
        <v>6</v>
      </c>
      <c r="D392" s="5" t="s">
        <v>13</v>
      </c>
      <c r="E392" s="24">
        <v>5</v>
      </c>
      <c r="F392" s="24">
        <v>5</v>
      </c>
      <c r="G392" s="24">
        <v>4</v>
      </c>
      <c r="H392" s="33">
        <f t="shared" si="26"/>
        <v>9</v>
      </c>
      <c r="I392" s="24">
        <v>0</v>
      </c>
      <c r="J392" s="26">
        <f t="shared" si="27"/>
        <v>1.8</v>
      </c>
      <c r="K392" s="24">
        <v>4</v>
      </c>
      <c r="L392" s="24">
        <v>0</v>
      </c>
      <c r="M392" s="24">
        <v>1</v>
      </c>
      <c r="N392" s="24">
        <v>0</v>
      </c>
      <c r="O392" s="24">
        <v>0</v>
      </c>
      <c r="P392" s="24">
        <v>0</v>
      </c>
      <c r="AA392" s="17"/>
      <c r="AB392" s="17"/>
      <c r="AC392" s="17"/>
      <c r="AD392" s="31"/>
      <c r="AE392" s="17"/>
      <c r="AF392" s="25"/>
      <c r="AG392" s="17"/>
      <c r="AH392" s="17"/>
      <c r="AI392" s="17"/>
    </row>
    <row r="393" spans="2:35" x14ac:dyDescent="0.25">
      <c r="B393" s="9">
        <v>7</v>
      </c>
      <c r="D393" s="5" t="s">
        <v>16</v>
      </c>
      <c r="E393" s="24">
        <v>8</v>
      </c>
      <c r="F393" s="24">
        <v>4</v>
      </c>
      <c r="G393" s="24">
        <v>4</v>
      </c>
      <c r="H393" s="33">
        <f t="shared" si="26"/>
        <v>8</v>
      </c>
      <c r="I393" s="24">
        <v>0</v>
      </c>
      <c r="J393" s="26">
        <f t="shared" si="27"/>
        <v>1</v>
      </c>
      <c r="K393" s="24">
        <v>0</v>
      </c>
      <c r="L393" s="24">
        <v>0</v>
      </c>
      <c r="M393" s="24">
        <v>1</v>
      </c>
      <c r="N393" s="24">
        <v>0</v>
      </c>
      <c r="O393" s="24">
        <v>0</v>
      </c>
      <c r="P393" s="24">
        <v>0</v>
      </c>
      <c r="AA393" s="17"/>
      <c r="AB393" s="17"/>
      <c r="AC393" s="17"/>
      <c r="AD393" s="31"/>
      <c r="AE393" s="17"/>
      <c r="AF393" s="25"/>
      <c r="AG393" s="17"/>
      <c r="AH393" s="17"/>
      <c r="AI393" s="17"/>
    </row>
    <row r="394" spans="2:35" x14ac:dyDescent="0.25">
      <c r="B394" s="9">
        <v>8</v>
      </c>
      <c r="D394" s="5" t="s">
        <v>18</v>
      </c>
      <c r="E394" s="24">
        <v>7</v>
      </c>
      <c r="F394" s="24">
        <v>6</v>
      </c>
      <c r="G394" s="24">
        <v>0</v>
      </c>
      <c r="H394" s="33">
        <f t="shared" si="26"/>
        <v>6</v>
      </c>
      <c r="I394" s="24">
        <v>2</v>
      </c>
      <c r="J394" s="26">
        <f t="shared" si="27"/>
        <v>0.8571428571428571</v>
      </c>
      <c r="K394" s="24">
        <v>0</v>
      </c>
      <c r="L394" s="24">
        <v>0</v>
      </c>
      <c r="M394" s="24">
        <v>0</v>
      </c>
      <c r="N394" s="24">
        <v>0</v>
      </c>
      <c r="O394" s="24">
        <v>0</v>
      </c>
      <c r="P394" s="24">
        <v>1</v>
      </c>
      <c r="AA394" s="17"/>
      <c r="AB394" s="17"/>
      <c r="AC394" s="17"/>
      <c r="AD394" s="31"/>
      <c r="AE394" s="17"/>
      <c r="AF394" s="25"/>
      <c r="AG394" s="17"/>
      <c r="AH394" s="17"/>
      <c r="AI394" s="17"/>
    </row>
    <row r="395" spans="2:35" x14ac:dyDescent="0.25">
      <c r="B395" s="9">
        <v>9</v>
      </c>
      <c r="D395" s="5" t="s">
        <v>17</v>
      </c>
      <c r="E395" s="24">
        <v>16</v>
      </c>
      <c r="F395" s="24">
        <v>3</v>
      </c>
      <c r="G395" s="24">
        <v>3</v>
      </c>
      <c r="H395" s="33">
        <f t="shared" si="26"/>
        <v>6</v>
      </c>
      <c r="I395" s="24">
        <v>2</v>
      </c>
      <c r="J395" s="26">
        <f t="shared" si="27"/>
        <v>0.375</v>
      </c>
      <c r="K395" s="24">
        <v>0</v>
      </c>
      <c r="L395" s="24">
        <v>0</v>
      </c>
      <c r="M395" s="24">
        <v>1</v>
      </c>
      <c r="N395" s="24">
        <v>0</v>
      </c>
      <c r="O395" s="24">
        <v>0</v>
      </c>
      <c r="P395" s="24">
        <v>0</v>
      </c>
      <c r="AA395" s="17"/>
      <c r="AB395" s="17"/>
      <c r="AC395" s="17"/>
      <c r="AD395" s="31"/>
      <c r="AE395" s="17"/>
      <c r="AF395" s="25"/>
      <c r="AG395" s="17"/>
      <c r="AH395" s="17"/>
      <c r="AI395" s="17"/>
    </row>
    <row r="396" spans="2:35" x14ac:dyDescent="0.25">
      <c r="B396" s="9">
        <v>10</v>
      </c>
      <c r="D396" s="5" t="s">
        <v>20</v>
      </c>
      <c r="E396" s="24">
        <v>12</v>
      </c>
      <c r="F396" s="24">
        <v>0</v>
      </c>
      <c r="G396" s="24">
        <v>6</v>
      </c>
      <c r="H396" s="33">
        <f t="shared" si="26"/>
        <v>6</v>
      </c>
      <c r="I396" s="24">
        <v>8</v>
      </c>
      <c r="J396" s="26">
        <f t="shared" si="27"/>
        <v>0.5</v>
      </c>
      <c r="K396" s="24">
        <v>0</v>
      </c>
      <c r="L396" s="24">
        <v>0</v>
      </c>
      <c r="M396" s="24">
        <v>0</v>
      </c>
      <c r="N396" s="24">
        <v>0</v>
      </c>
      <c r="O396" s="24">
        <v>0</v>
      </c>
      <c r="P396" s="24">
        <v>0</v>
      </c>
      <c r="AA396" s="17"/>
      <c r="AB396" s="17"/>
      <c r="AC396" s="17"/>
      <c r="AD396" s="31"/>
      <c r="AE396" s="17"/>
      <c r="AF396" s="25"/>
      <c r="AG396" s="17"/>
      <c r="AH396" s="17"/>
      <c r="AI396" s="17"/>
    </row>
    <row r="397" spans="2:35" x14ac:dyDescent="0.25">
      <c r="B397" s="9">
        <v>11</v>
      </c>
      <c r="D397" s="5" t="s">
        <v>14</v>
      </c>
      <c r="E397" s="24">
        <v>4</v>
      </c>
      <c r="F397" s="24">
        <v>2</v>
      </c>
      <c r="G397" s="24">
        <v>3</v>
      </c>
      <c r="H397" s="33">
        <f t="shared" si="26"/>
        <v>5</v>
      </c>
      <c r="I397" s="24">
        <v>0</v>
      </c>
      <c r="J397" s="26">
        <f t="shared" si="27"/>
        <v>1.25</v>
      </c>
      <c r="K397" s="24">
        <v>0</v>
      </c>
      <c r="L397" s="24">
        <v>0</v>
      </c>
      <c r="M397" s="24">
        <v>0</v>
      </c>
      <c r="N397" s="24">
        <v>0</v>
      </c>
      <c r="O397" s="24">
        <v>0</v>
      </c>
      <c r="P397" s="24">
        <v>0</v>
      </c>
      <c r="AA397" s="17"/>
      <c r="AB397" s="17"/>
      <c r="AC397" s="17"/>
      <c r="AD397" s="31"/>
      <c r="AE397" s="17"/>
      <c r="AF397" s="25"/>
      <c r="AG397" s="17"/>
      <c r="AH397" s="17"/>
      <c r="AI397" s="17"/>
    </row>
    <row r="398" spans="2:35" x14ac:dyDescent="0.25">
      <c r="B398" s="9">
        <v>12</v>
      </c>
      <c r="D398" s="5" t="s">
        <v>22</v>
      </c>
      <c r="E398" s="24">
        <v>9</v>
      </c>
      <c r="F398" s="24">
        <v>2</v>
      </c>
      <c r="G398" s="24">
        <v>1</v>
      </c>
      <c r="H398" s="33">
        <f t="shared" si="26"/>
        <v>3</v>
      </c>
      <c r="I398" s="24">
        <v>0</v>
      </c>
      <c r="J398" s="26">
        <f t="shared" si="27"/>
        <v>0.33333333333333331</v>
      </c>
      <c r="K398" s="24">
        <v>1</v>
      </c>
      <c r="L398" s="24">
        <v>0</v>
      </c>
      <c r="M398" s="24">
        <v>0</v>
      </c>
      <c r="N398" s="24">
        <v>0</v>
      </c>
      <c r="O398" s="24">
        <v>0</v>
      </c>
      <c r="P398" s="24">
        <v>0</v>
      </c>
      <c r="AA398" s="17"/>
      <c r="AB398" s="17"/>
      <c r="AC398" s="17"/>
      <c r="AD398" s="31"/>
      <c r="AE398" s="17"/>
      <c r="AF398" s="25"/>
      <c r="AG398" s="17"/>
      <c r="AH398" s="17"/>
      <c r="AI398" s="17"/>
    </row>
    <row r="399" spans="2:35" x14ac:dyDescent="0.25">
      <c r="B399" s="9">
        <v>13</v>
      </c>
      <c r="D399" s="5" t="s">
        <v>10</v>
      </c>
      <c r="E399" s="24">
        <v>6</v>
      </c>
      <c r="F399" s="24">
        <v>1</v>
      </c>
      <c r="G399" s="24">
        <v>2</v>
      </c>
      <c r="H399" s="33">
        <f t="shared" si="26"/>
        <v>3</v>
      </c>
      <c r="I399" s="24">
        <v>0</v>
      </c>
      <c r="J399" s="26">
        <f t="shared" si="27"/>
        <v>0.5</v>
      </c>
      <c r="K399" s="24">
        <v>0</v>
      </c>
      <c r="L399" s="24">
        <v>0</v>
      </c>
      <c r="M399" s="24">
        <v>0</v>
      </c>
      <c r="N399" s="24">
        <v>0</v>
      </c>
      <c r="O399" s="24">
        <v>0</v>
      </c>
      <c r="P399" s="24">
        <v>0</v>
      </c>
    </row>
    <row r="400" spans="2:35" x14ac:dyDescent="0.25">
      <c r="B400" s="9">
        <v>14</v>
      </c>
      <c r="D400" s="5" t="s">
        <v>37</v>
      </c>
      <c r="E400" s="24">
        <v>7</v>
      </c>
      <c r="F400" s="24">
        <v>0</v>
      </c>
      <c r="G400" s="24">
        <v>3</v>
      </c>
      <c r="H400" s="33">
        <f t="shared" si="26"/>
        <v>3</v>
      </c>
      <c r="I400" s="24">
        <v>4</v>
      </c>
      <c r="J400" s="26">
        <f t="shared" si="27"/>
        <v>0.42857142857142855</v>
      </c>
      <c r="K400" s="24">
        <v>0</v>
      </c>
      <c r="L400" s="24">
        <v>0</v>
      </c>
      <c r="M400" s="24">
        <v>0</v>
      </c>
      <c r="N400" s="24">
        <v>0</v>
      </c>
      <c r="O400" s="24">
        <v>0</v>
      </c>
      <c r="P400" s="24">
        <v>0</v>
      </c>
    </row>
    <row r="401" spans="2:16" x14ac:dyDescent="0.25">
      <c r="B401" s="9">
        <v>15</v>
      </c>
      <c r="D401" s="5" t="s">
        <v>33</v>
      </c>
      <c r="E401" s="24">
        <v>15</v>
      </c>
      <c r="F401" s="24">
        <v>0</v>
      </c>
      <c r="G401" s="24">
        <v>2</v>
      </c>
      <c r="H401" s="33">
        <f t="shared" si="26"/>
        <v>2</v>
      </c>
      <c r="I401" s="24">
        <v>0</v>
      </c>
      <c r="J401" s="26">
        <f t="shared" si="27"/>
        <v>0.13333333333333333</v>
      </c>
      <c r="K401" s="24">
        <v>0</v>
      </c>
      <c r="L401" s="24">
        <v>0</v>
      </c>
      <c r="M401" s="24">
        <v>0</v>
      </c>
      <c r="N401" s="24">
        <v>0</v>
      </c>
      <c r="O401" s="24">
        <v>0</v>
      </c>
      <c r="P401" s="24">
        <v>0</v>
      </c>
    </row>
    <row r="402" spans="2:16" x14ac:dyDescent="0.25">
      <c r="B402" s="9">
        <v>16</v>
      </c>
      <c r="D402" s="5" t="s">
        <v>21</v>
      </c>
      <c r="E402" s="24">
        <v>6</v>
      </c>
      <c r="F402" s="24">
        <v>1</v>
      </c>
      <c r="G402" s="24">
        <v>0</v>
      </c>
      <c r="H402" s="33">
        <f t="shared" si="26"/>
        <v>1</v>
      </c>
      <c r="I402" s="24">
        <v>0</v>
      </c>
      <c r="J402" s="26">
        <f t="shared" si="27"/>
        <v>0.16666666666666666</v>
      </c>
      <c r="K402" s="24">
        <v>1</v>
      </c>
      <c r="L402" s="24">
        <v>0</v>
      </c>
      <c r="M402" s="24">
        <v>0</v>
      </c>
      <c r="N402" s="24">
        <v>0</v>
      </c>
      <c r="O402" s="24">
        <v>0</v>
      </c>
      <c r="P402" s="24">
        <v>0</v>
      </c>
    </row>
    <row r="403" spans="2:16" x14ac:dyDescent="0.25">
      <c r="B403" s="9">
        <v>17</v>
      </c>
      <c r="D403" s="5" t="s">
        <v>35</v>
      </c>
      <c r="E403" s="24">
        <v>16</v>
      </c>
      <c r="F403" s="24">
        <v>1</v>
      </c>
      <c r="G403" s="24">
        <v>0</v>
      </c>
      <c r="H403" s="33">
        <f t="shared" si="26"/>
        <v>1</v>
      </c>
      <c r="I403" s="24">
        <v>0</v>
      </c>
      <c r="J403" s="26">
        <f t="shared" si="27"/>
        <v>6.25E-2</v>
      </c>
      <c r="K403" s="24">
        <v>0</v>
      </c>
      <c r="L403" s="24">
        <v>0</v>
      </c>
      <c r="M403" s="24">
        <v>0</v>
      </c>
      <c r="N403" s="24">
        <v>0</v>
      </c>
      <c r="O403" s="24">
        <v>0</v>
      </c>
      <c r="P403" s="24">
        <v>0</v>
      </c>
    </row>
    <row r="404" spans="2:16" x14ac:dyDescent="0.25">
      <c r="B404" s="9">
        <v>18</v>
      </c>
      <c r="D404" s="5" t="s">
        <v>12</v>
      </c>
      <c r="E404" s="24">
        <v>1</v>
      </c>
      <c r="F404" s="24">
        <v>0</v>
      </c>
      <c r="G404" s="24">
        <v>0</v>
      </c>
      <c r="H404" s="33">
        <f t="shared" si="26"/>
        <v>0</v>
      </c>
      <c r="I404" s="24">
        <v>2</v>
      </c>
      <c r="J404" s="26">
        <f t="shared" si="27"/>
        <v>0</v>
      </c>
      <c r="K404" s="24">
        <v>0</v>
      </c>
      <c r="L404" s="24">
        <v>0</v>
      </c>
      <c r="M404" s="24">
        <v>0</v>
      </c>
      <c r="N404" s="24">
        <v>0</v>
      </c>
      <c r="O404" s="24">
        <v>0</v>
      </c>
      <c r="P404" s="24">
        <v>0</v>
      </c>
    </row>
    <row r="405" spans="2:16" x14ac:dyDescent="0.25">
      <c r="B405" s="9">
        <v>19</v>
      </c>
      <c r="D405" s="5" t="s">
        <v>15</v>
      </c>
      <c r="E405" s="24">
        <v>4</v>
      </c>
      <c r="F405" s="24">
        <v>0</v>
      </c>
      <c r="G405" s="24">
        <v>0</v>
      </c>
      <c r="H405" s="33">
        <f t="shared" si="26"/>
        <v>0</v>
      </c>
      <c r="I405" s="24">
        <v>0</v>
      </c>
      <c r="J405" s="26">
        <f t="shared" si="27"/>
        <v>0</v>
      </c>
      <c r="K405" s="24">
        <v>0</v>
      </c>
      <c r="L405" s="24">
        <v>0</v>
      </c>
      <c r="M405" s="24">
        <v>0</v>
      </c>
      <c r="N405" s="24">
        <v>0</v>
      </c>
      <c r="O405" s="24">
        <v>0</v>
      </c>
      <c r="P405" s="24">
        <v>0</v>
      </c>
    </row>
    <row r="406" spans="2:16" x14ac:dyDescent="0.25">
      <c r="B406" s="9">
        <v>20</v>
      </c>
      <c r="D406" s="5" t="s">
        <v>75</v>
      </c>
      <c r="E406" s="24">
        <v>9</v>
      </c>
      <c r="F406" s="24">
        <v>0</v>
      </c>
      <c r="G406" s="24">
        <v>0</v>
      </c>
      <c r="H406" s="33">
        <f t="shared" si="26"/>
        <v>0</v>
      </c>
      <c r="I406" s="24">
        <v>0</v>
      </c>
      <c r="J406" s="26">
        <f t="shared" si="27"/>
        <v>0</v>
      </c>
      <c r="K406" s="24">
        <v>0</v>
      </c>
      <c r="L406" s="24">
        <v>0</v>
      </c>
      <c r="M406" s="24">
        <v>0</v>
      </c>
      <c r="N406" s="24">
        <v>0</v>
      </c>
      <c r="O406" s="24">
        <v>0</v>
      </c>
      <c r="P406" s="24">
        <v>0</v>
      </c>
    </row>
    <row r="407" spans="2:16" x14ac:dyDescent="0.25">
      <c r="B407" s="9">
        <v>21</v>
      </c>
      <c r="D407" s="5" t="s">
        <v>91</v>
      </c>
      <c r="E407" s="24">
        <v>10</v>
      </c>
      <c r="F407" s="24">
        <v>0</v>
      </c>
      <c r="G407" s="24">
        <v>0</v>
      </c>
      <c r="H407" s="33">
        <f t="shared" si="26"/>
        <v>0</v>
      </c>
      <c r="I407" s="24">
        <v>0</v>
      </c>
      <c r="J407" s="26">
        <f t="shared" si="27"/>
        <v>0</v>
      </c>
      <c r="K407" s="24">
        <v>0</v>
      </c>
      <c r="L407" s="24">
        <v>0</v>
      </c>
      <c r="M407" s="24">
        <v>0</v>
      </c>
      <c r="N407" s="24">
        <v>0</v>
      </c>
      <c r="O407" s="24">
        <v>0</v>
      </c>
      <c r="P407" s="24">
        <v>0</v>
      </c>
    </row>
    <row r="410" spans="2:16" x14ac:dyDescent="0.25">
      <c r="C410" s="1" t="s">
        <v>60</v>
      </c>
    </row>
    <row r="412" spans="2:16" x14ac:dyDescent="0.25">
      <c r="D412" s="8" t="s">
        <v>0</v>
      </c>
      <c r="E412" s="18" t="s">
        <v>1</v>
      </c>
      <c r="F412" s="18" t="s">
        <v>2</v>
      </c>
      <c r="G412" s="18" t="s">
        <v>3</v>
      </c>
      <c r="H412" s="32" t="s">
        <v>4</v>
      </c>
      <c r="I412" s="18" t="s">
        <v>5</v>
      </c>
      <c r="J412" s="18" t="s">
        <v>38</v>
      </c>
      <c r="K412" s="18" t="s">
        <v>41</v>
      </c>
      <c r="L412" s="18" t="s">
        <v>42</v>
      </c>
      <c r="M412" s="18" t="s">
        <v>45</v>
      </c>
      <c r="N412" s="18" t="s">
        <v>46</v>
      </c>
      <c r="O412" s="18" t="s">
        <v>44</v>
      </c>
      <c r="P412" s="18" t="s">
        <v>43</v>
      </c>
    </row>
    <row r="413" spans="2:16" x14ac:dyDescent="0.25">
      <c r="B413" s="9">
        <v>1</v>
      </c>
      <c r="D413" s="5" t="s">
        <v>13</v>
      </c>
      <c r="E413" s="24">
        <v>16</v>
      </c>
      <c r="F413" s="24">
        <v>19</v>
      </c>
      <c r="G413" s="24">
        <v>14</v>
      </c>
      <c r="H413" s="33">
        <f t="shared" ref="H413:H434" si="28">F413+G413</f>
        <v>33</v>
      </c>
      <c r="I413" s="24">
        <v>33</v>
      </c>
      <c r="J413" s="26">
        <f t="shared" ref="J413:J434" si="29">H413/E413</f>
        <v>2.0625</v>
      </c>
      <c r="K413" s="24">
        <v>1</v>
      </c>
      <c r="L413" s="24">
        <v>2</v>
      </c>
      <c r="M413" s="24">
        <v>1</v>
      </c>
      <c r="N413" s="24">
        <v>2</v>
      </c>
      <c r="O413" s="24">
        <v>1</v>
      </c>
      <c r="P413" s="24">
        <v>1</v>
      </c>
    </row>
    <row r="414" spans="2:16" x14ac:dyDescent="0.25">
      <c r="B414" s="9">
        <v>2</v>
      </c>
      <c r="D414" s="5" t="s">
        <v>18</v>
      </c>
      <c r="E414" s="24">
        <v>18</v>
      </c>
      <c r="F414" s="24">
        <v>10</v>
      </c>
      <c r="G414" s="24">
        <v>7</v>
      </c>
      <c r="H414" s="33">
        <f t="shared" si="28"/>
        <v>17</v>
      </c>
      <c r="I414" s="24">
        <v>4</v>
      </c>
      <c r="J414" s="26">
        <f t="shared" si="29"/>
        <v>0.94444444444444442</v>
      </c>
      <c r="K414" s="24">
        <v>1</v>
      </c>
      <c r="L414" s="24">
        <v>0</v>
      </c>
      <c r="M414" s="24">
        <v>0</v>
      </c>
      <c r="N414" s="24">
        <v>1</v>
      </c>
      <c r="O414" s="24">
        <v>0</v>
      </c>
      <c r="P414" s="24">
        <v>0</v>
      </c>
    </row>
    <row r="415" spans="2:16" x14ac:dyDescent="0.25">
      <c r="B415" s="9">
        <v>3</v>
      </c>
      <c r="D415" s="5" t="s">
        <v>7</v>
      </c>
      <c r="E415" s="24">
        <v>7</v>
      </c>
      <c r="F415" s="24">
        <v>10</v>
      </c>
      <c r="G415" s="24">
        <v>5</v>
      </c>
      <c r="H415" s="33">
        <f t="shared" si="28"/>
        <v>15</v>
      </c>
      <c r="I415" s="24">
        <v>4</v>
      </c>
      <c r="J415" s="26">
        <f t="shared" si="29"/>
        <v>2.1428571428571428</v>
      </c>
      <c r="K415" s="24">
        <v>2</v>
      </c>
      <c r="L415" s="24">
        <v>2</v>
      </c>
      <c r="M415" s="24">
        <v>2</v>
      </c>
      <c r="N415" s="24">
        <v>0</v>
      </c>
      <c r="O415" s="24">
        <v>0</v>
      </c>
      <c r="P415" s="24">
        <v>0</v>
      </c>
    </row>
    <row r="416" spans="2:16" x14ac:dyDescent="0.25">
      <c r="B416" s="9">
        <v>4</v>
      </c>
      <c r="D416" s="5" t="s">
        <v>34</v>
      </c>
      <c r="E416" s="24">
        <v>8</v>
      </c>
      <c r="F416" s="24">
        <v>8</v>
      </c>
      <c r="G416" s="24">
        <v>6</v>
      </c>
      <c r="H416" s="33">
        <f t="shared" si="28"/>
        <v>14</v>
      </c>
      <c r="I416" s="24">
        <v>2</v>
      </c>
      <c r="J416" s="26">
        <f t="shared" si="29"/>
        <v>1.75</v>
      </c>
      <c r="K416" s="24">
        <v>0</v>
      </c>
      <c r="L416" s="24">
        <v>2</v>
      </c>
      <c r="M416" s="24">
        <v>2</v>
      </c>
      <c r="N416" s="24">
        <v>0</v>
      </c>
      <c r="O416" s="24">
        <v>0</v>
      </c>
      <c r="P416" s="24">
        <v>0</v>
      </c>
    </row>
    <row r="417" spans="2:17" x14ac:dyDescent="0.25">
      <c r="B417" s="9">
        <v>5</v>
      </c>
      <c r="D417" s="5" t="s">
        <v>37</v>
      </c>
      <c r="E417" s="24">
        <v>11</v>
      </c>
      <c r="F417" s="24">
        <v>7</v>
      </c>
      <c r="G417" s="24">
        <v>2</v>
      </c>
      <c r="H417" s="33">
        <f t="shared" si="28"/>
        <v>9</v>
      </c>
      <c r="I417" s="24">
        <v>35</v>
      </c>
      <c r="J417" s="26">
        <f t="shared" si="29"/>
        <v>0.81818181818181823</v>
      </c>
      <c r="K417" s="24">
        <v>0</v>
      </c>
      <c r="L417" s="24">
        <v>1</v>
      </c>
      <c r="M417" s="24">
        <v>1</v>
      </c>
      <c r="N417" s="24">
        <v>0</v>
      </c>
      <c r="O417" s="24">
        <v>0</v>
      </c>
      <c r="P417" s="24">
        <v>0</v>
      </c>
    </row>
    <row r="418" spans="2:17" x14ac:dyDescent="0.25">
      <c r="B418" s="9">
        <v>6</v>
      </c>
      <c r="D418" s="5" t="s">
        <v>22</v>
      </c>
      <c r="E418" s="24">
        <v>18</v>
      </c>
      <c r="F418" s="24">
        <v>4</v>
      </c>
      <c r="G418" s="24">
        <v>4</v>
      </c>
      <c r="H418" s="33">
        <f t="shared" si="28"/>
        <v>8</v>
      </c>
      <c r="I418" s="24">
        <v>8</v>
      </c>
      <c r="J418" s="26">
        <f t="shared" si="29"/>
        <v>0.44444444444444442</v>
      </c>
      <c r="K418" s="24">
        <v>1</v>
      </c>
      <c r="L418" s="24">
        <v>0</v>
      </c>
      <c r="M418" s="24">
        <v>0</v>
      </c>
      <c r="N418" s="24">
        <v>0</v>
      </c>
      <c r="O418" s="24">
        <v>0</v>
      </c>
      <c r="P418" s="24">
        <v>0</v>
      </c>
    </row>
    <row r="419" spans="2:17" x14ac:dyDescent="0.25">
      <c r="B419" s="9">
        <v>7</v>
      </c>
      <c r="D419" s="5" t="s">
        <v>20</v>
      </c>
      <c r="E419" s="24">
        <v>9</v>
      </c>
      <c r="F419" s="24">
        <v>2</v>
      </c>
      <c r="G419" s="24">
        <v>5</v>
      </c>
      <c r="H419" s="33">
        <f t="shared" si="28"/>
        <v>7</v>
      </c>
      <c r="I419" s="24">
        <v>6</v>
      </c>
      <c r="J419" s="26">
        <f t="shared" si="29"/>
        <v>0.77777777777777779</v>
      </c>
      <c r="K419" s="24">
        <v>0</v>
      </c>
      <c r="L419" s="24">
        <v>0</v>
      </c>
      <c r="M419" s="24">
        <v>2</v>
      </c>
      <c r="N419" s="24">
        <v>0</v>
      </c>
      <c r="O419" s="24">
        <v>0</v>
      </c>
      <c r="P419" s="24">
        <v>0</v>
      </c>
    </row>
    <row r="420" spans="2:17" x14ac:dyDescent="0.25">
      <c r="B420" s="9">
        <v>8</v>
      </c>
      <c r="D420" s="5" t="s">
        <v>16</v>
      </c>
      <c r="E420" s="24">
        <v>4</v>
      </c>
      <c r="F420" s="24">
        <v>5</v>
      </c>
      <c r="G420" s="24">
        <v>1</v>
      </c>
      <c r="H420" s="33">
        <f t="shared" si="28"/>
        <v>6</v>
      </c>
      <c r="I420" s="24">
        <v>4</v>
      </c>
      <c r="J420" s="26">
        <f t="shared" si="29"/>
        <v>1.5</v>
      </c>
      <c r="K420" s="24">
        <v>0</v>
      </c>
      <c r="L420" s="24">
        <v>1</v>
      </c>
      <c r="M420" s="24">
        <v>1</v>
      </c>
      <c r="N420" s="24">
        <v>0</v>
      </c>
      <c r="O420" s="24">
        <v>0</v>
      </c>
      <c r="P420" s="24">
        <v>0</v>
      </c>
    </row>
    <row r="421" spans="2:17" x14ac:dyDescent="0.25">
      <c r="B421" s="9">
        <v>9</v>
      </c>
      <c r="D421" s="5" t="s">
        <v>14</v>
      </c>
      <c r="E421" s="24">
        <v>2</v>
      </c>
      <c r="F421" s="24">
        <v>1</v>
      </c>
      <c r="G421" s="24">
        <v>3</v>
      </c>
      <c r="H421" s="33">
        <f t="shared" si="28"/>
        <v>4</v>
      </c>
      <c r="I421" s="24">
        <v>2</v>
      </c>
      <c r="J421" s="26">
        <f t="shared" si="29"/>
        <v>2</v>
      </c>
      <c r="K421" s="24">
        <v>0</v>
      </c>
      <c r="L421" s="24">
        <v>0</v>
      </c>
      <c r="M421" s="24">
        <v>0</v>
      </c>
      <c r="N421" s="24">
        <v>0</v>
      </c>
      <c r="O421" s="24">
        <v>0</v>
      </c>
      <c r="P421" s="24">
        <v>0</v>
      </c>
    </row>
    <row r="422" spans="2:17" x14ac:dyDescent="0.25">
      <c r="B422" s="9">
        <v>10</v>
      </c>
      <c r="D422" s="5" t="s">
        <v>33</v>
      </c>
      <c r="E422" s="24">
        <v>17</v>
      </c>
      <c r="F422" s="24">
        <v>1</v>
      </c>
      <c r="G422" s="24">
        <v>3</v>
      </c>
      <c r="H422" s="33">
        <f t="shared" si="28"/>
        <v>4</v>
      </c>
      <c r="I422" s="24">
        <v>4</v>
      </c>
      <c r="J422" s="26">
        <f t="shared" si="29"/>
        <v>0.23529411764705882</v>
      </c>
      <c r="K422" s="24">
        <v>0</v>
      </c>
      <c r="L422" s="24">
        <v>0</v>
      </c>
      <c r="M422" s="24">
        <v>0</v>
      </c>
      <c r="N422" s="24">
        <v>0</v>
      </c>
      <c r="O422" s="24">
        <v>0</v>
      </c>
      <c r="P422" s="24">
        <v>0</v>
      </c>
    </row>
    <row r="423" spans="2:17" x14ac:dyDescent="0.25">
      <c r="B423" s="9">
        <v>11</v>
      </c>
      <c r="D423" s="5" t="s">
        <v>17</v>
      </c>
      <c r="E423" s="24">
        <v>5</v>
      </c>
      <c r="F423" s="24">
        <v>3</v>
      </c>
      <c r="G423" s="24">
        <v>0</v>
      </c>
      <c r="H423" s="33">
        <f t="shared" si="28"/>
        <v>3</v>
      </c>
      <c r="I423" s="24">
        <v>2</v>
      </c>
      <c r="J423" s="26">
        <f t="shared" si="29"/>
        <v>0.6</v>
      </c>
      <c r="K423" s="24">
        <v>1</v>
      </c>
      <c r="L423" s="24">
        <v>0</v>
      </c>
      <c r="M423" s="24">
        <v>0</v>
      </c>
      <c r="N423" s="24">
        <v>0</v>
      </c>
      <c r="O423" s="24">
        <v>0</v>
      </c>
      <c r="P423" s="24">
        <v>0</v>
      </c>
    </row>
    <row r="424" spans="2:17" x14ac:dyDescent="0.25">
      <c r="B424" s="9">
        <v>12</v>
      </c>
      <c r="D424" s="5" t="s">
        <v>12</v>
      </c>
      <c r="E424" s="24">
        <v>1</v>
      </c>
      <c r="F424" s="24">
        <v>2</v>
      </c>
      <c r="G424" s="24">
        <v>1</v>
      </c>
      <c r="H424" s="33">
        <f t="shared" si="28"/>
        <v>3</v>
      </c>
      <c r="I424" s="24">
        <v>0</v>
      </c>
      <c r="J424" s="26">
        <f t="shared" si="29"/>
        <v>3</v>
      </c>
      <c r="K424" s="24">
        <v>0</v>
      </c>
      <c r="L424" s="24">
        <v>0</v>
      </c>
      <c r="M424" s="24">
        <v>0</v>
      </c>
      <c r="N424" s="24">
        <v>0</v>
      </c>
      <c r="O424" s="24">
        <v>0</v>
      </c>
      <c r="P424" s="24">
        <v>0</v>
      </c>
    </row>
    <row r="425" spans="2:17" x14ac:dyDescent="0.25">
      <c r="B425" s="9">
        <v>13</v>
      </c>
      <c r="D425" s="5" t="s">
        <v>21</v>
      </c>
      <c r="E425" s="24">
        <v>14</v>
      </c>
      <c r="F425" s="24">
        <v>2</v>
      </c>
      <c r="G425" s="24">
        <v>1</v>
      </c>
      <c r="H425" s="33">
        <f t="shared" si="28"/>
        <v>3</v>
      </c>
      <c r="I425" s="24">
        <v>16</v>
      </c>
      <c r="J425" s="26">
        <f t="shared" si="29"/>
        <v>0.21428571428571427</v>
      </c>
      <c r="K425" s="24">
        <v>0</v>
      </c>
      <c r="L425" s="24">
        <v>0</v>
      </c>
      <c r="M425" s="24">
        <v>0</v>
      </c>
      <c r="N425" s="24">
        <v>0</v>
      </c>
      <c r="O425" s="24">
        <v>0</v>
      </c>
      <c r="P425" s="24">
        <v>0</v>
      </c>
    </row>
    <row r="426" spans="2:17" x14ac:dyDescent="0.25">
      <c r="B426" s="9">
        <v>14</v>
      </c>
      <c r="D426" s="5" t="s">
        <v>24</v>
      </c>
      <c r="E426" s="24">
        <v>11</v>
      </c>
      <c r="F426" s="24">
        <v>1</v>
      </c>
      <c r="G426" s="24">
        <v>2</v>
      </c>
      <c r="H426" s="33">
        <f t="shared" si="28"/>
        <v>3</v>
      </c>
      <c r="I426" s="24">
        <v>0</v>
      </c>
      <c r="J426" s="26">
        <f t="shared" si="29"/>
        <v>0.27272727272727271</v>
      </c>
      <c r="K426" s="24">
        <v>0</v>
      </c>
      <c r="L426" s="24">
        <v>0</v>
      </c>
      <c r="M426" s="24">
        <v>0</v>
      </c>
      <c r="N426" s="24">
        <v>0</v>
      </c>
      <c r="O426" s="24">
        <v>0</v>
      </c>
      <c r="P426" s="24">
        <v>0</v>
      </c>
    </row>
    <row r="427" spans="2:17" x14ac:dyDescent="0.25">
      <c r="B427" s="9">
        <v>15</v>
      </c>
      <c r="D427" s="5" t="s">
        <v>15</v>
      </c>
      <c r="E427" s="24">
        <v>1</v>
      </c>
      <c r="F427" s="24">
        <v>0</v>
      </c>
      <c r="G427" s="24">
        <v>3</v>
      </c>
      <c r="H427" s="33">
        <f t="shared" si="28"/>
        <v>3</v>
      </c>
      <c r="I427" s="24">
        <v>0</v>
      </c>
      <c r="J427" s="26">
        <f t="shared" si="29"/>
        <v>3</v>
      </c>
      <c r="K427" s="24">
        <v>0</v>
      </c>
      <c r="L427" s="24">
        <v>0</v>
      </c>
      <c r="M427" s="24">
        <v>0</v>
      </c>
      <c r="N427" s="24">
        <v>0</v>
      </c>
      <c r="O427" s="24">
        <v>0</v>
      </c>
      <c r="P427" s="24">
        <v>0</v>
      </c>
    </row>
    <row r="428" spans="2:17" x14ac:dyDescent="0.25">
      <c r="B428" s="9">
        <v>16</v>
      </c>
      <c r="D428" s="5" t="s">
        <v>36</v>
      </c>
      <c r="E428" s="24">
        <v>12</v>
      </c>
      <c r="F428" s="24">
        <v>0</v>
      </c>
      <c r="G428" s="24">
        <v>3</v>
      </c>
      <c r="H428" s="33">
        <f t="shared" si="28"/>
        <v>3</v>
      </c>
      <c r="I428" s="24">
        <v>4</v>
      </c>
      <c r="J428" s="26">
        <f t="shared" si="29"/>
        <v>0.25</v>
      </c>
      <c r="K428" s="24">
        <v>0</v>
      </c>
      <c r="L428" s="24">
        <v>0</v>
      </c>
      <c r="M428" s="24">
        <v>0</v>
      </c>
      <c r="N428" s="24">
        <v>0</v>
      </c>
      <c r="O428" s="24">
        <v>0</v>
      </c>
      <c r="P428" s="24">
        <v>0</v>
      </c>
      <c r="Q428" s="17"/>
    </row>
    <row r="429" spans="2:17" x14ac:dyDescent="0.25">
      <c r="B429" s="9">
        <v>17</v>
      </c>
      <c r="D429" s="5" t="s">
        <v>8</v>
      </c>
      <c r="E429" s="24">
        <v>3</v>
      </c>
      <c r="F429" s="24">
        <v>2</v>
      </c>
      <c r="G429" s="24">
        <v>0</v>
      </c>
      <c r="H429" s="33">
        <f t="shared" si="28"/>
        <v>2</v>
      </c>
      <c r="I429" s="24">
        <v>2</v>
      </c>
      <c r="J429" s="26">
        <f t="shared" si="29"/>
        <v>0.66666666666666663</v>
      </c>
      <c r="K429" s="24">
        <v>0</v>
      </c>
      <c r="L429" s="24">
        <v>0</v>
      </c>
      <c r="M429" s="24">
        <v>0</v>
      </c>
      <c r="N429" s="24">
        <v>0</v>
      </c>
      <c r="O429" s="24">
        <v>0</v>
      </c>
      <c r="P429" s="24">
        <v>1</v>
      </c>
    </row>
    <row r="430" spans="2:17" x14ac:dyDescent="0.25">
      <c r="B430" s="9">
        <v>18</v>
      </c>
      <c r="D430" s="5" t="s">
        <v>10</v>
      </c>
      <c r="E430" s="24">
        <v>6</v>
      </c>
      <c r="F430" s="24">
        <v>2</v>
      </c>
      <c r="G430" s="24">
        <v>0</v>
      </c>
      <c r="H430" s="33">
        <f t="shared" si="28"/>
        <v>2</v>
      </c>
      <c r="I430" s="24">
        <v>0</v>
      </c>
      <c r="J430" s="26">
        <f t="shared" si="29"/>
        <v>0.33333333333333331</v>
      </c>
      <c r="K430" s="24">
        <v>0</v>
      </c>
      <c r="L430" s="24">
        <v>0</v>
      </c>
      <c r="M430" s="24">
        <v>0</v>
      </c>
      <c r="N430" s="24">
        <v>0</v>
      </c>
      <c r="O430" s="24">
        <v>0</v>
      </c>
      <c r="P430" s="24">
        <v>0</v>
      </c>
    </row>
    <row r="431" spans="2:17" x14ac:dyDescent="0.25">
      <c r="B431" s="9">
        <v>20</v>
      </c>
      <c r="D431" s="5" t="s">
        <v>35</v>
      </c>
      <c r="E431" s="24">
        <v>13</v>
      </c>
      <c r="F431" s="24">
        <v>0</v>
      </c>
      <c r="G431" s="24">
        <v>2</v>
      </c>
      <c r="H431" s="33">
        <f t="shared" si="28"/>
        <v>2</v>
      </c>
      <c r="I431" s="24">
        <v>4</v>
      </c>
      <c r="J431" s="26">
        <f t="shared" si="29"/>
        <v>0.15384615384615385</v>
      </c>
      <c r="K431" s="24">
        <v>0</v>
      </c>
      <c r="L431" s="24">
        <v>0</v>
      </c>
      <c r="M431" s="24">
        <v>0</v>
      </c>
      <c r="N431" s="24">
        <v>0</v>
      </c>
      <c r="O431" s="24">
        <v>0</v>
      </c>
      <c r="P431" s="24">
        <v>0</v>
      </c>
    </row>
    <row r="432" spans="2:17" x14ac:dyDescent="0.25">
      <c r="B432" s="9">
        <v>21</v>
      </c>
      <c r="D432" s="5" t="s">
        <v>75</v>
      </c>
      <c r="E432" s="24">
        <v>8</v>
      </c>
      <c r="F432" s="24">
        <v>0</v>
      </c>
      <c r="G432" s="24">
        <v>0</v>
      </c>
      <c r="H432" s="33">
        <f t="shared" si="28"/>
        <v>0</v>
      </c>
      <c r="I432" s="24">
        <v>0</v>
      </c>
      <c r="J432" s="26">
        <f t="shared" si="29"/>
        <v>0</v>
      </c>
      <c r="K432" s="24">
        <v>0</v>
      </c>
      <c r="L432" s="24">
        <v>0</v>
      </c>
      <c r="M432" s="24">
        <v>0</v>
      </c>
      <c r="N432" s="24">
        <v>0</v>
      </c>
      <c r="O432" s="24">
        <v>0</v>
      </c>
      <c r="P432" s="24">
        <v>0</v>
      </c>
    </row>
    <row r="433" spans="2:16" x14ac:dyDescent="0.25">
      <c r="B433" s="9">
        <v>22</v>
      </c>
      <c r="D433" s="5" t="s">
        <v>91</v>
      </c>
      <c r="E433" s="24">
        <v>10</v>
      </c>
      <c r="F433" s="24">
        <v>0</v>
      </c>
      <c r="G433" s="24">
        <v>0</v>
      </c>
      <c r="H433" s="33">
        <f t="shared" si="28"/>
        <v>0</v>
      </c>
      <c r="I433" s="24">
        <v>0</v>
      </c>
      <c r="J433" s="26">
        <f t="shared" si="29"/>
        <v>0</v>
      </c>
      <c r="K433" s="24">
        <v>0</v>
      </c>
      <c r="L433" s="24">
        <v>0</v>
      </c>
      <c r="M433" s="24">
        <v>0</v>
      </c>
      <c r="N433" s="24">
        <v>0</v>
      </c>
      <c r="O433" s="24">
        <v>0</v>
      </c>
      <c r="P433" s="24">
        <v>0</v>
      </c>
    </row>
    <row r="434" spans="2:16" x14ac:dyDescent="0.25">
      <c r="B434" s="9">
        <v>23</v>
      </c>
      <c r="D434" s="5" t="s">
        <v>11</v>
      </c>
      <c r="E434" s="24">
        <v>2</v>
      </c>
      <c r="F434" s="24">
        <v>0</v>
      </c>
      <c r="G434" s="24">
        <v>0</v>
      </c>
      <c r="H434" s="33">
        <f t="shared" si="28"/>
        <v>0</v>
      </c>
      <c r="I434" s="24">
        <v>0</v>
      </c>
      <c r="J434" s="26">
        <f t="shared" si="29"/>
        <v>0</v>
      </c>
      <c r="K434" s="24">
        <v>0</v>
      </c>
      <c r="L434" s="24">
        <v>0</v>
      </c>
      <c r="M434" s="24">
        <v>0</v>
      </c>
      <c r="N434" s="24">
        <v>0</v>
      </c>
      <c r="O434" s="24">
        <v>0</v>
      </c>
      <c r="P434" s="24">
        <v>0</v>
      </c>
    </row>
    <row r="437" spans="2:16" x14ac:dyDescent="0.25">
      <c r="C437" s="1" t="s">
        <v>59</v>
      </c>
    </row>
    <row r="439" spans="2:16" x14ac:dyDescent="0.25">
      <c r="D439" s="8" t="s">
        <v>0</v>
      </c>
      <c r="E439" s="18" t="s">
        <v>1</v>
      </c>
      <c r="F439" s="18" t="s">
        <v>2</v>
      </c>
      <c r="G439" s="18" t="s">
        <v>3</v>
      </c>
      <c r="H439" s="32" t="s">
        <v>4</v>
      </c>
      <c r="I439" s="18" t="s">
        <v>5</v>
      </c>
      <c r="J439" s="18" t="s">
        <v>38</v>
      </c>
      <c r="K439" s="18" t="s">
        <v>41</v>
      </c>
      <c r="L439" s="18" t="s">
        <v>42</v>
      </c>
      <c r="M439" s="18" t="s">
        <v>45</v>
      </c>
      <c r="N439" s="18" t="s">
        <v>46</v>
      </c>
      <c r="O439" s="18" t="s">
        <v>44</v>
      </c>
      <c r="P439" s="18" t="s">
        <v>43</v>
      </c>
    </row>
    <row r="440" spans="2:16" x14ac:dyDescent="0.25">
      <c r="B440" s="9">
        <v>1</v>
      </c>
      <c r="D440" s="5" t="s">
        <v>13</v>
      </c>
      <c r="E440" s="24">
        <v>12</v>
      </c>
      <c r="F440" s="24">
        <v>15</v>
      </c>
      <c r="G440" s="24">
        <v>11</v>
      </c>
      <c r="H440" s="33">
        <f t="shared" ref="H440:H460" si="30">F440+G440</f>
        <v>26</v>
      </c>
      <c r="I440" s="24">
        <v>4</v>
      </c>
      <c r="J440" s="26">
        <f t="shared" ref="J440:J460" si="31">H440/E440</f>
        <v>2.1666666666666665</v>
      </c>
      <c r="K440" s="24">
        <v>0</v>
      </c>
      <c r="L440" s="24">
        <v>2</v>
      </c>
      <c r="M440" s="24">
        <v>1</v>
      </c>
      <c r="N440" s="24">
        <v>0</v>
      </c>
      <c r="O440" s="24">
        <v>0</v>
      </c>
      <c r="P440" s="24">
        <v>0</v>
      </c>
    </row>
    <row r="441" spans="2:16" x14ac:dyDescent="0.25">
      <c r="B441" s="9">
        <v>2</v>
      </c>
      <c r="D441" s="5" t="s">
        <v>20</v>
      </c>
      <c r="E441" s="24">
        <v>20</v>
      </c>
      <c r="F441" s="24">
        <v>15</v>
      </c>
      <c r="G441" s="24">
        <v>8</v>
      </c>
      <c r="H441" s="33">
        <f t="shared" si="30"/>
        <v>23</v>
      </c>
      <c r="I441" s="24">
        <v>8</v>
      </c>
      <c r="J441" s="26">
        <f t="shared" si="31"/>
        <v>1.1499999999999999</v>
      </c>
      <c r="K441" s="24">
        <v>1</v>
      </c>
      <c r="L441" s="24">
        <v>0</v>
      </c>
      <c r="M441" s="24">
        <v>3</v>
      </c>
      <c r="N441" s="24">
        <v>0</v>
      </c>
      <c r="O441" s="24">
        <v>0</v>
      </c>
      <c r="P441" s="24">
        <v>0</v>
      </c>
    </row>
    <row r="442" spans="2:16" x14ac:dyDescent="0.25">
      <c r="B442" s="9">
        <v>3</v>
      </c>
      <c r="D442" s="5" t="s">
        <v>30</v>
      </c>
      <c r="E442" s="24">
        <v>10</v>
      </c>
      <c r="F442" s="24">
        <v>10</v>
      </c>
      <c r="G442" s="24">
        <v>9</v>
      </c>
      <c r="H442" s="33">
        <f t="shared" si="30"/>
        <v>19</v>
      </c>
      <c r="I442" s="24">
        <v>2</v>
      </c>
      <c r="J442" s="26">
        <f t="shared" si="31"/>
        <v>1.9</v>
      </c>
      <c r="K442" s="24">
        <v>2</v>
      </c>
      <c r="L442" s="24">
        <v>1</v>
      </c>
      <c r="M442" s="24">
        <v>0</v>
      </c>
      <c r="N442" s="24">
        <v>0</v>
      </c>
      <c r="O442" s="24">
        <v>0</v>
      </c>
      <c r="P442" s="24">
        <v>0</v>
      </c>
    </row>
    <row r="443" spans="2:16" x14ac:dyDescent="0.25">
      <c r="B443" s="9">
        <v>4</v>
      </c>
      <c r="D443" s="5" t="s">
        <v>31</v>
      </c>
      <c r="E443" s="24">
        <v>17</v>
      </c>
      <c r="F443" s="24">
        <v>10</v>
      </c>
      <c r="G443" s="24">
        <v>5</v>
      </c>
      <c r="H443" s="33">
        <f t="shared" si="30"/>
        <v>15</v>
      </c>
      <c r="I443" s="24">
        <v>6</v>
      </c>
      <c r="J443" s="26">
        <f t="shared" si="31"/>
        <v>0.88235294117647056</v>
      </c>
      <c r="K443" s="24">
        <v>1</v>
      </c>
      <c r="L443" s="24">
        <v>0</v>
      </c>
      <c r="M443" s="24">
        <v>1</v>
      </c>
      <c r="N443" s="24">
        <v>0</v>
      </c>
      <c r="O443" s="24">
        <v>0</v>
      </c>
      <c r="P443" s="24">
        <v>1</v>
      </c>
    </row>
    <row r="444" spans="2:16" x14ac:dyDescent="0.25">
      <c r="B444" s="9">
        <v>5</v>
      </c>
      <c r="D444" s="5" t="s">
        <v>19</v>
      </c>
      <c r="E444" s="24">
        <v>4</v>
      </c>
      <c r="F444" s="24">
        <v>9</v>
      </c>
      <c r="G444" s="24">
        <v>5</v>
      </c>
      <c r="H444" s="33">
        <f t="shared" si="30"/>
        <v>14</v>
      </c>
      <c r="I444" s="24">
        <v>0</v>
      </c>
      <c r="J444" s="26">
        <f t="shared" si="31"/>
        <v>3.5</v>
      </c>
      <c r="K444" s="24">
        <v>0</v>
      </c>
      <c r="L444" s="24">
        <v>1</v>
      </c>
      <c r="M444" s="24">
        <v>1</v>
      </c>
      <c r="N444" s="24">
        <v>0</v>
      </c>
      <c r="O444" s="24">
        <v>0</v>
      </c>
      <c r="P444" s="24">
        <v>0</v>
      </c>
    </row>
    <row r="445" spans="2:16" x14ac:dyDescent="0.25">
      <c r="B445" s="9">
        <v>6</v>
      </c>
      <c r="D445" s="5" t="s">
        <v>16</v>
      </c>
      <c r="E445" s="24">
        <v>16</v>
      </c>
      <c r="F445" s="24">
        <v>4</v>
      </c>
      <c r="G445" s="24">
        <v>4</v>
      </c>
      <c r="H445" s="33">
        <f t="shared" si="30"/>
        <v>8</v>
      </c>
      <c r="I445" s="24">
        <v>10</v>
      </c>
      <c r="J445" s="26">
        <f t="shared" si="31"/>
        <v>0.5</v>
      </c>
      <c r="K445" s="24">
        <v>0</v>
      </c>
      <c r="L445" s="24">
        <v>0</v>
      </c>
      <c r="M445" s="24">
        <v>1</v>
      </c>
      <c r="N445" s="24">
        <v>0</v>
      </c>
      <c r="O445" s="24">
        <v>0</v>
      </c>
      <c r="P445" s="24">
        <v>0</v>
      </c>
    </row>
    <row r="446" spans="2:16" x14ac:dyDescent="0.25">
      <c r="B446" s="9">
        <v>7</v>
      </c>
      <c r="D446" s="5" t="s">
        <v>18</v>
      </c>
      <c r="E446" s="24">
        <v>9</v>
      </c>
      <c r="F446" s="24">
        <v>4</v>
      </c>
      <c r="G446" s="24">
        <v>1</v>
      </c>
      <c r="H446" s="33">
        <f t="shared" si="30"/>
        <v>5</v>
      </c>
      <c r="I446" s="24">
        <v>0</v>
      </c>
      <c r="J446" s="26">
        <f t="shared" si="31"/>
        <v>0.55555555555555558</v>
      </c>
      <c r="K446" s="24">
        <v>0</v>
      </c>
      <c r="L446" s="24">
        <v>0</v>
      </c>
      <c r="M446" s="24">
        <v>1</v>
      </c>
      <c r="N446" s="24">
        <v>0</v>
      </c>
      <c r="O446" s="24">
        <v>0</v>
      </c>
      <c r="P446" s="24">
        <v>0</v>
      </c>
    </row>
    <row r="447" spans="2:16" x14ac:dyDescent="0.25">
      <c r="B447" s="9">
        <v>8</v>
      </c>
      <c r="D447" s="5" t="s">
        <v>12</v>
      </c>
      <c r="E447" s="24">
        <v>8</v>
      </c>
      <c r="F447" s="24">
        <v>1</v>
      </c>
      <c r="G447" s="24">
        <v>4</v>
      </c>
      <c r="H447" s="33">
        <f t="shared" si="30"/>
        <v>5</v>
      </c>
      <c r="I447" s="24">
        <v>4</v>
      </c>
      <c r="J447" s="26">
        <f t="shared" si="31"/>
        <v>0.625</v>
      </c>
      <c r="K447" s="24">
        <v>0</v>
      </c>
      <c r="L447" s="24">
        <v>0</v>
      </c>
      <c r="M447" s="24">
        <v>0</v>
      </c>
      <c r="N447" s="24">
        <v>0</v>
      </c>
      <c r="O447" s="24">
        <v>0</v>
      </c>
      <c r="P447" s="24">
        <v>0</v>
      </c>
    </row>
    <row r="448" spans="2:16" x14ac:dyDescent="0.25">
      <c r="B448" s="9">
        <v>9</v>
      </c>
      <c r="D448" s="5" t="s">
        <v>10</v>
      </c>
      <c r="E448" s="24">
        <v>4</v>
      </c>
      <c r="F448" s="24">
        <v>1</v>
      </c>
      <c r="G448" s="24">
        <v>3</v>
      </c>
      <c r="H448" s="33">
        <f t="shared" si="30"/>
        <v>4</v>
      </c>
      <c r="I448" s="24">
        <v>0</v>
      </c>
      <c r="J448" s="26">
        <f t="shared" si="31"/>
        <v>1</v>
      </c>
      <c r="K448" s="24">
        <v>0</v>
      </c>
      <c r="L448" s="24">
        <v>0</v>
      </c>
      <c r="M448" s="24">
        <v>0</v>
      </c>
      <c r="N448" s="24">
        <v>0</v>
      </c>
      <c r="O448" s="24">
        <v>0</v>
      </c>
      <c r="P448" s="24">
        <v>0</v>
      </c>
    </row>
    <row r="449" spans="2:16" x14ac:dyDescent="0.25">
      <c r="B449" s="9">
        <v>10</v>
      </c>
      <c r="D449" s="5" t="s">
        <v>21</v>
      </c>
      <c r="E449" s="24">
        <v>18</v>
      </c>
      <c r="F449" s="24">
        <v>0</v>
      </c>
      <c r="G449" s="24">
        <v>4</v>
      </c>
      <c r="H449" s="33">
        <f t="shared" si="30"/>
        <v>4</v>
      </c>
      <c r="I449" s="24">
        <v>2</v>
      </c>
      <c r="J449" s="26">
        <f t="shared" si="31"/>
        <v>0.22222222222222221</v>
      </c>
      <c r="K449" s="24">
        <v>0</v>
      </c>
      <c r="L449" s="24">
        <v>0</v>
      </c>
      <c r="M449" s="24">
        <v>0</v>
      </c>
      <c r="N449" s="24">
        <v>0</v>
      </c>
      <c r="O449" s="24">
        <v>0</v>
      </c>
      <c r="P449" s="24">
        <v>0</v>
      </c>
    </row>
    <row r="450" spans="2:16" x14ac:dyDescent="0.25">
      <c r="B450" s="9">
        <v>11</v>
      </c>
      <c r="D450" s="5" t="s">
        <v>15</v>
      </c>
      <c r="E450" s="24">
        <v>4</v>
      </c>
      <c r="F450" s="24">
        <v>2</v>
      </c>
      <c r="G450" s="24">
        <v>1</v>
      </c>
      <c r="H450" s="33">
        <f t="shared" si="30"/>
        <v>3</v>
      </c>
      <c r="I450" s="24">
        <v>2</v>
      </c>
      <c r="J450" s="26">
        <f t="shared" si="31"/>
        <v>0.75</v>
      </c>
      <c r="K450" s="24">
        <v>0</v>
      </c>
      <c r="L450" s="24">
        <v>0</v>
      </c>
      <c r="M450" s="24">
        <v>0</v>
      </c>
      <c r="N450" s="24">
        <v>1</v>
      </c>
      <c r="O450" s="24">
        <v>0</v>
      </c>
      <c r="P450" s="24">
        <v>0</v>
      </c>
    </row>
    <row r="451" spans="2:16" x14ac:dyDescent="0.25">
      <c r="B451" s="9">
        <v>12</v>
      </c>
      <c r="D451" s="5" t="s">
        <v>11</v>
      </c>
      <c r="E451" s="24">
        <v>2</v>
      </c>
      <c r="F451" s="24">
        <v>1</v>
      </c>
      <c r="G451" s="24">
        <v>1</v>
      </c>
      <c r="H451" s="33">
        <f t="shared" si="30"/>
        <v>2</v>
      </c>
      <c r="I451" s="24">
        <v>0</v>
      </c>
      <c r="J451" s="26">
        <f t="shared" si="31"/>
        <v>1</v>
      </c>
      <c r="K451" s="24">
        <v>0</v>
      </c>
      <c r="L451" s="24">
        <v>0</v>
      </c>
      <c r="M451" s="24">
        <v>0</v>
      </c>
      <c r="N451" s="24">
        <v>0</v>
      </c>
      <c r="O451" s="24">
        <v>0</v>
      </c>
      <c r="P451" s="24">
        <v>0</v>
      </c>
    </row>
    <row r="452" spans="2:16" x14ac:dyDescent="0.25">
      <c r="B452" s="9">
        <v>13</v>
      </c>
      <c r="D452" s="5" t="s">
        <v>8</v>
      </c>
      <c r="E452" s="24">
        <v>2</v>
      </c>
      <c r="F452" s="24">
        <v>1</v>
      </c>
      <c r="G452" s="24">
        <v>1</v>
      </c>
      <c r="H452" s="33">
        <f t="shared" si="30"/>
        <v>2</v>
      </c>
      <c r="I452" s="24">
        <v>0</v>
      </c>
      <c r="J452" s="26">
        <f t="shared" si="31"/>
        <v>1</v>
      </c>
      <c r="K452" s="24">
        <v>1</v>
      </c>
      <c r="L452" s="24">
        <v>0</v>
      </c>
      <c r="M452" s="24">
        <v>0</v>
      </c>
      <c r="N452" s="24">
        <v>0</v>
      </c>
      <c r="O452" s="24">
        <v>0</v>
      </c>
      <c r="P452" s="24">
        <v>0</v>
      </c>
    </row>
    <row r="453" spans="2:16" x14ac:dyDescent="0.25">
      <c r="B453" s="9">
        <v>14</v>
      </c>
      <c r="D453" s="5" t="s">
        <v>23</v>
      </c>
      <c r="E453" s="24">
        <v>4</v>
      </c>
      <c r="F453" s="24">
        <v>1</v>
      </c>
      <c r="G453" s="24">
        <v>1</v>
      </c>
      <c r="H453" s="33">
        <f t="shared" si="30"/>
        <v>2</v>
      </c>
      <c r="I453" s="24">
        <v>0</v>
      </c>
      <c r="J453" s="26">
        <f t="shared" si="31"/>
        <v>0.5</v>
      </c>
      <c r="K453" s="24">
        <v>0</v>
      </c>
      <c r="L453" s="24">
        <v>0</v>
      </c>
      <c r="M453" s="24">
        <v>0</v>
      </c>
      <c r="N453" s="24">
        <v>0</v>
      </c>
      <c r="O453" s="24">
        <v>0</v>
      </c>
      <c r="P453" s="24">
        <v>0</v>
      </c>
    </row>
    <row r="454" spans="2:16" x14ac:dyDescent="0.25">
      <c r="B454" s="9">
        <v>15</v>
      </c>
      <c r="D454" s="5" t="s">
        <v>24</v>
      </c>
      <c r="E454" s="24">
        <v>14</v>
      </c>
      <c r="F454" s="24">
        <v>0</v>
      </c>
      <c r="G454" s="24">
        <v>2</v>
      </c>
      <c r="H454" s="33">
        <f t="shared" si="30"/>
        <v>2</v>
      </c>
      <c r="I454" s="24">
        <v>10</v>
      </c>
      <c r="J454" s="26">
        <f t="shared" si="31"/>
        <v>0.14285714285714285</v>
      </c>
      <c r="K454" s="24">
        <v>0</v>
      </c>
      <c r="L454" s="24">
        <v>0</v>
      </c>
      <c r="M454" s="24">
        <v>0</v>
      </c>
      <c r="N454" s="24">
        <v>0</v>
      </c>
      <c r="O454" s="24">
        <v>0</v>
      </c>
      <c r="P454" s="24">
        <v>0</v>
      </c>
    </row>
    <row r="455" spans="2:16" x14ac:dyDescent="0.25">
      <c r="B455" s="9">
        <v>16</v>
      </c>
      <c r="D455" s="5" t="s">
        <v>7</v>
      </c>
      <c r="E455" s="24">
        <v>2</v>
      </c>
      <c r="F455" s="24">
        <v>1</v>
      </c>
      <c r="G455" s="24">
        <v>0</v>
      </c>
      <c r="H455" s="33">
        <f t="shared" si="30"/>
        <v>1</v>
      </c>
      <c r="I455" s="24">
        <v>0</v>
      </c>
      <c r="J455" s="26">
        <f t="shared" si="31"/>
        <v>0.5</v>
      </c>
      <c r="K455" s="24">
        <v>0</v>
      </c>
      <c r="L455" s="24">
        <v>0</v>
      </c>
      <c r="M455" s="24">
        <v>0</v>
      </c>
      <c r="N455" s="24">
        <v>0</v>
      </c>
      <c r="O455" s="24">
        <v>0</v>
      </c>
      <c r="P455" s="24">
        <v>0</v>
      </c>
    </row>
    <row r="456" spans="2:16" x14ac:dyDescent="0.25">
      <c r="B456" s="9">
        <v>17</v>
      </c>
      <c r="D456" s="5" t="s">
        <v>22</v>
      </c>
      <c r="E456" s="24">
        <v>17</v>
      </c>
      <c r="F456" s="24">
        <v>0</v>
      </c>
      <c r="G456" s="24">
        <v>1</v>
      </c>
      <c r="H456" s="33">
        <f t="shared" si="30"/>
        <v>1</v>
      </c>
      <c r="I456" s="24">
        <v>4</v>
      </c>
      <c r="J456" s="26">
        <f t="shared" si="31"/>
        <v>5.8823529411764705E-2</v>
      </c>
      <c r="K456" s="24">
        <v>0</v>
      </c>
      <c r="L456" s="24">
        <v>0</v>
      </c>
      <c r="M456" s="24">
        <v>0</v>
      </c>
      <c r="N456" s="24">
        <v>0</v>
      </c>
      <c r="O456" s="24">
        <v>0</v>
      </c>
      <c r="P456" s="24">
        <v>0</v>
      </c>
    </row>
    <row r="457" spans="2:16" x14ac:dyDescent="0.25">
      <c r="B457" s="9">
        <v>18</v>
      </c>
      <c r="D457" s="5" t="s">
        <v>75</v>
      </c>
      <c r="E457" s="24">
        <v>4</v>
      </c>
      <c r="F457" s="24">
        <v>0</v>
      </c>
      <c r="G457" s="24">
        <v>0</v>
      </c>
      <c r="H457" s="33">
        <f t="shared" si="30"/>
        <v>0</v>
      </c>
      <c r="I457" s="24">
        <v>0</v>
      </c>
      <c r="J457" s="26">
        <f t="shared" si="31"/>
        <v>0</v>
      </c>
      <c r="K457" s="24">
        <v>0</v>
      </c>
      <c r="L457" s="24">
        <v>0</v>
      </c>
      <c r="M457" s="24">
        <v>0</v>
      </c>
      <c r="N457" s="24">
        <v>0</v>
      </c>
      <c r="O457" s="24">
        <v>0</v>
      </c>
      <c r="P457" s="24">
        <v>0</v>
      </c>
    </row>
    <row r="458" spans="2:16" x14ac:dyDescent="0.25">
      <c r="B458" s="9">
        <v>20</v>
      </c>
      <c r="D458" s="5" t="s">
        <v>91</v>
      </c>
      <c r="E458" s="24">
        <v>16</v>
      </c>
      <c r="F458" s="24">
        <v>0</v>
      </c>
      <c r="G458" s="24">
        <v>0</v>
      </c>
      <c r="H458" s="33">
        <f t="shared" si="30"/>
        <v>0</v>
      </c>
      <c r="I458" s="24">
        <v>0</v>
      </c>
      <c r="J458" s="26">
        <f t="shared" si="31"/>
        <v>0</v>
      </c>
      <c r="K458" s="24">
        <v>0</v>
      </c>
      <c r="L458" s="24">
        <v>0</v>
      </c>
      <c r="M458" s="24">
        <v>0</v>
      </c>
      <c r="N458" s="24">
        <v>0</v>
      </c>
      <c r="O458" s="24">
        <v>0</v>
      </c>
      <c r="P458" s="24">
        <v>0</v>
      </c>
    </row>
    <row r="459" spans="2:16" x14ac:dyDescent="0.25">
      <c r="B459" s="9">
        <v>21</v>
      </c>
      <c r="D459" s="5" t="s">
        <v>32</v>
      </c>
      <c r="E459" s="24">
        <v>2</v>
      </c>
      <c r="F459" s="24">
        <v>0</v>
      </c>
      <c r="G459" s="24">
        <v>0</v>
      </c>
      <c r="H459" s="33">
        <f t="shared" si="30"/>
        <v>0</v>
      </c>
      <c r="I459" s="24">
        <v>4</v>
      </c>
      <c r="J459" s="26">
        <f t="shared" si="31"/>
        <v>0</v>
      </c>
      <c r="K459" s="24">
        <v>0</v>
      </c>
      <c r="L459" s="24">
        <v>0</v>
      </c>
      <c r="M459" s="24">
        <v>0</v>
      </c>
      <c r="N459" s="24">
        <v>0</v>
      </c>
      <c r="O459" s="24">
        <v>0</v>
      </c>
      <c r="P459" s="24">
        <v>0</v>
      </c>
    </row>
    <row r="460" spans="2:16" x14ac:dyDescent="0.25">
      <c r="B460" s="9">
        <v>22</v>
      </c>
      <c r="D460" s="5" t="s">
        <v>33</v>
      </c>
      <c r="E460" s="24">
        <v>12</v>
      </c>
      <c r="F460" s="24">
        <v>0</v>
      </c>
      <c r="G460" s="24">
        <v>0</v>
      </c>
      <c r="H460" s="33">
        <f t="shared" si="30"/>
        <v>0</v>
      </c>
      <c r="I460" s="24">
        <v>6</v>
      </c>
      <c r="J460" s="26">
        <f t="shared" si="31"/>
        <v>0</v>
      </c>
      <c r="K460" s="24">
        <v>0</v>
      </c>
      <c r="L460" s="24">
        <v>0</v>
      </c>
      <c r="M460" s="24">
        <v>0</v>
      </c>
      <c r="N460" s="24">
        <v>0</v>
      </c>
      <c r="O460" s="24">
        <v>0</v>
      </c>
      <c r="P460" s="24">
        <v>0</v>
      </c>
    </row>
  </sheetData>
  <sortState xmlns:xlrd2="http://schemas.microsoft.com/office/spreadsheetml/2017/richdata2" ref="D90:P105">
    <sortCondition descending="1" ref="H90:H105"/>
    <sortCondition descending="1" ref="F90:F105"/>
    <sortCondition descending="1" ref="J90:J105"/>
  </sortState>
  <mergeCells count="1">
    <mergeCell ref="C2:D2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9B246-D800-4D32-A743-79BD2A4A0D56}">
  <dimension ref="B2:P134"/>
  <sheetViews>
    <sheetView topLeftCell="A64" zoomScale="90" zoomScaleNormal="90" workbookViewId="0">
      <selection activeCell="N61" sqref="N61"/>
    </sheetView>
  </sheetViews>
  <sheetFormatPr defaultRowHeight="15" x14ac:dyDescent="0.25"/>
  <cols>
    <col min="2" max="2" width="3.28515625" bestFit="1" customWidth="1"/>
    <col min="3" max="3" width="4" customWidth="1"/>
    <col min="4" max="4" width="19" customWidth="1"/>
    <col min="8" max="8" width="9.140625" style="31"/>
  </cols>
  <sheetData>
    <row r="2" spans="2:16" x14ac:dyDescent="0.25">
      <c r="D2" s="100" t="s">
        <v>722</v>
      </c>
      <c r="E2" s="100"/>
      <c r="F2" s="17"/>
      <c r="G2" s="17"/>
      <c r="I2" s="17"/>
      <c r="J2" s="17"/>
      <c r="K2" s="17"/>
      <c r="L2" s="17"/>
      <c r="M2" s="17"/>
      <c r="N2" s="17"/>
      <c r="O2" s="17"/>
      <c r="P2" s="17"/>
    </row>
    <row r="3" spans="2:16" x14ac:dyDescent="0.25">
      <c r="F3" s="17"/>
      <c r="G3" s="17"/>
      <c r="I3" s="17"/>
      <c r="J3" s="17"/>
      <c r="K3" s="17"/>
      <c r="L3" s="17"/>
      <c r="M3" s="17"/>
      <c r="N3" s="17"/>
      <c r="O3" s="17"/>
      <c r="P3" s="17"/>
    </row>
    <row r="4" spans="2:16" x14ac:dyDescent="0.25">
      <c r="D4" s="8" t="s">
        <v>0</v>
      </c>
      <c r="E4" s="18" t="s">
        <v>1</v>
      </c>
      <c r="F4" s="18" t="s">
        <v>2</v>
      </c>
      <c r="G4" s="18" t="s">
        <v>3</v>
      </c>
      <c r="H4" s="32" t="s">
        <v>4</v>
      </c>
      <c r="I4" s="18" t="s">
        <v>5</v>
      </c>
      <c r="J4" s="18" t="s">
        <v>38</v>
      </c>
      <c r="K4" s="18" t="s">
        <v>41</v>
      </c>
      <c r="L4" s="18" t="s">
        <v>42</v>
      </c>
      <c r="M4" s="18" t="s">
        <v>45</v>
      </c>
      <c r="N4" s="18" t="s">
        <v>46</v>
      </c>
      <c r="O4" s="18" t="s">
        <v>44</v>
      </c>
      <c r="P4" s="18" t="s">
        <v>43</v>
      </c>
    </row>
    <row r="5" spans="2:16" x14ac:dyDescent="0.25">
      <c r="B5" s="9">
        <v>1</v>
      </c>
      <c r="D5" t="s">
        <v>324</v>
      </c>
      <c r="E5" s="17">
        <v>20</v>
      </c>
      <c r="F5" s="17">
        <v>28</v>
      </c>
      <c r="G5" s="17">
        <v>26</v>
      </c>
      <c r="H5" s="31">
        <f t="shared" ref="H5:H47" si="0">F5+G5</f>
        <v>54</v>
      </c>
      <c r="I5" s="17">
        <v>14</v>
      </c>
      <c r="J5" s="25">
        <f t="shared" ref="J5:J47" si="1">H5/E5</f>
        <v>2.7</v>
      </c>
      <c r="K5" s="17">
        <v>1</v>
      </c>
      <c r="L5" s="17">
        <v>3</v>
      </c>
      <c r="M5" s="17">
        <v>3</v>
      </c>
      <c r="N5" s="17">
        <v>0</v>
      </c>
      <c r="O5" s="17">
        <v>0</v>
      </c>
      <c r="P5" s="17">
        <v>0</v>
      </c>
    </row>
    <row r="6" spans="2:16" x14ac:dyDescent="0.25">
      <c r="B6" s="9">
        <v>2</v>
      </c>
      <c r="D6" t="s">
        <v>36</v>
      </c>
      <c r="E6" s="17">
        <v>34</v>
      </c>
      <c r="F6" s="17">
        <v>19</v>
      </c>
      <c r="G6" s="17">
        <v>15</v>
      </c>
      <c r="H6" s="31">
        <f t="shared" si="0"/>
        <v>34</v>
      </c>
      <c r="I6" s="17">
        <v>6</v>
      </c>
      <c r="J6" s="25">
        <f t="shared" si="1"/>
        <v>1</v>
      </c>
      <c r="K6" s="17">
        <v>0</v>
      </c>
      <c r="L6" s="17">
        <v>1</v>
      </c>
      <c r="M6" s="17">
        <v>2</v>
      </c>
      <c r="N6" s="17">
        <v>0</v>
      </c>
      <c r="O6" s="17">
        <v>0</v>
      </c>
      <c r="P6" s="17">
        <v>0</v>
      </c>
    </row>
    <row r="7" spans="2:16" x14ac:dyDescent="0.25">
      <c r="B7" s="9">
        <v>3</v>
      </c>
      <c r="D7" t="s">
        <v>1178</v>
      </c>
      <c r="E7" s="17">
        <v>17</v>
      </c>
      <c r="F7" s="17">
        <v>16</v>
      </c>
      <c r="G7" s="17">
        <v>11</v>
      </c>
      <c r="H7" s="31">
        <f t="shared" si="0"/>
        <v>27</v>
      </c>
      <c r="I7" s="17">
        <v>4</v>
      </c>
      <c r="J7" s="25">
        <f t="shared" si="1"/>
        <v>1.588235294117647</v>
      </c>
      <c r="K7" s="17">
        <v>0</v>
      </c>
      <c r="L7" s="17">
        <v>0</v>
      </c>
      <c r="M7" s="17">
        <v>3</v>
      </c>
      <c r="N7" s="17">
        <v>0</v>
      </c>
      <c r="O7" s="17">
        <v>0</v>
      </c>
      <c r="P7" s="17">
        <v>0</v>
      </c>
    </row>
    <row r="8" spans="2:16" x14ac:dyDescent="0.25">
      <c r="B8" s="9">
        <v>4</v>
      </c>
      <c r="D8" t="s">
        <v>434</v>
      </c>
      <c r="E8" s="17">
        <v>15</v>
      </c>
      <c r="F8" s="17">
        <v>12</v>
      </c>
      <c r="G8" s="17">
        <v>15</v>
      </c>
      <c r="H8" s="31">
        <f t="shared" si="0"/>
        <v>27</v>
      </c>
      <c r="I8" s="17">
        <v>6</v>
      </c>
      <c r="J8" s="25">
        <f t="shared" si="1"/>
        <v>1.8</v>
      </c>
      <c r="K8" s="17">
        <v>0</v>
      </c>
      <c r="L8" s="17">
        <v>0</v>
      </c>
      <c r="M8" s="17">
        <v>1</v>
      </c>
      <c r="N8" s="17">
        <v>0</v>
      </c>
      <c r="O8" s="17">
        <v>0</v>
      </c>
      <c r="P8" s="17">
        <v>0</v>
      </c>
    </row>
    <row r="9" spans="2:16" x14ac:dyDescent="0.25">
      <c r="B9" s="9">
        <v>5</v>
      </c>
      <c r="D9" t="s">
        <v>227</v>
      </c>
      <c r="E9" s="17">
        <v>33</v>
      </c>
      <c r="F9" s="17">
        <v>12</v>
      </c>
      <c r="G9" s="17">
        <v>14</v>
      </c>
      <c r="H9" s="31">
        <f t="shared" si="0"/>
        <v>26</v>
      </c>
      <c r="I9" s="17">
        <v>8</v>
      </c>
      <c r="J9" s="25">
        <f t="shared" si="1"/>
        <v>0.78787878787878785</v>
      </c>
      <c r="K9" s="17">
        <v>4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</row>
    <row r="10" spans="2:16" x14ac:dyDescent="0.25">
      <c r="B10" s="9">
        <v>6</v>
      </c>
      <c r="D10" t="s">
        <v>13</v>
      </c>
      <c r="E10" s="17">
        <v>5</v>
      </c>
      <c r="F10" s="17">
        <v>18</v>
      </c>
      <c r="G10" s="17">
        <v>7</v>
      </c>
      <c r="H10" s="31">
        <f t="shared" si="0"/>
        <v>25</v>
      </c>
      <c r="I10" s="17">
        <v>4</v>
      </c>
      <c r="J10" s="25">
        <f t="shared" si="1"/>
        <v>5</v>
      </c>
      <c r="K10" s="17">
        <v>1</v>
      </c>
      <c r="L10" s="17">
        <v>0</v>
      </c>
      <c r="M10" s="17">
        <v>1</v>
      </c>
      <c r="N10" s="17">
        <v>0</v>
      </c>
      <c r="O10" s="17">
        <v>0</v>
      </c>
      <c r="P10" s="17">
        <v>0</v>
      </c>
    </row>
    <row r="11" spans="2:16" x14ac:dyDescent="0.25">
      <c r="B11" s="9">
        <v>7</v>
      </c>
      <c r="D11" t="s">
        <v>8</v>
      </c>
      <c r="E11" s="17">
        <v>6</v>
      </c>
      <c r="F11" s="17">
        <v>14</v>
      </c>
      <c r="G11" s="17">
        <v>7</v>
      </c>
      <c r="H11" s="31">
        <f t="shared" si="0"/>
        <v>21</v>
      </c>
      <c r="I11" s="17">
        <v>0</v>
      </c>
      <c r="J11" s="25">
        <f t="shared" si="1"/>
        <v>3.5</v>
      </c>
      <c r="K11" s="17">
        <v>0</v>
      </c>
      <c r="L11" s="17">
        <v>0</v>
      </c>
      <c r="M11" s="17">
        <v>2</v>
      </c>
      <c r="N11" s="17">
        <v>0</v>
      </c>
      <c r="O11" s="17">
        <v>0</v>
      </c>
      <c r="P11" s="17">
        <v>0</v>
      </c>
    </row>
    <row r="12" spans="2:16" x14ac:dyDescent="0.25">
      <c r="B12" s="9">
        <v>8</v>
      </c>
      <c r="D12" t="s">
        <v>255</v>
      </c>
      <c r="E12" s="17">
        <v>38</v>
      </c>
      <c r="F12" s="17">
        <v>10</v>
      </c>
      <c r="G12" s="17">
        <v>11</v>
      </c>
      <c r="H12" s="31">
        <f t="shared" si="0"/>
        <v>21</v>
      </c>
      <c r="I12" s="17">
        <v>0</v>
      </c>
      <c r="J12" s="25">
        <f t="shared" si="1"/>
        <v>0.55263157894736847</v>
      </c>
      <c r="K12" s="17">
        <v>2</v>
      </c>
      <c r="L12" s="17">
        <v>0</v>
      </c>
      <c r="M12" s="17">
        <v>2</v>
      </c>
      <c r="N12" s="17">
        <v>0</v>
      </c>
      <c r="O12" s="17">
        <v>0</v>
      </c>
      <c r="P12" s="17">
        <v>0</v>
      </c>
    </row>
    <row r="13" spans="2:16" x14ac:dyDescent="0.25">
      <c r="B13" s="9">
        <v>9</v>
      </c>
      <c r="D13" t="s">
        <v>1188</v>
      </c>
      <c r="E13" s="17">
        <v>19</v>
      </c>
      <c r="F13" s="17">
        <v>11</v>
      </c>
      <c r="G13" s="17">
        <v>9</v>
      </c>
      <c r="H13" s="31">
        <f t="shared" si="0"/>
        <v>20</v>
      </c>
      <c r="I13" s="17">
        <v>4</v>
      </c>
      <c r="J13" s="25">
        <f t="shared" si="1"/>
        <v>1.0526315789473684</v>
      </c>
      <c r="K13" s="17">
        <v>0</v>
      </c>
      <c r="L13" s="17">
        <v>0</v>
      </c>
      <c r="M13" s="17">
        <v>1</v>
      </c>
      <c r="N13" s="17">
        <v>0</v>
      </c>
      <c r="O13" s="17">
        <v>0</v>
      </c>
      <c r="P13" s="17">
        <v>0</v>
      </c>
    </row>
    <row r="14" spans="2:16" x14ac:dyDescent="0.25">
      <c r="B14" s="9">
        <v>10</v>
      </c>
      <c r="D14" t="s">
        <v>446</v>
      </c>
      <c r="E14" s="17">
        <v>22</v>
      </c>
      <c r="F14" s="17">
        <v>9</v>
      </c>
      <c r="G14" s="17">
        <v>3</v>
      </c>
      <c r="H14" s="31">
        <f t="shared" si="0"/>
        <v>12</v>
      </c>
      <c r="I14" s="17">
        <v>6</v>
      </c>
      <c r="J14" s="25">
        <f t="shared" si="1"/>
        <v>0.54545454545454541</v>
      </c>
      <c r="K14" s="17">
        <v>0</v>
      </c>
      <c r="L14" s="17">
        <v>1</v>
      </c>
      <c r="M14" s="17">
        <v>0</v>
      </c>
      <c r="N14" s="17">
        <v>0</v>
      </c>
      <c r="O14" s="17">
        <v>0</v>
      </c>
      <c r="P14" s="17">
        <v>0</v>
      </c>
    </row>
    <row r="15" spans="2:16" x14ac:dyDescent="0.25">
      <c r="B15" s="9">
        <v>11</v>
      </c>
      <c r="D15" t="s">
        <v>7</v>
      </c>
      <c r="E15" s="17">
        <v>8</v>
      </c>
      <c r="F15" s="17">
        <v>6</v>
      </c>
      <c r="G15" s="17">
        <v>6</v>
      </c>
      <c r="H15" s="31">
        <f t="shared" si="0"/>
        <v>12</v>
      </c>
      <c r="I15" s="17">
        <v>2</v>
      </c>
      <c r="J15" s="25">
        <f t="shared" si="1"/>
        <v>1.5</v>
      </c>
      <c r="K15" s="17">
        <v>0</v>
      </c>
      <c r="L15" s="17">
        <v>0</v>
      </c>
      <c r="M15" s="17">
        <v>1</v>
      </c>
      <c r="N15" s="17">
        <v>0</v>
      </c>
      <c r="O15" s="17">
        <v>0</v>
      </c>
      <c r="P15" s="17">
        <v>0</v>
      </c>
    </row>
    <row r="16" spans="2:16" x14ac:dyDescent="0.25">
      <c r="B16" s="9">
        <v>12</v>
      </c>
      <c r="D16" t="s">
        <v>1182</v>
      </c>
      <c r="E16" s="17">
        <v>15</v>
      </c>
      <c r="F16" s="17">
        <v>3</v>
      </c>
      <c r="G16" s="17">
        <v>8</v>
      </c>
      <c r="H16" s="31">
        <f t="shared" si="0"/>
        <v>11</v>
      </c>
      <c r="I16" s="17">
        <v>2</v>
      </c>
      <c r="J16" s="25">
        <f t="shared" si="1"/>
        <v>0.73333333333333328</v>
      </c>
      <c r="K16" s="17">
        <v>0</v>
      </c>
      <c r="L16" s="17">
        <v>0</v>
      </c>
      <c r="M16" s="17">
        <v>1</v>
      </c>
      <c r="N16" s="17">
        <v>0</v>
      </c>
      <c r="O16" s="17">
        <v>1</v>
      </c>
      <c r="P16" s="17">
        <v>0</v>
      </c>
    </row>
    <row r="17" spans="2:16" x14ac:dyDescent="0.25">
      <c r="B17" s="9">
        <v>13</v>
      </c>
      <c r="D17" t="s">
        <v>320</v>
      </c>
      <c r="E17" s="17">
        <v>17</v>
      </c>
      <c r="F17" s="17">
        <v>5</v>
      </c>
      <c r="G17" s="17">
        <v>3</v>
      </c>
      <c r="H17" s="31">
        <f t="shared" si="0"/>
        <v>8</v>
      </c>
      <c r="I17" s="17">
        <v>2</v>
      </c>
      <c r="J17" s="25">
        <f t="shared" si="1"/>
        <v>0.47058823529411764</v>
      </c>
      <c r="K17" s="17">
        <v>0</v>
      </c>
      <c r="L17" s="17">
        <v>0</v>
      </c>
      <c r="M17" s="17">
        <v>1</v>
      </c>
      <c r="N17" s="17">
        <v>0</v>
      </c>
      <c r="O17" s="17">
        <v>0</v>
      </c>
      <c r="P17" s="17">
        <v>0</v>
      </c>
    </row>
    <row r="18" spans="2:16" x14ac:dyDescent="0.25">
      <c r="B18" s="9">
        <v>14</v>
      </c>
      <c r="D18" t="s">
        <v>232</v>
      </c>
      <c r="E18" s="17">
        <v>14</v>
      </c>
      <c r="F18" s="17">
        <v>6</v>
      </c>
      <c r="G18" s="17">
        <v>1</v>
      </c>
      <c r="H18" s="31">
        <f t="shared" si="0"/>
        <v>7</v>
      </c>
      <c r="I18" s="17">
        <v>0</v>
      </c>
      <c r="J18" s="25">
        <f t="shared" si="1"/>
        <v>0.5</v>
      </c>
      <c r="K18" s="17">
        <v>0</v>
      </c>
      <c r="L18" s="17">
        <v>1</v>
      </c>
      <c r="M18" s="17">
        <v>1</v>
      </c>
      <c r="N18" s="17">
        <v>0</v>
      </c>
      <c r="O18" s="17">
        <v>1</v>
      </c>
      <c r="P18" s="17">
        <v>0</v>
      </c>
    </row>
    <row r="19" spans="2:16" x14ac:dyDescent="0.25">
      <c r="B19" s="9">
        <v>15</v>
      </c>
      <c r="D19" t="s">
        <v>1191</v>
      </c>
      <c r="E19" s="17">
        <v>18</v>
      </c>
      <c r="F19" s="17">
        <v>6</v>
      </c>
      <c r="G19" s="17">
        <v>1</v>
      </c>
      <c r="H19" s="31">
        <f t="shared" si="0"/>
        <v>7</v>
      </c>
      <c r="I19" s="17">
        <v>2</v>
      </c>
      <c r="J19" s="25">
        <f t="shared" si="1"/>
        <v>0.3888888888888889</v>
      </c>
      <c r="K19" s="17">
        <v>0</v>
      </c>
      <c r="L19" s="17">
        <v>0</v>
      </c>
      <c r="M19" s="17">
        <v>1</v>
      </c>
      <c r="N19" s="17">
        <v>0</v>
      </c>
      <c r="O19" s="17">
        <v>0</v>
      </c>
      <c r="P19" s="17">
        <v>2</v>
      </c>
    </row>
    <row r="20" spans="2:16" x14ac:dyDescent="0.25">
      <c r="B20" s="9">
        <v>16</v>
      </c>
      <c r="D20" t="s">
        <v>9</v>
      </c>
      <c r="E20" s="17">
        <v>5</v>
      </c>
      <c r="F20" s="17">
        <v>4</v>
      </c>
      <c r="G20" s="17">
        <v>3</v>
      </c>
      <c r="H20" s="31">
        <f t="shared" si="0"/>
        <v>7</v>
      </c>
      <c r="I20" s="17">
        <v>0</v>
      </c>
      <c r="J20" s="25">
        <f t="shared" si="1"/>
        <v>1.4</v>
      </c>
      <c r="K20" s="17">
        <v>0</v>
      </c>
      <c r="L20" s="17">
        <v>0</v>
      </c>
      <c r="M20" s="17">
        <v>1</v>
      </c>
      <c r="N20" s="17">
        <v>0</v>
      </c>
      <c r="O20" s="17">
        <v>0</v>
      </c>
      <c r="P20" s="17">
        <v>0</v>
      </c>
    </row>
    <row r="21" spans="2:16" x14ac:dyDescent="0.25">
      <c r="B21" s="9">
        <v>17</v>
      </c>
      <c r="D21" t="s">
        <v>226</v>
      </c>
      <c r="E21" s="17">
        <v>9</v>
      </c>
      <c r="F21" s="17">
        <v>4</v>
      </c>
      <c r="G21" s="17">
        <v>3</v>
      </c>
      <c r="H21" s="31">
        <f t="shared" si="0"/>
        <v>7</v>
      </c>
      <c r="I21" s="17">
        <v>2</v>
      </c>
      <c r="J21" s="25">
        <f t="shared" si="1"/>
        <v>0.77777777777777779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</row>
    <row r="22" spans="2:16" x14ac:dyDescent="0.25">
      <c r="B22" s="9">
        <v>18</v>
      </c>
      <c r="D22" t="s">
        <v>438</v>
      </c>
      <c r="E22" s="17">
        <v>3</v>
      </c>
      <c r="F22" s="17">
        <v>3</v>
      </c>
      <c r="G22" s="17">
        <v>4</v>
      </c>
      <c r="H22" s="31">
        <f t="shared" si="0"/>
        <v>7</v>
      </c>
      <c r="I22" s="17">
        <v>0</v>
      </c>
      <c r="J22" s="25">
        <f t="shared" si="1"/>
        <v>2.3333333333333335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</row>
    <row r="23" spans="2:16" x14ac:dyDescent="0.25">
      <c r="B23" s="9">
        <v>19</v>
      </c>
      <c r="D23" t="s">
        <v>1192</v>
      </c>
      <c r="E23" s="17">
        <v>18</v>
      </c>
      <c r="F23" s="17">
        <v>3</v>
      </c>
      <c r="G23" s="17">
        <v>3</v>
      </c>
      <c r="H23" s="31">
        <f t="shared" si="0"/>
        <v>6</v>
      </c>
      <c r="I23" s="17">
        <v>6</v>
      </c>
      <c r="J23" s="25">
        <f t="shared" si="1"/>
        <v>0.33333333333333331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</row>
    <row r="24" spans="2:16" x14ac:dyDescent="0.25">
      <c r="B24" s="9">
        <v>20</v>
      </c>
      <c r="D24" t="s">
        <v>35</v>
      </c>
      <c r="E24" s="17">
        <v>35</v>
      </c>
      <c r="F24" s="17">
        <v>1</v>
      </c>
      <c r="G24" s="17">
        <v>5</v>
      </c>
      <c r="H24" s="31">
        <f t="shared" si="0"/>
        <v>6</v>
      </c>
      <c r="I24" s="17">
        <v>18</v>
      </c>
      <c r="J24" s="25">
        <f t="shared" si="1"/>
        <v>0.17142857142857143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</row>
    <row r="25" spans="2:16" x14ac:dyDescent="0.25">
      <c r="B25" s="9">
        <v>21</v>
      </c>
      <c r="D25" t="s">
        <v>225</v>
      </c>
      <c r="E25" s="17">
        <v>4</v>
      </c>
      <c r="F25" s="17">
        <v>3</v>
      </c>
      <c r="G25" s="17">
        <v>2</v>
      </c>
      <c r="H25" s="31">
        <f t="shared" si="0"/>
        <v>5</v>
      </c>
      <c r="I25" s="17">
        <v>2</v>
      </c>
      <c r="J25" s="25">
        <f t="shared" si="1"/>
        <v>1.25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</row>
    <row r="26" spans="2:16" x14ac:dyDescent="0.25">
      <c r="B26" s="9">
        <v>22</v>
      </c>
      <c r="D26" t="s">
        <v>14</v>
      </c>
      <c r="E26" s="17">
        <v>4</v>
      </c>
      <c r="F26" s="17">
        <v>1</v>
      </c>
      <c r="G26" s="17">
        <v>4</v>
      </c>
      <c r="H26" s="31">
        <f t="shared" si="0"/>
        <v>5</v>
      </c>
      <c r="I26" s="17">
        <v>0</v>
      </c>
      <c r="J26" s="25">
        <f t="shared" si="1"/>
        <v>1.25</v>
      </c>
      <c r="K26" s="17">
        <v>1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</row>
    <row r="27" spans="2:16" x14ac:dyDescent="0.25">
      <c r="B27" s="9">
        <v>23</v>
      </c>
      <c r="D27" t="s">
        <v>1193</v>
      </c>
      <c r="E27" s="17">
        <v>9</v>
      </c>
      <c r="F27" s="17">
        <v>1</v>
      </c>
      <c r="G27" s="17">
        <v>3</v>
      </c>
      <c r="H27" s="31">
        <f t="shared" si="0"/>
        <v>4</v>
      </c>
      <c r="I27" s="17">
        <v>26</v>
      </c>
      <c r="J27" s="25">
        <f t="shared" si="1"/>
        <v>0.44444444444444442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</row>
    <row r="28" spans="2:16" x14ac:dyDescent="0.25">
      <c r="B28" s="9">
        <v>24</v>
      </c>
      <c r="D28" t="s">
        <v>22</v>
      </c>
      <c r="E28" s="17">
        <v>4</v>
      </c>
      <c r="F28" s="17">
        <v>2</v>
      </c>
      <c r="G28" s="17">
        <v>1</v>
      </c>
      <c r="H28" s="31">
        <f t="shared" si="0"/>
        <v>3</v>
      </c>
      <c r="I28" s="17">
        <v>0</v>
      </c>
      <c r="J28" s="25">
        <f t="shared" si="1"/>
        <v>0.75</v>
      </c>
      <c r="K28" s="17">
        <v>1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</row>
    <row r="29" spans="2:16" x14ac:dyDescent="0.25">
      <c r="B29" s="9">
        <v>25</v>
      </c>
      <c r="D29" t="s">
        <v>1518</v>
      </c>
      <c r="E29" s="17">
        <v>4</v>
      </c>
      <c r="F29" s="17">
        <v>2</v>
      </c>
      <c r="G29" s="17">
        <v>1</v>
      </c>
      <c r="H29" s="31">
        <f t="shared" si="0"/>
        <v>3</v>
      </c>
      <c r="I29" s="17">
        <v>2</v>
      </c>
      <c r="J29" s="25">
        <f t="shared" si="1"/>
        <v>0.75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</row>
    <row r="30" spans="2:16" x14ac:dyDescent="0.25">
      <c r="B30" s="9">
        <v>26</v>
      </c>
      <c r="D30" t="s">
        <v>436</v>
      </c>
      <c r="E30" s="17">
        <v>24</v>
      </c>
      <c r="F30" s="17">
        <v>2</v>
      </c>
      <c r="G30" s="17">
        <v>1</v>
      </c>
      <c r="H30" s="31">
        <f t="shared" si="0"/>
        <v>3</v>
      </c>
      <c r="I30" s="17">
        <v>32</v>
      </c>
      <c r="J30" s="25">
        <f t="shared" si="1"/>
        <v>0.125</v>
      </c>
      <c r="K30" s="17">
        <v>1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</row>
    <row r="31" spans="2:16" x14ac:dyDescent="0.25">
      <c r="B31" s="9">
        <v>27</v>
      </c>
      <c r="D31" t="s">
        <v>1705</v>
      </c>
      <c r="E31" s="17">
        <v>6</v>
      </c>
      <c r="F31" s="17">
        <v>2</v>
      </c>
      <c r="G31" s="17">
        <v>0</v>
      </c>
      <c r="H31" s="31">
        <f t="shared" si="0"/>
        <v>2</v>
      </c>
      <c r="I31" s="17">
        <v>0</v>
      </c>
      <c r="J31" s="25">
        <f t="shared" si="1"/>
        <v>0.33333333333333331</v>
      </c>
      <c r="K31" s="17">
        <v>1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</row>
    <row r="32" spans="2:16" x14ac:dyDescent="0.25">
      <c r="B32" s="9">
        <v>28</v>
      </c>
      <c r="D32" t="s">
        <v>358</v>
      </c>
      <c r="E32" s="17">
        <v>1</v>
      </c>
      <c r="F32" s="17">
        <v>1</v>
      </c>
      <c r="G32" s="17">
        <v>1</v>
      </c>
      <c r="H32" s="31">
        <f t="shared" si="0"/>
        <v>2</v>
      </c>
      <c r="I32" s="17">
        <v>0</v>
      </c>
      <c r="J32" s="25">
        <f t="shared" si="1"/>
        <v>2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</row>
    <row r="33" spans="2:16" x14ac:dyDescent="0.25">
      <c r="B33" s="9">
        <v>29</v>
      </c>
      <c r="D33" t="s">
        <v>17</v>
      </c>
      <c r="E33" s="17">
        <v>10</v>
      </c>
      <c r="F33" s="17">
        <v>1</v>
      </c>
      <c r="G33" s="17">
        <v>1</v>
      </c>
      <c r="H33" s="31">
        <f t="shared" si="0"/>
        <v>2</v>
      </c>
      <c r="I33" s="17">
        <v>4</v>
      </c>
      <c r="J33" s="25">
        <f t="shared" si="1"/>
        <v>0.2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</row>
    <row r="34" spans="2:16" x14ac:dyDescent="0.25">
      <c r="B34" s="9">
        <v>30</v>
      </c>
      <c r="D34" t="s">
        <v>16</v>
      </c>
      <c r="E34" s="17">
        <v>1</v>
      </c>
      <c r="F34" s="17">
        <v>1</v>
      </c>
      <c r="G34" s="17">
        <v>0</v>
      </c>
      <c r="H34" s="31">
        <f t="shared" si="0"/>
        <v>1</v>
      </c>
      <c r="I34" s="17">
        <v>0</v>
      </c>
      <c r="J34" s="25">
        <f t="shared" si="1"/>
        <v>1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</row>
    <row r="35" spans="2:16" x14ac:dyDescent="0.25">
      <c r="B35" s="9">
        <v>31</v>
      </c>
      <c r="D35" t="s">
        <v>34</v>
      </c>
      <c r="E35" s="17">
        <v>3</v>
      </c>
      <c r="F35" s="17">
        <v>1</v>
      </c>
      <c r="G35" s="17">
        <v>0</v>
      </c>
      <c r="H35" s="31">
        <f t="shared" si="0"/>
        <v>1</v>
      </c>
      <c r="I35" s="17">
        <v>2</v>
      </c>
      <c r="J35" s="25">
        <f t="shared" si="1"/>
        <v>0.33333333333333331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</row>
    <row r="36" spans="2:16" x14ac:dyDescent="0.25">
      <c r="B36" s="9">
        <v>32</v>
      </c>
      <c r="D36" t="s">
        <v>75</v>
      </c>
      <c r="E36" s="17">
        <v>2</v>
      </c>
      <c r="F36" s="17">
        <v>0</v>
      </c>
      <c r="G36" s="17">
        <v>1</v>
      </c>
      <c r="H36" s="31">
        <f t="shared" si="0"/>
        <v>1</v>
      </c>
      <c r="I36" s="17">
        <v>0</v>
      </c>
      <c r="J36" s="25">
        <f t="shared" si="1"/>
        <v>0.5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</row>
    <row r="37" spans="2:16" x14ac:dyDescent="0.25">
      <c r="B37" s="9">
        <v>33</v>
      </c>
      <c r="D37" t="s">
        <v>1722</v>
      </c>
      <c r="E37" s="17">
        <v>2</v>
      </c>
      <c r="F37" s="17">
        <v>0</v>
      </c>
      <c r="G37" s="17">
        <v>1</v>
      </c>
      <c r="H37" s="31">
        <f t="shared" si="0"/>
        <v>1</v>
      </c>
      <c r="I37" s="17">
        <v>0</v>
      </c>
      <c r="J37" s="25">
        <f t="shared" si="1"/>
        <v>0.5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</row>
    <row r="38" spans="2:16" x14ac:dyDescent="0.25">
      <c r="B38" s="9">
        <v>34</v>
      </c>
      <c r="D38" t="s">
        <v>1704</v>
      </c>
      <c r="E38" s="17">
        <v>3</v>
      </c>
      <c r="F38" s="17">
        <v>0</v>
      </c>
      <c r="G38" s="17">
        <v>1</v>
      </c>
      <c r="H38" s="31">
        <f t="shared" si="0"/>
        <v>1</v>
      </c>
      <c r="I38" s="17">
        <v>0</v>
      </c>
      <c r="J38" s="25">
        <f t="shared" si="1"/>
        <v>0.33333333333333331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</row>
    <row r="39" spans="2:16" x14ac:dyDescent="0.25">
      <c r="B39" s="9">
        <v>35</v>
      </c>
      <c r="D39" t="s">
        <v>10</v>
      </c>
      <c r="E39" s="17">
        <v>4</v>
      </c>
      <c r="F39" s="17">
        <v>0</v>
      </c>
      <c r="G39" s="17">
        <v>1</v>
      </c>
      <c r="H39" s="31">
        <f t="shared" si="0"/>
        <v>1</v>
      </c>
      <c r="I39" s="17">
        <v>0</v>
      </c>
      <c r="J39" s="25">
        <f t="shared" si="1"/>
        <v>0.25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</row>
    <row r="40" spans="2:16" x14ac:dyDescent="0.25">
      <c r="B40" s="9">
        <v>36</v>
      </c>
      <c r="D40" t="s">
        <v>1678</v>
      </c>
      <c r="E40" s="17">
        <v>6</v>
      </c>
      <c r="F40" s="17">
        <v>0</v>
      </c>
      <c r="G40" s="17">
        <v>1</v>
      </c>
      <c r="H40" s="31">
        <f t="shared" si="0"/>
        <v>1</v>
      </c>
      <c r="I40" s="17">
        <v>4</v>
      </c>
      <c r="J40" s="25">
        <f t="shared" si="1"/>
        <v>0.16666666666666666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</row>
    <row r="41" spans="2:16" x14ac:dyDescent="0.25">
      <c r="B41" s="9">
        <v>37</v>
      </c>
      <c r="D41" t="s">
        <v>751</v>
      </c>
      <c r="E41" s="17">
        <v>14</v>
      </c>
      <c r="F41" s="17">
        <v>0</v>
      </c>
      <c r="G41" s="17">
        <v>1</v>
      </c>
      <c r="H41" s="31">
        <f t="shared" si="0"/>
        <v>1</v>
      </c>
      <c r="I41" s="17">
        <v>0</v>
      </c>
      <c r="J41" s="25">
        <f t="shared" si="1"/>
        <v>7.1428571428571425E-2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</row>
    <row r="42" spans="2:16" x14ac:dyDescent="0.25">
      <c r="B42" s="9">
        <v>38</v>
      </c>
      <c r="D42" t="s">
        <v>435</v>
      </c>
      <c r="E42" s="17">
        <v>8</v>
      </c>
      <c r="F42" s="17">
        <v>0</v>
      </c>
      <c r="G42" s="17">
        <v>0</v>
      </c>
      <c r="H42" s="31">
        <f t="shared" si="0"/>
        <v>0</v>
      </c>
      <c r="I42" s="17">
        <v>2</v>
      </c>
      <c r="J42" s="25">
        <f t="shared" si="1"/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</row>
    <row r="43" spans="2:16" x14ac:dyDescent="0.25">
      <c r="B43" s="9">
        <v>39</v>
      </c>
      <c r="D43" t="s">
        <v>39</v>
      </c>
      <c r="E43" s="17">
        <v>2</v>
      </c>
      <c r="F43" s="17">
        <v>0</v>
      </c>
      <c r="G43" s="17">
        <v>0</v>
      </c>
      <c r="H43" s="31">
        <f t="shared" si="0"/>
        <v>0</v>
      </c>
      <c r="I43" s="17">
        <v>0</v>
      </c>
      <c r="J43" s="25">
        <f t="shared" si="1"/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</row>
    <row r="44" spans="2:16" x14ac:dyDescent="0.25">
      <c r="B44" s="9">
        <v>40</v>
      </c>
      <c r="D44" t="s">
        <v>1181</v>
      </c>
      <c r="E44" s="17">
        <v>16</v>
      </c>
      <c r="F44" s="17">
        <v>0</v>
      </c>
      <c r="G44" s="17">
        <v>0</v>
      </c>
      <c r="H44" s="31">
        <f t="shared" si="0"/>
        <v>0</v>
      </c>
      <c r="I44" s="17">
        <v>0</v>
      </c>
      <c r="J44" s="25">
        <f t="shared" si="1"/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</row>
    <row r="45" spans="2:16" x14ac:dyDescent="0.25">
      <c r="B45" s="9">
        <v>41</v>
      </c>
      <c r="D45" t="s">
        <v>1369</v>
      </c>
      <c r="E45" s="17">
        <v>6</v>
      </c>
      <c r="F45" s="17">
        <v>0</v>
      </c>
      <c r="G45" s="17">
        <v>0</v>
      </c>
      <c r="H45" s="31">
        <f t="shared" si="0"/>
        <v>0</v>
      </c>
      <c r="I45" s="17">
        <v>0</v>
      </c>
      <c r="J45" s="25">
        <f t="shared" si="1"/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</row>
    <row r="46" spans="2:16" x14ac:dyDescent="0.25">
      <c r="B46" s="9">
        <v>42</v>
      </c>
      <c r="D46" t="s">
        <v>1679</v>
      </c>
      <c r="E46" s="17">
        <v>8</v>
      </c>
      <c r="F46" s="17">
        <v>0</v>
      </c>
      <c r="G46" s="17">
        <v>0</v>
      </c>
      <c r="H46" s="31">
        <f t="shared" si="0"/>
        <v>0</v>
      </c>
      <c r="I46" s="17">
        <v>4</v>
      </c>
      <c r="J46" s="25">
        <f t="shared" si="1"/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</row>
    <row r="47" spans="2:16" x14ac:dyDescent="0.25">
      <c r="B47" s="9">
        <v>43</v>
      </c>
      <c r="D47" t="s">
        <v>1680</v>
      </c>
      <c r="E47" s="17">
        <v>4</v>
      </c>
      <c r="F47" s="17">
        <v>0</v>
      </c>
      <c r="G47" s="17">
        <v>0</v>
      </c>
      <c r="H47" s="31">
        <f t="shared" si="0"/>
        <v>0</v>
      </c>
      <c r="I47" s="17">
        <v>0</v>
      </c>
      <c r="J47" s="25">
        <f t="shared" si="1"/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</row>
    <row r="49" spans="2:16" x14ac:dyDescent="0.25">
      <c r="D49" t="s">
        <v>48</v>
      </c>
      <c r="E49" s="17"/>
      <c r="F49" s="17"/>
      <c r="G49" s="17"/>
      <c r="I49" s="17"/>
      <c r="J49" s="17"/>
      <c r="K49" s="17"/>
      <c r="L49" s="17"/>
      <c r="M49" s="17"/>
      <c r="N49" s="17"/>
      <c r="O49" s="17"/>
      <c r="P49" s="17"/>
    </row>
    <row r="50" spans="2:16" x14ac:dyDescent="0.25">
      <c r="E50" s="17"/>
      <c r="F50" s="17"/>
      <c r="G50" s="17"/>
      <c r="I50" s="17"/>
      <c r="J50" s="17"/>
      <c r="K50" s="17"/>
      <c r="L50" s="17"/>
      <c r="M50" s="17"/>
      <c r="N50" s="17"/>
      <c r="O50" s="17"/>
      <c r="P50" s="17"/>
    </row>
    <row r="51" spans="2:16" x14ac:dyDescent="0.25">
      <c r="E51" s="17"/>
      <c r="F51" s="17"/>
      <c r="G51" s="17"/>
      <c r="I51" s="17"/>
      <c r="J51" s="17"/>
      <c r="K51" s="17"/>
      <c r="L51" s="17"/>
      <c r="M51" s="17"/>
      <c r="N51" s="17"/>
      <c r="O51" s="17"/>
      <c r="P51" s="17"/>
    </row>
    <row r="52" spans="2:16" x14ac:dyDescent="0.25">
      <c r="E52" s="17"/>
      <c r="F52" s="17"/>
      <c r="G52" s="17"/>
      <c r="I52" s="17"/>
      <c r="J52" s="17"/>
      <c r="K52" s="17"/>
      <c r="L52" s="17"/>
      <c r="M52" s="17"/>
      <c r="N52" s="17"/>
      <c r="O52" s="17"/>
      <c r="P52" s="17"/>
    </row>
    <row r="53" spans="2:16" x14ac:dyDescent="0.25">
      <c r="C53" s="1" t="s">
        <v>1389</v>
      </c>
      <c r="E53" s="17"/>
      <c r="F53" s="17"/>
      <c r="G53" s="17"/>
      <c r="I53" s="17"/>
      <c r="J53" s="17"/>
      <c r="K53" s="17"/>
      <c r="L53" s="17"/>
      <c r="M53" s="17"/>
      <c r="N53" s="17"/>
      <c r="O53" s="17"/>
      <c r="P53" s="17"/>
    </row>
    <row r="54" spans="2:16" x14ac:dyDescent="0.25">
      <c r="E54" s="17"/>
      <c r="F54" s="17"/>
      <c r="G54" s="17"/>
      <c r="I54" s="17"/>
      <c r="J54" s="17"/>
      <c r="K54" s="17"/>
      <c r="L54" s="17"/>
      <c r="M54" s="17"/>
      <c r="N54" s="17"/>
      <c r="O54" s="17"/>
      <c r="P54" s="17"/>
    </row>
    <row r="55" spans="2:16" x14ac:dyDescent="0.25">
      <c r="D55" s="8" t="s">
        <v>0</v>
      </c>
      <c r="E55" s="18" t="s">
        <v>1</v>
      </c>
      <c r="F55" s="18" t="s">
        <v>2</v>
      </c>
      <c r="G55" s="18" t="s">
        <v>3</v>
      </c>
      <c r="H55" s="32" t="s">
        <v>4</v>
      </c>
      <c r="I55" s="18" t="s">
        <v>5</v>
      </c>
      <c r="J55" s="18" t="s">
        <v>38</v>
      </c>
      <c r="K55" s="18" t="s">
        <v>41</v>
      </c>
      <c r="L55" s="18" t="s">
        <v>42</v>
      </c>
      <c r="M55" s="18" t="s">
        <v>45</v>
      </c>
      <c r="N55" s="18" t="s">
        <v>46</v>
      </c>
      <c r="O55" s="18" t="s">
        <v>44</v>
      </c>
      <c r="P55" s="18" t="s">
        <v>43</v>
      </c>
    </row>
    <row r="56" spans="2:16" x14ac:dyDescent="0.25">
      <c r="B56" s="9">
        <v>1</v>
      </c>
      <c r="D56" t="s">
        <v>36</v>
      </c>
      <c r="E56" s="17">
        <v>6</v>
      </c>
      <c r="F56" s="17">
        <v>3</v>
      </c>
      <c r="G56" s="17">
        <v>5</v>
      </c>
      <c r="H56" s="31">
        <f t="shared" ref="H56:H72" si="2">F56+G56</f>
        <v>8</v>
      </c>
      <c r="I56" s="17">
        <v>0</v>
      </c>
      <c r="J56" s="25">
        <f t="shared" ref="J56:J72" si="3">H56/E56</f>
        <v>1.3333333333333333</v>
      </c>
      <c r="K56" s="17">
        <v>0</v>
      </c>
      <c r="L56" s="17">
        <v>0</v>
      </c>
      <c r="M56" s="17">
        <v>1</v>
      </c>
      <c r="N56" s="17">
        <v>0</v>
      </c>
      <c r="O56" s="17">
        <v>0</v>
      </c>
      <c r="P56" s="17">
        <v>0</v>
      </c>
    </row>
    <row r="57" spans="2:16" x14ac:dyDescent="0.25">
      <c r="B57" s="9">
        <v>2</v>
      </c>
      <c r="D57" t="s">
        <v>1178</v>
      </c>
      <c r="E57" s="17">
        <v>6</v>
      </c>
      <c r="F57" s="17">
        <v>3</v>
      </c>
      <c r="G57" s="17">
        <v>3</v>
      </c>
      <c r="H57" s="31">
        <f t="shared" si="2"/>
        <v>6</v>
      </c>
      <c r="I57" s="17">
        <v>2</v>
      </c>
      <c r="J57" s="25">
        <f t="shared" si="3"/>
        <v>1</v>
      </c>
      <c r="K57" s="17">
        <v>0</v>
      </c>
      <c r="L57" s="17">
        <v>0</v>
      </c>
      <c r="M57" s="17">
        <v>1</v>
      </c>
      <c r="N57" s="17">
        <v>0</v>
      </c>
      <c r="O57" s="17">
        <v>0</v>
      </c>
      <c r="P57" s="17">
        <v>0</v>
      </c>
    </row>
    <row r="58" spans="2:16" x14ac:dyDescent="0.25">
      <c r="B58" s="9">
        <v>3</v>
      </c>
      <c r="D58" t="s">
        <v>1188</v>
      </c>
      <c r="E58" s="17">
        <v>6</v>
      </c>
      <c r="F58" s="17">
        <v>3</v>
      </c>
      <c r="G58" s="17">
        <v>3</v>
      </c>
      <c r="H58" s="31">
        <f t="shared" si="2"/>
        <v>6</v>
      </c>
      <c r="I58" s="17">
        <v>2</v>
      </c>
      <c r="J58" s="25">
        <f t="shared" si="3"/>
        <v>1</v>
      </c>
      <c r="K58" s="17">
        <v>0</v>
      </c>
      <c r="L58" s="17">
        <v>0</v>
      </c>
      <c r="M58" s="17">
        <v>1</v>
      </c>
      <c r="N58" s="17">
        <v>0</v>
      </c>
      <c r="O58" s="17">
        <v>0</v>
      </c>
      <c r="P58" s="17">
        <v>0</v>
      </c>
    </row>
    <row r="59" spans="2:16" x14ac:dyDescent="0.25">
      <c r="B59" s="9">
        <v>4</v>
      </c>
      <c r="D59" t="s">
        <v>1191</v>
      </c>
      <c r="E59" s="17">
        <v>8</v>
      </c>
      <c r="F59" s="17">
        <v>4</v>
      </c>
      <c r="G59" s="17">
        <v>0</v>
      </c>
      <c r="H59" s="31">
        <f t="shared" si="2"/>
        <v>4</v>
      </c>
      <c r="I59" s="17">
        <v>2</v>
      </c>
      <c r="J59" s="25">
        <f t="shared" si="3"/>
        <v>0.5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2</v>
      </c>
    </row>
    <row r="60" spans="2:16" x14ac:dyDescent="0.25">
      <c r="B60" s="9">
        <v>5</v>
      </c>
      <c r="D60" t="s">
        <v>1518</v>
      </c>
      <c r="E60" s="17">
        <v>4</v>
      </c>
      <c r="F60" s="17">
        <v>2</v>
      </c>
      <c r="G60" s="17">
        <v>1</v>
      </c>
      <c r="H60" s="31">
        <f t="shared" si="2"/>
        <v>3</v>
      </c>
      <c r="I60" s="17">
        <v>2</v>
      </c>
      <c r="J60" s="25">
        <f t="shared" si="3"/>
        <v>0.75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</row>
    <row r="61" spans="2:16" x14ac:dyDescent="0.25">
      <c r="B61" s="9">
        <v>6</v>
      </c>
      <c r="D61" t="s">
        <v>255</v>
      </c>
      <c r="E61" s="17">
        <v>4</v>
      </c>
      <c r="F61" s="17">
        <v>2</v>
      </c>
      <c r="G61" s="17">
        <v>1</v>
      </c>
      <c r="H61" s="31">
        <f t="shared" si="2"/>
        <v>3</v>
      </c>
      <c r="I61" s="17">
        <v>0</v>
      </c>
      <c r="J61" s="25">
        <f t="shared" si="3"/>
        <v>0.75</v>
      </c>
      <c r="K61" s="17">
        <v>1</v>
      </c>
      <c r="L61" s="17">
        <v>0</v>
      </c>
      <c r="M61" s="17">
        <v>1</v>
      </c>
      <c r="N61" s="17">
        <v>0</v>
      </c>
      <c r="O61" s="17">
        <v>0</v>
      </c>
      <c r="P61" s="17">
        <v>0</v>
      </c>
    </row>
    <row r="62" spans="2:16" x14ac:dyDescent="0.25">
      <c r="B62" s="9">
        <v>7</v>
      </c>
      <c r="D62" t="s">
        <v>232</v>
      </c>
      <c r="E62" s="17">
        <v>4</v>
      </c>
      <c r="F62" s="17">
        <v>2</v>
      </c>
      <c r="G62" s="17">
        <v>0</v>
      </c>
      <c r="H62" s="31">
        <f t="shared" si="2"/>
        <v>2</v>
      </c>
      <c r="I62" s="17">
        <v>0</v>
      </c>
      <c r="J62" s="25">
        <f t="shared" si="3"/>
        <v>0.5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</row>
    <row r="63" spans="2:16" x14ac:dyDescent="0.25">
      <c r="B63" s="9">
        <v>8</v>
      </c>
      <c r="D63" t="s">
        <v>1705</v>
      </c>
      <c r="E63" s="17">
        <v>6</v>
      </c>
      <c r="F63" s="17">
        <v>2</v>
      </c>
      <c r="G63" s="17">
        <v>0</v>
      </c>
      <c r="H63" s="31">
        <f t="shared" si="2"/>
        <v>2</v>
      </c>
      <c r="I63" s="17">
        <v>0</v>
      </c>
      <c r="J63" s="25">
        <f t="shared" si="3"/>
        <v>0.33333333333333331</v>
      </c>
      <c r="K63" s="17">
        <v>1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</row>
    <row r="64" spans="2:16" x14ac:dyDescent="0.25">
      <c r="B64" s="9">
        <v>9</v>
      </c>
      <c r="D64" t="s">
        <v>1192</v>
      </c>
      <c r="E64" s="17">
        <v>4</v>
      </c>
      <c r="F64" s="17">
        <v>1</v>
      </c>
      <c r="G64" s="17">
        <v>0</v>
      </c>
      <c r="H64" s="31">
        <f t="shared" si="2"/>
        <v>1</v>
      </c>
      <c r="I64" s="17">
        <v>2</v>
      </c>
      <c r="J64" s="25">
        <f t="shared" si="3"/>
        <v>0.25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</row>
    <row r="65" spans="2:16" x14ac:dyDescent="0.25">
      <c r="B65" s="9">
        <v>10</v>
      </c>
      <c r="D65" t="s">
        <v>1722</v>
      </c>
      <c r="E65" s="17">
        <v>2</v>
      </c>
      <c r="F65" s="17">
        <v>0</v>
      </c>
      <c r="G65" s="17">
        <v>1</v>
      </c>
      <c r="H65" s="31">
        <f t="shared" si="2"/>
        <v>1</v>
      </c>
      <c r="I65" s="17">
        <v>0</v>
      </c>
      <c r="J65" s="25">
        <f t="shared" si="3"/>
        <v>0.5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</row>
    <row r="66" spans="2:16" x14ac:dyDescent="0.25">
      <c r="B66" s="9">
        <v>11</v>
      </c>
      <c r="D66" t="s">
        <v>1704</v>
      </c>
      <c r="E66" s="17">
        <v>3</v>
      </c>
      <c r="F66" s="17">
        <v>0</v>
      </c>
      <c r="G66" s="17">
        <v>1</v>
      </c>
      <c r="H66" s="31">
        <f t="shared" si="2"/>
        <v>1</v>
      </c>
      <c r="I66" s="17">
        <v>0</v>
      </c>
      <c r="J66" s="25">
        <f t="shared" si="3"/>
        <v>0.33333333333333331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</row>
    <row r="67" spans="2:16" x14ac:dyDescent="0.25">
      <c r="B67" s="9">
        <v>12</v>
      </c>
      <c r="D67" t="s">
        <v>35</v>
      </c>
      <c r="E67" s="17">
        <v>6</v>
      </c>
      <c r="F67" s="17">
        <v>0</v>
      </c>
      <c r="G67" s="17">
        <v>1</v>
      </c>
      <c r="H67" s="31">
        <f t="shared" si="2"/>
        <v>1</v>
      </c>
      <c r="I67" s="17">
        <v>4</v>
      </c>
      <c r="J67" s="25">
        <f t="shared" si="3"/>
        <v>0.16666666666666666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</row>
    <row r="68" spans="2:16" x14ac:dyDescent="0.25">
      <c r="B68" s="9">
        <v>13</v>
      </c>
      <c r="D68" t="s">
        <v>1678</v>
      </c>
      <c r="E68" s="17">
        <v>6</v>
      </c>
      <c r="F68" s="17">
        <v>0</v>
      </c>
      <c r="G68" s="17">
        <v>1</v>
      </c>
      <c r="H68" s="31">
        <f t="shared" si="2"/>
        <v>1</v>
      </c>
      <c r="I68" s="17">
        <v>4</v>
      </c>
      <c r="J68" s="25">
        <f t="shared" si="3"/>
        <v>0.16666666666666666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</row>
    <row r="69" spans="2:16" x14ac:dyDescent="0.25">
      <c r="B69" s="9">
        <v>14</v>
      </c>
      <c r="D69" t="s">
        <v>1369</v>
      </c>
      <c r="E69" s="17">
        <v>6</v>
      </c>
      <c r="F69" s="17">
        <v>0</v>
      </c>
      <c r="G69" s="17">
        <v>0</v>
      </c>
      <c r="H69" s="31">
        <f t="shared" si="2"/>
        <v>0</v>
      </c>
      <c r="I69" s="17">
        <v>0</v>
      </c>
      <c r="J69" s="25">
        <f t="shared" si="3"/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</row>
    <row r="70" spans="2:16" x14ac:dyDescent="0.25">
      <c r="B70" s="9">
        <v>15</v>
      </c>
      <c r="D70" t="s">
        <v>1679</v>
      </c>
      <c r="E70" s="17">
        <v>8</v>
      </c>
      <c r="F70" s="17">
        <v>0</v>
      </c>
      <c r="G70" s="17">
        <v>0</v>
      </c>
      <c r="H70" s="31">
        <f t="shared" si="2"/>
        <v>0</v>
      </c>
      <c r="I70" s="17">
        <v>4</v>
      </c>
      <c r="J70" s="25">
        <f t="shared" si="3"/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</row>
    <row r="71" spans="2:16" x14ac:dyDescent="0.25">
      <c r="B71" s="9">
        <v>16</v>
      </c>
      <c r="D71" t="s">
        <v>1680</v>
      </c>
      <c r="E71" s="17">
        <v>4</v>
      </c>
      <c r="F71" s="17">
        <v>0</v>
      </c>
      <c r="G71" s="17">
        <v>0</v>
      </c>
      <c r="H71" s="31">
        <f t="shared" si="2"/>
        <v>0</v>
      </c>
      <c r="I71" s="17">
        <v>0</v>
      </c>
      <c r="J71" s="25">
        <f t="shared" si="3"/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</row>
    <row r="72" spans="2:16" x14ac:dyDescent="0.25">
      <c r="B72" s="9">
        <v>17</v>
      </c>
      <c r="D72" t="s">
        <v>435</v>
      </c>
      <c r="E72" s="17">
        <v>2</v>
      </c>
      <c r="F72" s="17">
        <v>0</v>
      </c>
      <c r="G72" s="17">
        <v>0</v>
      </c>
      <c r="H72" s="31">
        <f t="shared" si="2"/>
        <v>0</v>
      </c>
      <c r="I72" s="17">
        <v>0</v>
      </c>
      <c r="J72" s="25">
        <f t="shared" si="3"/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</row>
    <row r="75" spans="2:16" x14ac:dyDescent="0.25">
      <c r="C75" s="1" t="s">
        <v>1154</v>
      </c>
      <c r="E75" s="17"/>
      <c r="F75" s="17"/>
      <c r="G75" s="17"/>
      <c r="I75" s="17"/>
      <c r="J75" s="17"/>
      <c r="K75" s="17"/>
      <c r="L75" s="17"/>
      <c r="M75" s="17"/>
      <c r="N75" s="17"/>
      <c r="O75" s="17"/>
      <c r="P75" s="17"/>
    </row>
    <row r="76" spans="2:16" x14ac:dyDescent="0.25">
      <c r="E76" s="17"/>
      <c r="F76" s="17"/>
      <c r="G76" s="17"/>
      <c r="I76" s="17"/>
      <c r="J76" s="17"/>
      <c r="K76" s="17"/>
      <c r="L76" s="17"/>
      <c r="M76" s="17"/>
      <c r="N76" s="17"/>
      <c r="O76" s="17"/>
      <c r="P76" s="17"/>
    </row>
    <row r="77" spans="2:16" x14ac:dyDescent="0.25">
      <c r="D77" s="8" t="s">
        <v>0</v>
      </c>
      <c r="E77" s="18" t="s">
        <v>1</v>
      </c>
      <c r="F77" s="18" t="s">
        <v>2</v>
      </c>
      <c r="G77" s="18" t="s">
        <v>3</v>
      </c>
      <c r="H77" s="32" t="s">
        <v>4</v>
      </c>
      <c r="I77" s="18" t="s">
        <v>5</v>
      </c>
      <c r="J77" s="18" t="s">
        <v>38</v>
      </c>
      <c r="K77" s="18" t="s">
        <v>41</v>
      </c>
      <c r="L77" s="18" t="s">
        <v>42</v>
      </c>
      <c r="M77" s="18" t="s">
        <v>45</v>
      </c>
      <c r="N77" s="18" t="s">
        <v>46</v>
      </c>
      <c r="O77" s="18" t="s">
        <v>44</v>
      </c>
      <c r="P77" s="18" t="s">
        <v>43</v>
      </c>
    </row>
    <row r="78" spans="2:16" x14ac:dyDescent="0.25">
      <c r="B78" s="9">
        <v>1</v>
      </c>
      <c r="D78" s="5" t="s">
        <v>1178</v>
      </c>
      <c r="E78" s="24">
        <v>11</v>
      </c>
      <c r="F78" s="24">
        <v>13</v>
      </c>
      <c r="G78" s="24">
        <v>8</v>
      </c>
      <c r="H78" s="33">
        <f t="shared" ref="H78:H102" si="4">F78+G78</f>
        <v>21</v>
      </c>
      <c r="I78" s="24">
        <v>2</v>
      </c>
      <c r="J78" s="26">
        <f t="shared" ref="J78:J102" si="5">H78/E78</f>
        <v>1.9090909090909092</v>
      </c>
      <c r="K78" s="24">
        <v>0</v>
      </c>
      <c r="L78" s="24">
        <v>0</v>
      </c>
      <c r="M78" s="24">
        <v>2</v>
      </c>
      <c r="N78" s="24">
        <v>0</v>
      </c>
      <c r="O78" s="24">
        <v>0</v>
      </c>
      <c r="P78" s="24">
        <v>0</v>
      </c>
    </row>
    <row r="79" spans="2:16" x14ac:dyDescent="0.25">
      <c r="B79" s="9">
        <v>2</v>
      </c>
      <c r="D79" s="5" t="s">
        <v>324</v>
      </c>
      <c r="E79" s="24">
        <v>8</v>
      </c>
      <c r="F79" s="24">
        <v>12</v>
      </c>
      <c r="G79" s="24">
        <v>5</v>
      </c>
      <c r="H79" s="33">
        <f t="shared" si="4"/>
        <v>17</v>
      </c>
      <c r="I79" s="24">
        <v>8</v>
      </c>
      <c r="J79" s="26">
        <f t="shared" si="5"/>
        <v>2.125</v>
      </c>
      <c r="K79" s="24">
        <v>1</v>
      </c>
      <c r="L79" s="24">
        <v>1</v>
      </c>
      <c r="M79" s="24">
        <v>1</v>
      </c>
      <c r="N79" s="24">
        <v>0</v>
      </c>
      <c r="O79" s="24">
        <v>0</v>
      </c>
      <c r="P79" s="24">
        <v>0</v>
      </c>
    </row>
    <row r="80" spans="2:16" x14ac:dyDescent="0.25">
      <c r="B80" s="9">
        <v>3</v>
      </c>
      <c r="D80" s="5" t="s">
        <v>1188</v>
      </c>
      <c r="E80" s="24">
        <v>13</v>
      </c>
      <c r="F80" s="24">
        <v>8</v>
      </c>
      <c r="G80" s="24">
        <v>6</v>
      </c>
      <c r="H80" s="33">
        <f t="shared" si="4"/>
        <v>14</v>
      </c>
      <c r="I80" s="24">
        <v>2</v>
      </c>
      <c r="J80" s="26">
        <f t="shared" si="5"/>
        <v>1.0769230769230769</v>
      </c>
      <c r="K80" s="24">
        <v>0</v>
      </c>
      <c r="L80" s="24">
        <v>0</v>
      </c>
      <c r="M80" s="24">
        <v>0</v>
      </c>
      <c r="N80" s="24">
        <v>0</v>
      </c>
      <c r="O80" s="24">
        <v>0</v>
      </c>
      <c r="P80" s="24">
        <v>0</v>
      </c>
    </row>
    <row r="81" spans="2:16" x14ac:dyDescent="0.25">
      <c r="B81" s="9">
        <v>4</v>
      </c>
      <c r="D81" s="5" t="s">
        <v>434</v>
      </c>
      <c r="E81" s="24">
        <v>7</v>
      </c>
      <c r="F81" s="24">
        <v>6</v>
      </c>
      <c r="G81" s="24">
        <v>7</v>
      </c>
      <c r="H81" s="33">
        <f t="shared" si="4"/>
        <v>13</v>
      </c>
      <c r="I81" s="24">
        <v>4</v>
      </c>
      <c r="J81" s="26">
        <f t="shared" si="5"/>
        <v>1.8571428571428572</v>
      </c>
      <c r="K81" s="24">
        <v>0</v>
      </c>
      <c r="L81" s="24">
        <v>0</v>
      </c>
      <c r="M81" s="24">
        <v>0</v>
      </c>
      <c r="N81" s="24">
        <v>0</v>
      </c>
      <c r="O81" s="24">
        <v>0</v>
      </c>
      <c r="P81" s="24">
        <v>0</v>
      </c>
    </row>
    <row r="82" spans="2:16" x14ac:dyDescent="0.25">
      <c r="B82" s="9">
        <v>5</v>
      </c>
      <c r="D82" s="5" t="s">
        <v>1182</v>
      </c>
      <c r="E82" s="24">
        <v>15</v>
      </c>
      <c r="F82" s="24">
        <v>3</v>
      </c>
      <c r="G82" s="24">
        <v>8</v>
      </c>
      <c r="H82" s="33">
        <f t="shared" si="4"/>
        <v>11</v>
      </c>
      <c r="I82" s="24">
        <v>2</v>
      </c>
      <c r="J82" s="26">
        <f t="shared" si="5"/>
        <v>0.73333333333333328</v>
      </c>
      <c r="K82" s="24">
        <v>0</v>
      </c>
      <c r="L82" s="24">
        <v>0</v>
      </c>
      <c r="M82" s="24">
        <v>1</v>
      </c>
      <c r="N82" s="24">
        <v>0</v>
      </c>
      <c r="O82" s="24">
        <v>1</v>
      </c>
      <c r="P82" s="24">
        <v>0</v>
      </c>
    </row>
    <row r="83" spans="2:16" x14ac:dyDescent="0.25">
      <c r="B83" s="9">
        <v>6</v>
      </c>
      <c r="D83" s="5" t="s">
        <v>227</v>
      </c>
      <c r="E83" s="24">
        <v>15</v>
      </c>
      <c r="F83" s="24">
        <v>6</v>
      </c>
      <c r="G83" s="24">
        <v>4</v>
      </c>
      <c r="H83" s="33">
        <f t="shared" si="4"/>
        <v>10</v>
      </c>
      <c r="I83" s="24">
        <v>0</v>
      </c>
      <c r="J83" s="26">
        <f t="shared" si="5"/>
        <v>0.66666666666666663</v>
      </c>
      <c r="K83" s="24">
        <v>1</v>
      </c>
      <c r="L83" s="24">
        <v>0</v>
      </c>
      <c r="M83" s="24">
        <v>0</v>
      </c>
      <c r="N83" s="24">
        <v>0</v>
      </c>
      <c r="O83" s="24">
        <v>0</v>
      </c>
      <c r="P83" s="24">
        <v>0</v>
      </c>
    </row>
    <row r="84" spans="2:16" x14ac:dyDescent="0.25">
      <c r="B84" s="9">
        <v>7</v>
      </c>
      <c r="D84" s="5" t="s">
        <v>255</v>
      </c>
      <c r="E84" s="24">
        <v>15</v>
      </c>
      <c r="F84" s="24">
        <v>4</v>
      </c>
      <c r="G84" s="24">
        <v>5</v>
      </c>
      <c r="H84" s="33">
        <f t="shared" si="4"/>
        <v>9</v>
      </c>
      <c r="I84" s="24">
        <v>0</v>
      </c>
      <c r="J84" s="26">
        <f t="shared" si="5"/>
        <v>0.6</v>
      </c>
      <c r="K84" s="24">
        <v>1</v>
      </c>
      <c r="L84" s="24">
        <v>0</v>
      </c>
      <c r="M84" s="24">
        <v>0</v>
      </c>
      <c r="N84" s="24">
        <v>0</v>
      </c>
      <c r="O84" s="24">
        <v>0</v>
      </c>
      <c r="P84" s="24">
        <v>0</v>
      </c>
    </row>
    <row r="85" spans="2:16" x14ac:dyDescent="0.25">
      <c r="B85" s="9">
        <v>8</v>
      </c>
      <c r="D85" s="5" t="s">
        <v>36</v>
      </c>
      <c r="E85" s="24">
        <v>12</v>
      </c>
      <c r="F85" s="24">
        <v>5</v>
      </c>
      <c r="G85" s="24">
        <v>2</v>
      </c>
      <c r="H85" s="33">
        <f t="shared" si="4"/>
        <v>7</v>
      </c>
      <c r="I85" s="24">
        <v>4</v>
      </c>
      <c r="J85" s="26">
        <f t="shared" si="5"/>
        <v>0.58333333333333337</v>
      </c>
      <c r="K85" s="24">
        <v>0</v>
      </c>
      <c r="L85" s="24">
        <v>0</v>
      </c>
      <c r="M85" s="24">
        <v>0</v>
      </c>
      <c r="N85" s="24">
        <v>0</v>
      </c>
      <c r="O85" s="24">
        <v>0</v>
      </c>
      <c r="P85" s="24">
        <v>0</v>
      </c>
    </row>
    <row r="86" spans="2:16" x14ac:dyDescent="0.25">
      <c r="B86" s="9">
        <v>9</v>
      </c>
      <c r="D86" s="5" t="s">
        <v>1192</v>
      </c>
      <c r="E86" s="24">
        <v>14</v>
      </c>
      <c r="F86" s="24">
        <v>2</v>
      </c>
      <c r="G86" s="24">
        <v>3</v>
      </c>
      <c r="H86" s="33">
        <f t="shared" si="4"/>
        <v>5</v>
      </c>
      <c r="I86" s="24">
        <v>4</v>
      </c>
      <c r="J86" s="26">
        <f t="shared" si="5"/>
        <v>0.35714285714285715</v>
      </c>
      <c r="K86" s="24">
        <v>0</v>
      </c>
      <c r="L86" s="24">
        <v>0</v>
      </c>
      <c r="M86" s="24">
        <v>0</v>
      </c>
      <c r="N86" s="24">
        <v>0</v>
      </c>
      <c r="O86" s="24">
        <v>0</v>
      </c>
      <c r="P86" s="24">
        <v>0</v>
      </c>
    </row>
    <row r="87" spans="2:16" x14ac:dyDescent="0.25">
      <c r="B87" s="9">
        <v>10</v>
      </c>
      <c r="D87" s="5" t="s">
        <v>320</v>
      </c>
      <c r="E87" s="24">
        <v>11</v>
      </c>
      <c r="F87" s="24">
        <v>5</v>
      </c>
      <c r="G87" s="24">
        <v>2</v>
      </c>
      <c r="H87" s="33">
        <f t="shared" si="4"/>
        <v>7</v>
      </c>
      <c r="I87" s="24">
        <v>0</v>
      </c>
      <c r="J87" s="26">
        <f t="shared" si="5"/>
        <v>0.63636363636363635</v>
      </c>
      <c r="K87" s="24">
        <v>0</v>
      </c>
      <c r="L87" s="24">
        <v>0</v>
      </c>
      <c r="M87" s="24">
        <v>1</v>
      </c>
      <c r="N87" s="24">
        <v>0</v>
      </c>
      <c r="O87" s="24">
        <v>0</v>
      </c>
      <c r="P87" s="24">
        <v>0</v>
      </c>
    </row>
    <row r="88" spans="2:16" x14ac:dyDescent="0.25">
      <c r="B88" s="9">
        <v>11</v>
      </c>
      <c r="D88" s="5" t="s">
        <v>1193</v>
      </c>
      <c r="E88" s="24">
        <v>9</v>
      </c>
      <c r="F88" s="24">
        <v>1</v>
      </c>
      <c r="G88" s="24">
        <v>3</v>
      </c>
      <c r="H88" s="33">
        <f t="shared" si="4"/>
        <v>4</v>
      </c>
      <c r="I88" s="24">
        <v>26</v>
      </c>
      <c r="J88" s="26">
        <f t="shared" si="5"/>
        <v>0.44444444444444442</v>
      </c>
      <c r="K88" s="24">
        <v>0</v>
      </c>
      <c r="L88" s="24">
        <v>0</v>
      </c>
      <c r="M88" s="24">
        <v>0</v>
      </c>
      <c r="N88" s="24">
        <v>0</v>
      </c>
      <c r="O88" s="24">
        <v>0</v>
      </c>
      <c r="P88" s="24">
        <v>0</v>
      </c>
    </row>
    <row r="89" spans="2:16" x14ac:dyDescent="0.25">
      <c r="B89" s="9">
        <v>12</v>
      </c>
      <c r="D89" s="5" t="s">
        <v>1191</v>
      </c>
      <c r="E89" s="24">
        <v>10</v>
      </c>
      <c r="F89" s="24">
        <v>2</v>
      </c>
      <c r="G89" s="24">
        <v>1</v>
      </c>
      <c r="H89" s="33">
        <f t="shared" si="4"/>
        <v>3</v>
      </c>
      <c r="I89" s="24">
        <v>0</v>
      </c>
      <c r="J89" s="26">
        <f t="shared" si="5"/>
        <v>0.3</v>
      </c>
      <c r="K89" s="24">
        <v>0</v>
      </c>
      <c r="L89" s="24">
        <v>0</v>
      </c>
      <c r="M89" s="24">
        <v>1</v>
      </c>
      <c r="N89" s="24">
        <v>0</v>
      </c>
      <c r="O89" s="24">
        <v>0</v>
      </c>
      <c r="P89" s="24">
        <v>0</v>
      </c>
    </row>
    <row r="90" spans="2:16" x14ac:dyDescent="0.25">
      <c r="B90" s="9">
        <v>13</v>
      </c>
      <c r="D90" s="5" t="s">
        <v>436</v>
      </c>
      <c r="E90" s="24">
        <v>18</v>
      </c>
      <c r="F90" s="24">
        <v>2</v>
      </c>
      <c r="G90" s="24">
        <v>1</v>
      </c>
      <c r="H90" s="33">
        <f t="shared" si="4"/>
        <v>3</v>
      </c>
      <c r="I90" s="24">
        <v>4</v>
      </c>
      <c r="J90" s="26">
        <f t="shared" si="5"/>
        <v>0.16666666666666666</v>
      </c>
      <c r="K90" s="24">
        <v>1</v>
      </c>
      <c r="L90" s="24">
        <v>0</v>
      </c>
      <c r="M90" s="24">
        <v>0</v>
      </c>
      <c r="N90" s="24">
        <v>0</v>
      </c>
      <c r="O90" s="24">
        <v>0</v>
      </c>
      <c r="P90" s="24">
        <v>0</v>
      </c>
    </row>
    <row r="91" spans="2:16" x14ac:dyDescent="0.25">
      <c r="B91" s="9">
        <v>14</v>
      </c>
      <c r="D91" s="5" t="s">
        <v>226</v>
      </c>
      <c r="E91" s="24">
        <v>2</v>
      </c>
      <c r="F91" s="24">
        <v>1</v>
      </c>
      <c r="G91" s="24">
        <v>1</v>
      </c>
      <c r="H91" s="33">
        <f t="shared" si="4"/>
        <v>2</v>
      </c>
      <c r="I91" s="24">
        <v>0</v>
      </c>
      <c r="J91" s="26">
        <f t="shared" si="5"/>
        <v>1</v>
      </c>
      <c r="K91" s="24">
        <v>0</v>
      </c>
      <c r="L91" s="24">
        <v>0</v>
      </c>
      <c r="M91" s="24">
        <v>0</v>
      </c>
      <c r="N91" s="24">
        <v>0</v>
      </c>
      <c r="O91" s="24">
        <v>0</v>
      </c>
      <c r="P91" s="24">
        <v>0</v>
      </c>
    </row>
    <row r="92" spans="2:16" x14ac:dyDescent="0.25">
      <c r="B92" s="9">
        <v>15</v>
      </c>
      <c r="D92" s="5" t="s">
        <v>438</v>
      </c>
      <c r="E92" s="24">
        <v>1</v>
      </c>
      <c r="F92" s="24">
        <v>0</v>
      </c>
      <c r="G92" s="24">
        <v>2</v>
      </c>
      <c r="H92" s="33">
        <f t="shared" si="4"/>
        <v>2</v>
      </c>
      <c r="I92" s="24">
        <v>0</v>
      </c>
      <c r="J92" s="26">
        <f t="shared" si="5"/>
        <v>2</v>
      </c>
      <c r="K92" s="24">
        <v>0</v>
      </c>
      <c r="L92" s="24">
        <v>0</v>
      </c>
      <c r="M92" s="24">
        <v>0</v>
      </c>
      <c r="N92" s="24">
        <v>0</v>
      </c>
      <c r="O92" s="24">
        <v>0</v>
      </c>
      <c r="P92" s="24">
        <v>0</v>
      </c>
    </row>
    <row r="93" spans="2:16" x14ac:dyDescent="0.25">
      <c r="B93" s="9">
        <v>16</v>
      </c>
      <c r="D93" s="5" t="s">
        <v>446</v>
      </c>
      <c r="E93" s="24">
        <v>2</v>
      </c>
      <c r="F93" s="24">
        <v>1</v>
      </c>
      <c r="G93" s="24">
        <v>0</v>
      </c>
      <c r="H93" s="33">
        <f t="shared" si="4"/>
        <v>1</v>
      </c>
      <c r="I93" s="24">
        <v>0</v>
      </c>
      <c r="J93" s="26">
        <f t="shared" si="5"/>
        <v>0.5</v>
      </c>
      <c r="K93" s="24">
        <v>0</v>
      </c>
      <c r="L93" s="24">
        <v>0</v>
      </c>
      <c r="M93" s="24">
        <v>0</v>
      </c>
      <c r="N93" s="24">
        <v>0</v>
      </c>
      <c r="O93" s="24">
        <v>0</v>
      </c>
      <c r="P93" s="24">
        <v>0</v>
      </c>
    </row>
    <row r="94" spans="2:16" x14ac:dyDescent="0.25">
      <c r="B94" s="9">
        <v>17</v>
      </c>
      <c r="D94" s="5" t="s">
        <v>232</v>
      </c>
      <c r="E94" s="24">
        <v>2</v>
      </c>
      <c r="F94" s="24">
        <v>1</v>
      </c>
      <c r="G94" s="24">
        <v>0</v>
      </c>
      <c r="H94" s="33">
        <f t="shared" si="4"/>
        <v>1</v>
      </c>
      <c r="I94" s="24">
        <v>0</v>
      </c>
      <c r="J94" s="26">
        <f t="shared" si="5"/>
        <v>0.5</v>
      </c>
      <c r="K94" s="24">
        <v>0</v>
      </c>
      <c r="L94" s="24">
        <v>0</v>
      </c>
      <c r="M94" s="24">
        <v>1</v>
      </c>
      <c r="N94" s="24">
        <v>0</v>
      </c>
      <c r="O94" s="24">
        <v>0</v>
      </c>
      <c r="P94" s="24">
        <v>0</v>
      </c>
    </row>
    <row r="95" spans="2:16" x14ac:dyDescent="0.25">
      <c r="B95" s="9">
        <v>18</v>
      </c>
      <c r="D95" s="5" t="s">
        <v>7</v>
      </c>
      <c r="E95" s="24">
        <v>3</v>
      </c>
      <c r="F95" s="24">
        <v>1</v>
      </c>
      <c r="G95" s="24">
        <v>0</v>
      </c>
      <c r="H95" s="33">
        <f t="shared" si="4"/>
        <v>1</v>
      </c>
      <c r="I95" s="24">
        <v>2</v>
      </c>
      <c r="J95" s="26">
        <f t="shared" si="5"/>
        <v>0.33333333333333331</v>
      </c>
      <c r="K95" s="24">
        <v>0</v>
      </c>
      <c r="L95" s="24">
        <v>0</v>
      </c>
      <c r="M95" s="24">
        <v>1</v>
      </c>
      <c r="N95" s="24">
        <v>0</v>
      </c>
      <c r="O95" s="24">
        <v>0</v>
      </c>
      <c r="P95" s="24">
        <v>0</v>
      </c>
    </row>
    <row r="96" spans="2:16" x14ac:dyDescent="0.25">
      <c r="B96" s="9">
        <v>19</v>
      </c>
      <c r="D96" s="5" t="s">
        <v>9</v>
      </c>
      <c r="E96" s="24">
        <v>1</v>
      </c>
      <c r="F96" s="24">
        <v>0</v>
      </c>
      <c r="G96" s="24">
        <v>1</v>
      </c>
      <c r="H96" s="33">
        <f t="shared" si="4"/>
        <v>1</v>
      </c>
      <c r="I96" s="24">
        <v>0</v>
      </c>
      <c r="J96" s="26">
        <f t="shared" si="5"/>
        <v>1</v>
      </c>
      <c r="K96" s="24">
        <v>0</v>
      </c>
      <c r="L96" s="24">
        <v>0</v>
      </c>
      <c r="M96" s="24">
        <v>0</v>
      </c>
      <c r="N96" s="24">
        <v>0</v>
      </c>
      <c r="O96" s="24">
        <v>0</v>
      </c>
      <c r="P96" s="24">
        <v>0</v>
      </c>
    </row>
    <row r="97" spans="2:16" x14ac:dyDescent="0.25">
      <c r="B97" s="9">
        <v>20</v>
      </c>
      <c r="D97" s="5" t="s">
        <v>75</v>
      </c>
      <c r="E97" s="24">
        <v>2</v>
      </c>
      <c r="F97" s="24">
        <v>0</v>
      </c>
      <c r="G97" s="24">
        <v>1</v>
      </c>
      <c r="H97" s="33">
        <f t="shared" si="4"/>
        <v>1</v>
      </c>
      <c r="I97" s="24">
        <v>0</v>
      </c>
      <c r="J97" s="26">
        <f t="shared" si="5"/>
        <v>0.5</v>
      </c>
      <c r="K97" s="24">
        <v>0</v>
      </c>
      <c r="L97" s="24">
        <v>0</v>
      </c>
      <c r="M97" s="24">
        <v>0</v>
      </c>
      <c r="N97" s="24">
        <v>0</v>
      </c>
      <c r="O97" s="24">
        <v>0</v>
      </c>
      <c r="P97" s="24">
        <v>0</v>
      </c>
    </row>
    <row r="98" spans="2:16" x14ac:dyDescent="0.25">
      <c r="B98" s="9">
        <v>21</v>
      </c>
      <c r="D98" s="5" t="s">
        <v>35</v>
      </c>
      <c r="E98" s="24">
        <v>9</v>
      </c>
      <c r="F98" s="24">
        <v>0</v>
      </c>
      <c r="G98" s="24">
        <v>1</v>
      </c>
      <c r="H98" s="33">
        <f t="shared" si="4"/>
        <v>1</v>
      </c>
      <c r="I98" s="24">
        <v>4</v>
      </c>
      <c r="J98" s="26">
        <f t="shared" si="5"/>
        <v>0.1111111111111111</v>
      </c>
      <c r="K98" s="24">
        <v>0</v>
      </c>
      <c r="L98" s="24">
        <v>0</v>
      </c>
      <c r="M98" s="24">
        <v>0</v>
      </c>
      <c r="N98" s="24">
        <v>0</v>
      </c>
      <c r="O98" s="24">
        <v>0</v>
      </c>
      <c r="P98" s="24">
        <v>0</v>
      </c>
    </row>
    <row r="99" spans="2:16" x14ac:dyDescent="0.25">
      <c r="B99" s="9">
        <v>22</v>
      </c>
      <c r="D99" s="5" t="s">
        <v>1181</v>
      </c>
      <c r="E99" s="24">
        <v>16</v>
      </c>
      <c r="F99" s="24">
        <v>0</v>
      </c>
      <c r="G99" s="24">
        <v>0</v>
      </c>
      <c r="H99" s="33">
        <f t="shared" si="4"/>
        <v>0</v>
      </c>
      <c r="I99" s="24">
        <v>0</v>
      </c>
      <c r="J99" s="26">
        <f t="shared" si="5"/>
        <v>0</v>
      </c>
      <c r="K99" s="24">
        <v>0</v>
      </c>
      <c r="L99" s="24">
        <v>0</v>
      </c>
      <c r="M99" s="24">
        <v>0</v>
      </c>
      <c r="N99" s="24">
        <v>0</v>
      </c>
      <c r="O99" s="24">
        <v>0</v>
      </c>
      <c r="P99" s="24">
        <v>0</v>
      </c>
    </row>
    <row r="100" spans="2:16" x14ac:dyDescent="0.25">
      <c r="B100" s="9">
        <v>23</v>
      </c>
      <c r="D100" s="5" t="s">
        <v>17</v>
      </c>
      <c r="E100" s="24">
        <v>1</v>
      </c>
      <c r="F100" s="24">
        <v>0</v>
      </c>
      <c r="G100" s="24">
        <v>0</v>
      </c>
      <c r="H100" s="33">
        <f t="shared" si="4"/>
        <v>0</v>
      </c>
      <c r="I100" s="24">
        <v>0</v>
      </c>
      <c r="J100" s="26">
        <f t="shared" si="5"/>
        <v>0</v>
      </c>
      <c r="K100" s="24">
        <v>0</v>
      </c>
      <c r="L100" s="24">
        <v>0</v>
      </c>
      <c r="M100" s="24">
        <v>0</v>
      </c>
      <c r="N100" s="24">
        <v>0</v>
      </c>
      <c r="O100" s="24">
        <v>0</v>
      </c>
      <c r="P100" s="24">
        <v>0</v>
      </c>
    </row>
    <row r="101" spans="2:16" x14ac:dyDescent="0.25">
      <c r="B101" s="9">
        <v>24</v>
      </c>
      <c r="D101" s="5" t="s">
        <v>10</v>
      </c>
      <c r="E101" s="24">
        <v>2</v>
      </c>
      <c r="F101" s="24">
        <v>0</v>
      </c>
      <c r="G101" s="24">
        <v>0</v>
      </c>
      <c r="H101" s="33">
        <f t="shared" si="4"/>
        <v>0</v>
      </c>
      <c r="I101" s="24">
        <v>0</v>
      </c>
      <c r="J101" s="26">
        <f t="shared" si="5"/>
        <v>0</v>
      </c>
      <c r="K101" s="24">
        <v>0</v>
      </c>
      <c r="L101" s="24">
        <v>0</v>
      </c>
      <c r="M101" s="24">
        <v>0</v>
      </c>
      <c r="N101" s="24">
        <v>0</v>
      </c>
      <c r="O101" s="24">
        <v>0</v>
      </c>
      <c r="P101" s="24">
        <v>0</v>
      </c>
    </row>
    <row r="102" spans="2:16" x14ac:dyDescent="0.25">
      <c r="B102" s="9">
        <v>25</v>
      </c>
      <c r="D102" s="5" t="s">
        <v>39</v>
      </c>
      <c r="E102" s="24">
        <v>1</v>
      </c>
      <c r="F102" s="24">
        <v>0</v>
      </c>
      <c r="G102" s="24">
        <v>0</v>
      </c>
      <c r="H102" s="33">
        <f t="shared" si="4"/>
        <v>0</v>
      </c>
      <c r="I102" s="24">
        <v>0</v>
      </c>
      <c r="J102" s="26">
        <f t="shared" si="5"/>
        <v>0</v>
      </c>
      <c r="K102" s="24">
        <v>0</v>
      </c>
      <c r="L102" s="24">
        <v>0</v>
      </c>
      <c r="M102" s="24">
        <v>0</v>
      </c>
      <c r="N102" s="24">
        <v>0</v>
      </c>
      <c r="O102" s="24">
        <v>0</v>
      </c>
      <c r="P102" s="24">
        <v>0</v>
      </c>
    </row>
    <row r="105" spans="2:16" x14ac:dyDescent="0.25">
      <c r="C105" s="1" t="s">
        <v>473</v>
      </c>
      <c r="E105" s="17"/>
      <c r="F105" s="17"/>
      <c r="G105" s="17"/>
      <c r="I105" s="17"/>
      <c r="J105" s="17"/>
      <c r="K105" s="17"/>
      <c r="L105" s="17"/>
      <c r="M105" s="17"/>
      <c r="N105" s="17"/>
      <c r="O105" s="17"/>
      <c r="P105" s="17"/>
    </row>
    <row r="106" spans="2:16" x14ac:dyDescent="0.25">
      <c r="E106" s="17"/>
      <c r="F106" s="17"/>
      <c r="G106" s="17"/>
      <c r="I106" s="17"/>
      <c r="J106" s="17"/>
      <c r="K106" s="17"/>
      <c r="L106" s="17"/>
      <c r="M106" s="17"/>
      <c r="N106" s="17"/>
      <c r="O106" s="17"/>
      <c r="P106" s="17"/>
    </row>
    <row r="107" spans="2:16" x14ac:dyDescent="0.25">
      <c r="D107" s="8" t="s">
        <v>0</v>
      </c>
      <c r="E107" s="18" t="s">
        <v>1</v>
      </c>
      <c r="F107" s="18" t="s">
        <v>2</v>
      </c>
      <c r="G107" s="18" t="s">
        <v>3</v>
      </c>
      <c r="H107" s="32" t="s">
        <v>4</v>
      </c>
      <c r="I107" s="18" t="s">
        <v>5</v>
      </c>
      <c r="J107" s="18" t="s">
        <v>38</v>
      </c>
      <c r="K107" s="18" t="s">
        <v>41</v>
      </c>
      <c r="L107" s="18" t="s">
        <v>42</v>
      </c>
      <c r="M107" s="18" t="s">
        <v>45</v>
      </c>
      <c r="N107" s="18" t="s">
        <v>46</v>
      </c>
      <c r="O107" s="18" t="s">
        <v>44</v>
      </c>
      <c r="P107" s="18" t="s">
        <v>43</v>
      </c>
    </row>
    <row r="108" spans="2:16" x14ac:dyDescent="0.25">
      <c r="B108" s="9">
        <v>1</v>
      </c>
      <c r="D108" s="5" t="s">
        <v>324</v>
      </c>
      <c r="E108" s="24">
        <v>12</v>
      </c>
      <c r="F108" s="24">
        <v>16</v>
      </c>
      <c r="G108" s="24">
        <v>21</v>
      </c>
      <c r="H108" s="33">
        <f t="shared" ref="H108:H134" si="6">F108+G108</f>
        <v>37</v>
      </c>
      <c r="I108" s="24">
        <v>6</v>
      </c>
      <c r="J108" s="26">
        <f t="shared" ref="J108:J134" si="7">H108/E108</f>
        <v>3.0833333333333335</v>
      </c>
      <c r="K108" s="24">
        <v>0</v>
      </c>
      <c r="L108" s="24">
        <v>2</v>
      </c>
      <c r="M108" s="24">
        <v>2</v>
      </c>
      <c r="N108" s="24">
        <v>0</v>
      </c>
      <c r="O108" s="24">
        <v>0</v>
      </c>
      <c r="P108" s="24">
        <v>0</v>
      </c>
    </row>
    <row r="109" spans="2:16" x14ac:dyDescent="0.25">
      <c r="B109" s="9">
        <v>2</v>
      </c>
      <c r="D109" s="5" t="s">
        <v>13</v>
      </c>
      <c r="E109" s="24">
        <v>5</v>
      </c>
      <c r="F109" s="24">
        <v>18</v>
      </c>
      <c r="G109" s="24">
        <v>7</v>
      </c>
      <c r="H109" s="33">
        <f t="shared" si="6"/>
        <v>25</v>
      </c>
      <c r="I109" s="24">
        <v>4</v>
      </c>
      <c r="J109" s="26">
        <f t="shared" si="7"/>
        <v>5</v>
      </c>
      <c r="K109" s="24">
        <v>1</v>
      </c>
      <c r="L109" s="24">
        <v>0</v>
      </c>
      <c r="M109" s="24">
        <v>1</v>
      </c>
      <c r="N109" s="24">
        <v>0</v>
      </c>
      <c r="O109" s="24">
        <v>0</v>
      </c>
      <c r="P109" s="24">
        <v>0</v>
      </c>
    </row>
    <row r="110" spans="2:16" x14ac:dyDescent="0.25">
      <c r="B110" s="9">
        <v>3</v>
      </c>
      <c r="D110" s="5" t="s">
        <v>8</v>
      </c>
      <c r="E110" s="24">
        <v>6</v>
      </c>
      <c r="F110" s="24">
        <v>14</v>
      </c>
      <c r="G110" s="24">
        <v>7</v>
      </c>
      <c r="H110" s="33">
        <f t="shared" si="6"/>
        <v>21</v>
      </c>
      <c r="I110" s="24">
        <v>0</v>
      </c>
      <c r="J110" s="26">
        <f t="shared" si="7"/>
        <v>3.5</v>
      </c>
      <c r="K110" s="24">
        <v>0</v>
      </c>
      <c r="L110" s="24">
        <v>0</v>
      </c>
      <c r="M110" s="24">
        <v>2</v>
      </c>
      <c r="N110" s="24">
        <v>0</v>
      </c>
      <c r="O110" s="24">
        <v>0</v>
      </c>
      <c r="P110" s="24">
        <v>0</v>
      </c>
    </row>
    <row r="111" spans="2:16" x14ac:dyDescent="0.25">
      <c r="B111" s="9">
        <v>4</v>
      </c>
      <c r="D111" s="5" t="s">
        <v>36</v>
      </c>
      <c r="E111" s="24">
        <v>16</v>
      </c>
      <c r="F111" s="24">
        <v>11</v>
      </c>
      <c r="G111" s="24">
        <v>8</v>
      </c>
      <c r="H111" s="33">
        <f t="shared" si="6"/>
        <v>19</v>
      </c>
      <c r="I111" s="24">
        <v>2</v>
      </c>
      <c r="J111" s="26">
        <f t="shared" si="7"/>
        <v>1.1875</v>
      </c>
      <c r="K111" s="24">
        <v>0</v>
      </c>
      <c r="L111" s="24">
        <v>1</v>
      </c>
      <c r="M111" s="24">
        <v>1</v>
      </c>
      <c r="N111" s="24">
        <v>0</v>
      </c>
      <c r="O111" s="24">
        <v>0</v>
      </c>
      <c r="P111" s="24">
        <v>0</v>
      </c>
    </row>
    <row r="112" spans="2:16" x14ac:dyDescent="0.25">
      <c r="B112" s="9">
        <v>5</v>
      </c>
      <c r="D112" s="5" t="s">
        <v>227</v>
      </c>
      <c r="E112" s="24">
        <v>18</v>
      </c>
      <c r="F112" s="24">
        <v>6</v>
      </c>
      <c r="G112" s="24">
        <v>10</v>
      </c>
      <c r="H112" s="33">
        <f t="shared" si="6"/>
        <v>16</v>
      </c>
      <c r="I112" s="24">
        <v>8</v>
      </c>
      <c r="J112" s="26">
        <f t="shared" si="7"/>
        <v>0.88888888888888884</v>
      </c>
      <c r="K112" s="24">
        <v>3</v>
      </c>
      <c r="L112" s="24">
        <v>0</v>
      </c>
      <c r="M112" s="24">
        <v>0</v>
      </c>
      <c r="N112" s="24">
        <v>0</v>
      </c>
      <c r="O112" s="24">
        <v>0</v>
      </c>
      <c r="P112" s="24">
        <v>0</v>
      </c>
    </row>
    <row r="113" spans="2:16" x14ac:dyDescent="0.25">
      <c r="B113" s="9">
        <v>6</v>
      </c>
      <c r="D113" s="5" t="s">
        <v>434</v>
      </c>
      <c r="E113" s="24">
        <v>8</v>
      </c>
      <c r="F113" s="24">
        <v>6</v>
      </c>
      <c r="G113" s="24">
        <v>8</v>
      </c>
      <c r="H113" s="33">
        <f t="shared" si="6"/>
        <v>14</v>
      </c>
      <c r="I113" s="24">
        <v>2</v>
      </c>
      <c r="J113" s="26">
        <f t="shared" si="7"/>
        <v>1.75</v>
      </c>
      <c r="K113" s="24">
        <v>0</v>
      </c>
      <c r="L113" s="24">
        <v>0</v>
      </c>
      <c r="M113" s="24">
        <v>1</v>
      </c>
      <c r="N113" s="24">
        <v>0</v>
      </c>
      <c r="O113" s="24">
        <v>0</v>
      </c>
      <c r="P113" s="24">
        <v>0</v>
      </c>
    </row>
    <row r="114" spans="2:16" x14ac:dyDescent="0.25">
      <c r="B114" s="9">
        <v>7</v>
      </c>
      <c r="D114" s="5" t="s">
        <v>446</v>
      </c>
      <c r="E114" s="24">
        <v>20</v>
      </c>
      <c r="F114" s="24">
        <v>8</v>
      </c>
      <c r="G114" s="24">
        <v>3</v>
      </c>
      <c r="H114" s="33">
        <f t="shared" si="6"/>
        <v>11</v>
      </c>
      <c r="I114" s="24">
        <v>6</v>
      </c>
      <c r="J114" s="26">
        <f t="shared" si="7"/>
        <v>0.55000000000000004</v>
      </c>
      <c r="K114" s="24">
        <v>0</v>
      </c>
      <c r="L114" s="24">
        <v>1</v>
      </c>
      <c r="M114" s="24">
        <v>0</v>
      </c>
      <c r="N114" s="24">
        <v>0</v>
      </c>
      <c r="O114" s="24">
        <v>0</v>
      </c>
      <c r="P114" s="24">
        <v>0</v>
      </c>
    </row>
    <row r="115" spans="2:16" x14ac:dyDescent="0.25">
      <c r="B115" s="9">
        <v>8</v>
      </c>
      <c r="D115" s="5" t="s">
        <v>7</v>
      </c>
      <c r="E115" s="24">
        <v>5</v>
      </c>
      <c r="F115" s="24">
        <v>5</v>
      </c>
      <c r="G115" s="24">
        <v>6</v>
      </c>
      <c r="H115" s="33">
        <f t="shared" si="6"/>
        <v>11</v>
      </c>
      <c r="I115" s="24">
        <v>0</v>
      </c>
      <c r="J115" s="26">
        <f t="shared" si="7"/>
        <v>2.2000000000000002</v>
      </c>
      <c r="K115" s="24">
        <v>0</v>
      </c>
      <c r="L115" s="24">
        <v>0</v>
      </c>
      <c r="M115" s="24">
        <v>0</v>
      </c>
      <c r="N115" s="24">
        <v>0</v>
      </c>
      <c r="O115" s="24">
        <v>0</v>
      </c>
      <c r="P115" s="24">
        <v>0</v>
      </c>
    </row>
    <row r="116" spans="2:16" x14ac:dyDescent="0.25">
      <c r="B116" s="9">
        <v>9</v>
      </c>
      <c r="D116" s="5" t="s">
        <v>255</v>
      </c>
      <c r="E116" s="24">
        <v>19</v>
      </c>
      <c r="F116" s="24">
        <v>4</v>
      </c>
      <c r="G116" s="24">
        <v>5</v>
      </c>
      <c r="H116" s="33">
        <f t="shared" si="6"/>
        <v>9</v>
      </c>
      <c r="I116" s="24">
        <v>0</v>
      </c>
      <c r="J116" s="26">
        <f t="shared" si="7"/>
        <v>0.47368421052631576</v>
      </c>
      <c r="K116" s="24">
        <v>0</v>
      </c>
      <c r="L116" s="24">
        <v>0</v>
      </c>
      <c r="M116" s="24">
        <v>1</v>
      </c>
      <c r="N116" s="24">
        <v>0</v>
      </c>
      <c r="O116" s="24">
        <v>0</v>
      </c>
      <c r="P116" s="24">
        <v>0</v>
      </c>
    </row>
    <row r="117" spans="2:16" x14ac:dyDescent="0.25">
      <c r="B117" s="9">
        <v>10</v>
      </c>
      <c r="D117" s="5" t="s">
        <v>9</v>
      </c>
      <c r="E117" s="24">
        <v>4</v>
      </c>
      <c r="F117" s="24">
        <v>4</v>
      </c>
      <c r="G117" s="24">
        <v>2</v>
      </c>
      <c r="H117" s="33">
        <f t="shared" si="6"/>
        <v>6</v>
      </c>
      <c r="I117" s="24">
        <v>0</v>
      </c>
      <c r="J117" s="26">
        <f t="shared" si="7"/>
        <v>1.5</v>
      </c>
      <c r="K117" s="24">
        <v>0</v>
      </c>
      <c r="L117" s="24">
        <v>0</v>
      </c>
      <c r="M117" s="24">
        <v>1</v>
      </c>
      <c r="N117" s="24">
        <v>0</v>
      </c>
      <c r="O117" s="24">
        <v>0</v>
      </c>
      <c r="P117" s="24">
        <v>0</v>
      </c>
    </row>
    <row r="118" spans="2:16" x14ac:dyDescent="0.25">
      <c r="B118" s="9">
        <v>11</v>
      </c>
      <c r="D118" s="5" t="s">
        <v>438</v>
      </c>
      <c r="E118" s="24">
        <v>2</v>
      </c>
      <c r="F118" s="24">
        <v>3</v>
      </c>
      <c r="G118" s="24">
        <v>2</v>
      </c>
      <c r="H118" s="33">
        <f t="shared" si="6"/>
        <v>5</v>
      </c>
      <c r="I118" s="24">
        <v>0</v>
      </c>
      <c r="J118" s="26">
        <f t="shared" si="7"/>
        <v>2.5</v>
      </c>
      <c r="K118" s="24">
        <v>0</v>
      </c>
      <c r="L118" s="24">
        <v>0</v>
      </c>
      <c r="M118" s="24">
        <v>0</v>
      </c>
      <c r="N118" s="24">
        <v>0</v>
      </c>
      <c r="O118" s="24">
        <v>0</v>
      </c>
      <c r="P118" s="24">
        <v>0</v>
      </c>
    </row>
    <row r="119" spans="2:16" x14ac:dyDescent="0.25">
      <c r="B119" s="9">
        <v>12</v>
      </c>
      <c r="D119" s="5" t="s">
        <v>225</v>
      </c>
      <c r="E119" s="24">
        <v>4</v>
      </c>
      <c r="F119" s="24">
        <v>3</v>
      </c>
      <c r="G119" s="24">
        <v>2</v>
      </c>
      <c r="H119" s="33">
        <f t="shared" si="6"/>
        <v>5</v>
      </c>
      <c r="I119" s="24">
        <v>2</v>
      </c>
      <c r="J119" s="26">
        <f t="shared" si="7"/>
        <v>1.25</v>
      </c>
      <c r="K119" s="24">
        <v>0</v>
      </c>
      <c r="L119" s="24">
        <v>0</v>
      </c>
      <c r="M119" s="24">
        <v>0</v>
      </c>
      <c r="N119" s="24">
        <v>0</v>
      </c>
      <c r="O119" s="24">
        <v>0</v>
      </c>
      <c r="P119" s="24">
        <v>0</v>
      </c>
    </row>
    <row r="120" spans="2:16" x14ac:dyDescent="0.25">
      <c r="B120" s="9">
        <v>13</v>
      </c>
      <c r="D120" s="5" t="s">
        <v>226</v>
      </c>
      <c r="E120" s="24">
        <v>7</v>
      </c>
      <c r="F120" s="24">
        <v>3</v>
      </c>
      <c r="G120" s="24">
        <v>2</v>
      </c>
      <c r="H120" s="33">
        <f t="shared" si="6"/>
        <v>5</v>
      </c>
      <c r="I120" s="24">
        <v>2</v>
      </c>
      <c r="J120" s="26">
        <f t="shared" si="7"/>
        <v>0.7142857142857143</v>
      </c>
      <c r="K120" s="24">
        <v>0</v>
      </c>
      <c r="L120" s="24">
        <v>0</v>
      </c>
      <c r="M120" s="24">
        <v>0</v>
      </c>
      <c r="N120" s="24">
        <v>0</v>
      </c>
      <c r="O120" s="24">
        <v>0</v>
      </c>
      <c r="P120" s="24">
        <v>0</v>
      </c>
    </row>
    <row r="121" spans="2:16" x14ac:dyDescent="0.25">
      <c r="B121" s="9">
        <v>14</v>
      </c>
      <c r="D121" s="5" t="s">
        <v>14</v>
      </c>
      <c r="E121" s="24">
        <v>4</v>
      </c>
      <c r="F121" s="24">
        <v>1</v>
      </c>
      <c r="G121" s="24">
        <v>4</v>
      </c>
      <c r="H121" s="33">
        <f t="shared" si="6"/>
        <v>5</v>
      </c>
      <c r="I121" s="24">
        <v>0</v>
      </c>
      <c r="J121" s="26">
        <f t="shared" si="7"/>
        <v>1.25</v>
      </c>
      <c r="K121" s="24">
        <v>1</v>
      </c>
      <c r="L121" s="24">
        <v>0</v>
      </c>
      <c r="M121" s="24">
        <v>0</v>
      </c>
      <c r="N121" s="24">
        <v>0</v>
      </c>
      <c r="O121" s="24">
        <v>0</v>
      </c>
      <c r="P121" s="24">
        <v>0</v>
      </c>
    </row>
    <row r="122" spans="2:16" x14ac:dyDescent="0.25">
      <c r="B122" s="9">
        <v>15</v>
      </c>
      <c r="D122" s="5" t="s">
        <v>232</v>
      </c>
      <c r="E122" s="24">
        <v>8</v>
      </c>
      <c r="F122" s="24">
        <v>3</v>
      </c>
      <c r="G122" s="24">
        <v>1</v>
      </c>
      <c r="H122" s="33">
        <f t="shared" si="6"/>
        <v>4</v>
      </c>
      <c r="I122" s="24">
        <v>0</v>
      </c>
      <c r="J122" s="26">
        <f t="shared" si="7"/>
        <v>0.5</v>
      </c>
      <c r="K122" s="24">
        <v>0</v>
      </c>
      <c r="L122" s="24">
        <v>1</v>
      </c>
      <c r="M122" s="24">
        <v>0</v>
      </c>
      <c r="N122" s="24">
        <v>0</v>
      </c>
      <c r="O122" s="24">
        <v>1</v>
      </c>
      <c r="P122" s="24">
        <v>0</v>
      </c>
    </row>
    <row r="123" spans="2:16" x14ac:dyDescent="0.25">
      <c r="B123" s="9">
        <v>16</v>
      </c>
      <c r="D123" s="5" t="s">
        <v>35</v>
      </c>
      <c r="E123" s="24">
        <v>20</v>
      </c>
      <c r="F123" s="24">
        <v>1</v>
      </c>
      <c r="G123" s="24">
        <v>3</v>
      </c>
      <c r="H123" s="33">
        <f t="shared" si="6"/>
        <v>4</v>
      </c>
      <c r="I123" s="24">
        <v>10</v>
      </c>
      <c r="J123" s="26">
        <f t="shared" si="7"/>
        <v>0.2</v>
      </c>
      <c r="K123" s="24">
        <v>0</v>
      </c>
      <c r="L123" s="24">
        <v>0</v>
      </c>
      <c r="M123" s="24">
        <v>0</v>
      </c>
      <c r="N123" s="24">
        <v>0</v>
      </c>
      <c r="O123" s="24">
        <v>0</v>
      </c>
      <c r="P123" s="24">
        <v>0</v>
      </c>
    </row>
    <row r="124" spans="2:16" x14ac:dyDescent="0.25">
      <c r="B124" s="9">
        <v>17</v>
      </c>
      <c r="D124" s="5" t="s">
        <v>22</v>
      </c>
      <c r="E124" s="24">
        <v>4</v>
      </c>
      <c r="F124" s="24">
        <v>2</v>
      </c>
      <c r="G124" s="24">
        <v>1</v>
      </c>
      <c r="H124" s="33">
        <f t="shared" si="6"/>
        <v>3</v>
      </c>
      <c r="I124" s="24">
        <v>0</v>
      </c>
      <c r="J124" s="26">
        <f t="shared" si="7"/>
        <v>0.75</v>
      </c>
      <c r="K124" s="24">
        <v>1</v>
      </c>
      <c r="L124" s="24">
        <v>0</v>
      </c>
      <c r="M124" s="24">
        <v>0</v>
      </c>
      <c r="N124" s="24">
        <v>0</v>
      </c>
      <c r="O124" s="24">
        <v>0</v>
      </c>
      <c r="P124" s="24">
        <v>0</v>
      </c>
    </row>
    <row r="125" spans="2:16" x14ac:dyDescent="0.25">
      <c r="B125" s="9">
        <v>18</v>
      </c>
      <c r="D125" s="5" t="s">
        <v>358</v>
      </c>
      <c r="E125" s="24">
        <v>1</v>
      </c>
      <c r="F125" s="24">
        <v>1</v>
      </c>
      <c r="G125" s="24">
        <v>1</v>
      </c>
      <c r="H125" s="33">
        <f t="shared" si="6"/>
        <v>2</v>
      </c>
      <c r="I125" s="24">
        <v>0</v>
      </c>
      <c r="J125" s="26">
        <f t="shared" si="7"/>
        <v>2</v>
      </c>
      <c r="K125" s="24">
        <v>0</v>
      </c>
      <c r="L125" s="24">
        <v>0</v>
      </c>
      <c r="M125" s="24">
        <v>0</v>
      </c>
      <c r="N125" s="24">
        <v>0</v>
      </c>
      <c r="O125" s="24">
        <v>0</v>
      </c>
      <c r="P125" s="24">
        <v>0</v>
      </c>
    </row>
    <row r="126" spans="2:16" x14ac:dyDescent="0.25">
      <c r="B126" s="9">
        <v>19</v>
      </c>
      <c r="D126" s="5" t="s">
        <v>17</v>
      </c>
      <c r="E126" s="24">
        <v>9</v>
      </c>
      <c r="F126" s="24">
        <v>1</v>
      </c>
      <c r="G126" s="24">
        <v>1</v>
      </c>
      <c r="H126" s="33">
        <f t="shared" si="6"/>
        <v>2</v>
      </c>
      <c r="I126" s="24">
        <v>4</v>
      </c>
      <c r="J126" s="26">
        <f t="shared" si="7"/>
        <v>0.22222222222222221</v>
      </c>
      <c r="K126" s="24">
        <v>0</v>
      </c>
      <c r="L126" s="24">
        <v>0</v>
      </c>
      <c r="M126" s="24">
        <v>0</v>
      </c>
      <c r="N126" s="24">
        <v>0</v>
      </c>
      <c r="O126" s="24">
        <v>0</v>
      </c>
      <c r="P126" s="24">
        <v>0</v>
      </c>
    </row>
    <row r="127" spans="2:16" x14ac:dyDescent="0.25">
      <c r="B127" s="9">
        <v>20</v>
      </c>
      <c r="D127" s="5" t="s">
        <v>16</v>
      </c>
      <c r="E127" s="24">
        <v>1</v>
      </c>
      <c r="F127" s="24">
        <v>1</v>
      </c>
      <c r="G127" s="24">
        <v>0</v>
      </c>
      <c r="H127" s="33">
        <f t="shared" si="6"/>
        <v>1</v>
      </c>
      <c r="I127" s="24">
        <v>0</v>
      </c>
      <c r="J127" s="26">
        <f t="shared" si="7"/>
        <v>1</v>
      </c>
      <c r="K127" s="24">
        <v>0</v>
      </c>
      <c r="L127" s="24">
        <v>0</v>
      </c>
      <c r="M127" s="24">
        <v>0</v>
      </c>
      <c r="N127" s="24">
        <v>0</v>
      </c>
      <c r="O127" s="24">
        <v>0</v>
      </c>
      <c r="P127" s="24">
        <v>0</v>
      </c>
    </row>
    <row r="128" spans="2:16" x14ac:dyDescent="0.25">
      <c r="B128" s="9">
        <v>21</v>
      </c>
      <c r="D128" s="5" t="s">
        <v>34</v>
      </c>
      <c r="E128" s="24">
        <v>3</v>
      </c>
      <c r="F128" s="24">
        <v>1</v>
      </c>
      <c r="G128" s="24">
        <v>0</v>
      </c>
      <c r="H128" s="33">
        <f t="shared" si="6"/>
        <v>1</v>
      </c>
      <c r="I128" s="24">
        <v>2</v>
      </c>
      <c r="J128" s="26">
        <f t="shared" si="7"/>
        <v>0.33333333333333331</v>
      </c>
      <c r="K128" s="24">
        <v>0</v>
      </c>
      <c r="L128" s="24">
        <v>0</v>
      </c>
      <c r="M128" s="24">
        <v>0</v>
      </c>
      <c r="N128" s="24">
        <v>0</v>
      </c>
      <c r="O128" s="24">
        <v>0</v>
      </c>
      <c r="P128" s="24">
        <v>0</v>
      </c>
    </row>
    <row r="129" spans="2:16" x14ac:dyDescent="0.25">
      <c r="B129" s="9">
        <v>22</v>
      </c>
      <c r="D129" s="5" t="s">
        <v>10</v>
      </c>
      <c r="E129" s="24">
        <v>2</v>
      </c>
      <c r="F129" s="24">
        <v>0</v>
      </c>
      <c r="G129" s="24">
        <v>1</v>
      </c>
      <c r="H129" s="33">
        <f t="shared" si="6"/>
        <v>1</v>
      </c>
      <c r="I129" s="24">
        <v>0</v>
      </c>
      <c r="J129" s="26">
        <f t="shared" si="7"/>
        <v>0.5</v>
      </c>
      <c r="K129" s="24">
        <v>0</v>
      </c>
      <c r="L129" s="24">
        <v>0</v>
      </c>
      <c r="M129" s="24">
        <v>0</v>
      </c>
      <c r="N129" s="24">
        <v>0</v>
      </c>
      <c r="O129" s="24">
        <v>0</v>
      </c>
      <c r="P129" s="24">
        <v>0</v>
      </c>
    </row>
    <row r="130" spans="2:16" x14ac:dyDescent="0.25">
      <c r="B130" s="9">
        <v>23</v>
      </c>
      <c r="D130" s="5" t="s">
        <v>320</v>
      </c>
      <c r="E130" s="24">
        <v>6</v>
      </c>
      <c r="F130" s="24">
        <v>0</v>
      </c>
      <c r="G130" s="24">
        <v>1</v>
      </c>
      <c r="H130" s="33">
        <f t="shared" si="6"/>
        <v>1</v>
      </c>
      <c r="I130" s="24">
        <v>2</v>
      </c>
      <c r="J130" s="26">
        <f t="shared" si="7"/>
        <v>0.16666666666666666</v>
      </c>
      <c r="K130" s="24">
        <v>0</v>
      </c>
      <c r="L130" s="24">
        <v>0</v>
      </c>
      <c r="M130" s="24">
        <v>0</v>
      </c>
      <c r="N130" s="24">
        <v>0</v>
      </c>
      <c r="O130" s="24">
        <v>0</v>
      </c>
      <c r="P130" s="24">
        <v>0</v>
      </c>
    </row>
    <row r="131" spans="2:16" x14ac:dyDescent="0.25">
      <c r="B131" s="9">
        <v>24</v>
      </c>
      <c r="D131" s="5" t="s">
        <v>751</v>
      </c>
      <c r="E131" s="24">
        <v>14</v>
      </c>
      <c r="F131" s="24">
        <v>0</v>
      </c>
      <c r="G131" s="24">
        <v>1</v>
      </c>
      <c r="H131" s="33">
        <f t="shared" si="6"/>
        <v>1</v>
      </c>
      <c r="I131" s="24">
        <v>0</v>
      </c>
      <c r="J131" s="26">
        <f t="shared" si="7"/>
        <v>7.1428571428571425E-2</v>
      </c>
      <c r="K131" s="24">
        <v>0</v>
      </c>
      <c r="L131" s="24">
        <v>0</v>
      </c>
      <c r="M131" s="24">
        <v>0</v>
      </c>
      <c r="N131" s="24">
        <v>0</v>
      </c>
      <c r="O131" s="24">
        <v>0</v>
      </c>
      <c r="P131" s="24">
        <v>0</v>
      </c>
    </row>
    <row r="132" spans="2:16" x14ac:dyDescent="0.25">
      <c r="B132" s="9">
        <v>25</v>
      </c>
      <c r="D132" s="5" t="s">
        <v>435</v>
      </c>
      <c r="E132" s="24">
        <v>6</v>
      </c>
      <c r="F132" s="24">
        <v>0</v>
      </c>
      <c r="G132" s="24">
        <v>0</v>
      </c>
      <c r="H132" s="33">
        <f t="shared" si="6"/>
        <v>0</v>
      </c>
      <c r="I132" s="24">
        <v>2</v>
      </c>
      <c r="J132" s="26">
        <f t="shared" si="7"/>
        <v>0</v>
      </c>
      <c r="K132" s="24">
        <v>0</v>
      </c>
      <c r="L132" s="24">
        <v>0</v>
      </c>
      <c r="M132" s="24">
        <v>0</v>
      </c>
      <c r="N132" s="24">
        <v>0</v>
      </c>
      <c r="O132" s="24">
        <v>0</v>
      </c>
      <c r="P132" s="24">
        <v>0</v>
      </c>
    </row>
    <row r="133" spans="2:16" x14ac:dyDescent="0.25">
      <c r="B133" s="9">
        <v>26</v>
      </c>
      <c r="D133" s="5" t="s">
        <v>436</v>
      </c>
      <c r="E133" s="24">
        <v>6</v>
      </c>
      <c r="F133" s="24">
        <v>0</v>
      </c>
      <c r="G133" s="24">
        <v>0</v>
      </c>
      <c r="H133" s="33">
        <f t="shared" si="6"/>
        <v>0</v>
      </c>
      <c r="I133" s="24">
        <v>28</v>
      </c>
      <c r="J133" s="26">
        <f t="shared" si="7"/>
        <v>0</v>
      </c>
      <c r="K133" s="24">
        <v>0</v>
      </c>
      <c r="L133" s="24">
        <v>0</v>
      </c>
      <c r="M133" s="24">
        <v>0</v>
      </c>
      <c r="N133" s="24">
        <v>0</v>
      </c>
      <c r="O133" s="24">
        <v>0</v>
      </c>
      <c r="P133" s="24">
        <v>0</v>
      </c>
    </row>
    <row r="134" spans="2:16" x14ac:dyDescent="0.25">
      <c r="B134" s="9">
        <v>27</v>
      </c>
      <c r="D134" s="5" t="s">
        <v>39</v>
      </c>
      <c r="E134" s="24">
        <v>1</v>
      </c>
      <c r="F134" s="24">
        <v>0</v>
      </c>
      <c r="G134" s="24">
        <v>0</v>
      </c>
      <c r="H134" s="33">
        <f t="shared" si="6"/>
        <v>0</v>
      </c>
      <c r="I134" s="24">
        <v>0</v>
      </c>
      <c r="J134" s="26">
        <f t="shared" si="7"/>
        <v>0</v>
      </c>
      <c r="K134" s="24">
        <v>0</v>
      </c>
      <c r="L134" s="24">
        <v>0</v>
      </c>
      <c r="M134" s="24">
        <v>0</v>
      </c>
      <c r="N134" s="24">
        <v>0</v>
      </c>
      <c r="O134" s="24">
        <v>0</v>
      </c>
      <c r="P134" s="24">
        <v>0</v>
      </c>
    </row>
  </sheetData>
  <sortState xmlns:xlrd2="http://schemas.microsoft.com/office/spreadsheetml/2017/richdata2" ref="D5:P47">
    <sortCondition descending="1" ref="H5:H47"/>
    <sortCondition descending="1" ref="F5:F47"/>
    <sortCondition descending="1" ref="J5:J47"/>
  </sortState>
  <mergeCells count="1">
    <mergeCell ref="D2:E2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P100"/>
  <sheetViews>
    <sheetView zoomScale="80" zoomScaleNormal="80" workbookViewId="0">
      <selection activeCell="D18" sqref="D18"/>
    </sheetView>
  </sheetViews>
  <sheetFormatPr defaultRowHeight="15" x14ac:dyDescent="0.25"/>
  <cols>
    <col min="2" max="2" width="3" bestFit="1" customWidth="1"/>
    <col min="3" max="3" width="3.5703125" customWidth="1"/>
    <col min="4" max="4" width="20.7109375" bestFit="1" customWidth="1"/>
    <col min="5" max="5" width="9.140625" style="81"/>
    <col min="6" max="7" width="9.140625" style="17"/>
    <col min="8" max="8" width="9.140625" style="72"/>
    <col min="9" max="9" width="9.140625" style="17"/>
    <col min="10" max="10" width="9.140625" style="25"/>
    <col min="11" max="16" width="9.140625" style="17"/>
  </cols>
  <sheetData>
    <row r="3" spans="2:16" x14ac:dyDescent="0.25">
      <c r="C3" s="1" t="s">
        <v>474</v>
      </c>
    </row>
    <row r="5" spans="2:16" x14ac:dyDescent="0.25">
      <c r="D5" s="8" t="s">
        <v>0</v>
      </c>
      <c r="E5" s="82" t="s">
        <v>1</v>
      </c>
      <c r="F5" s="18" t="s">
        <v>2</v>
      </c>
      <c r="G5" s="18" t="s">
        <v>3</v>
      </c>
      <c r="H5" s="71" t="s">
        <v>4</v>
      </c>
      <c r="I5" s="18" t="s">
        <v>5</v>
      </c>
      <c r="J5" s="27" t="s">
        <v>38</v>
      </c>
      <c r="K5" s="18" t="s">
        <v>41</v>
      </c>
      <c r="L5" s="18" t="s">
        <v>42</v>
      </c>
      <c r="M5" s="18" t="s">
        <v>45</v>
      </c>
      <c r="N5" s="18" t="s">
        <v>46</v>
      </c>
      <c r="O5" s="18" t="s">
        <v>44</v>
      </c>
      <c r="P5" s="18" t="s">
        <v>43</v>
      </c>
    </row>
    <row r="6" spans="2:16" x14ac:dyDescent="0.25">
      <c r="B6" s="9">
        <v>1</v>
      </c>
      <c r="D6" t="s">
        <v>13</v>
      </c>
      <c r="E6" s="81">
        <v>239</v>
      </c>
      <c r="F6" s="17">
        <v>414</v>
      </c>
      <c r="G6" s="17">
        <v>232</v>
      </c>
      <c r="H6" s="72">
        <f t="shared" ref="H6:H37" si="0">F6+G6</f>
        <v>646</v>
      </c>
      <c r="I6" s="17">
        <v>192</v>
      </c>
      <c r="J6" s="25">
        <f t="shared" ref="J6:J37" si="1">H6/E6</f>
        <v>2.7029288702928871</v>
      </c>
      <c r="K6" s="17">
        <v>29</v>
      </c>
      <c r="L6" s="17">
        <v>21</v>
      </c>
      <c r="M6" s="17">
        <v>37</v>
      </c>
      <c r="N6" s="17">
        <v>5</v>
      </c>
      <c r="O6" s="17">
        <v>11</v>
      </c>
      <c r="P6" s="17">
        <v>6</v>
      </c>
    </row>
    <row r="7" spans="2:16" x14ac:dyDescent="0.25">
      <c r="B7" s="9">
        <v>2</v>
      </c>
      <c r="D7" s="86" t="s">
        <v>7</v>
      </c>
      <c r="E7" s="87">
        <v>270</v>
      </c>
      <c r="F7" s="87">
        <v>328</v>
      </c>
      <c r="G7" s="87">
        <v>198</v>
      </c>
      <c r="H7" s="72">
        <f t="shared" si="0"/>
        <v>526</v>
      </c>
      <c r="I7" s="17">
        <v>64</v>
      </c>
      <c r="J7" s="25">
        <f t="shared" si="1"/>
        <v>1.9481481481481482</v>
      </c>
      <c r="K7" s="17">
        <v>19</v>
      </c>
      <c r="L7" s="17">
        <v>13</v>
      </c>
      <c r="M7" s="17">
        <v>27</v>
      </c>
      <c r="N7" s="17">
        <v>4</v>
      </c>
      <c r="O7" s="17">
        <v>2</v>
      </c>
      <c r="P7" s="17">
        <v>3</v>
      </c>
    </row>
    <row r="8" spans="2:16" x14ac:dyDescent="0.25">
      <c r="B8" s="9">
        <v>3</v>
      </c>
      <c r="D8" s="86" t="s">
        <v>30</v>
      </c>
      <c r="E8" s="87">
        <v>237</v>
      </c>
      <c r="F8" s="87">
        <v>161</v>
      </c>
      <c r="G8" s="87">
        <v>200</v>
      </c>
      <c r="H8" s="72">
        <f t="shared" si="0"/>
        <v>361</v>
      </c>
      <c r="I8" s="17">
        <v>80</v>
      </c>
      <c r="J8" s="25">
        <f t="shared" si="1"/>
        <v>1.5232067510548524</v>
      </c>
      <c r="K8" s="17">
        <v>6</v>
      </c>
      <c r="L8" s="17">
        <v>5</v>
      </c>
      <c r="M8" s="17">
        <v>13</v>
      </c>
      <c r="N8" s="17">
        <v>1</v>
      </c>
      <c r="O8" s="17">
        <v>2</v>
      </c>
      <c r="P8" s="17">
        <v>1</v>
      </c>
    </row>
    <row r="9" spans="2:16" x14ac:dyDescent="0.25">
      <c r="B9" s="9">
        <v>4</v>
      </c>
      <c r="D9" s="86" t="s">
        <v>8</v>
      </c>
      <c r="E9" s="87">
        <v>233</v>
      </c>
      <c r="F9" s="87">
        <v>196</v>
      </c>
      <c r="G9" s="87">
        <v>142</v>
      </c>
      <c r="H9" s="72">
        <f t="shared" si="0"/>
        <v>338</v>
      </c>
      <c r="I9" s="17">
        <v>122</v>
      </c>
      <c r="J9" s="25">
        <f t="shared" si="1"/>
        <v>1.4506437768240343</v>
      </c>
      <c r="K9" s="17">
        <v>14</v>
      </c>
      <c r="L9" s="17">
        <v>0</v>
      </c>
      <c r="M9" s="17">
        <v>18</v>
      </c>
      <c r="N9" s="17">
        <v>0</v>
      </c>
      <c r="O9" s="17">
        <v>1</v>
      </c>
      <c r="P9" s="17">
        <v>0</v>
      </c>
    </row>
    <row r="10" spans="2:16" x14ac:dyDescent="0.25">
      <c r="B10" s="9">
        <v>5</v>
      </c>
      <c r="D10" s="86" t="s">
        <v>324</v>
      </c>
      <c r="E10" s="87">
        <v>154</v>
      </c>
      <c r="F10" s="87">
        <v>142</v>
      </c>
      <c r="G10" s="87">
        <v>142</v>
      </c>
      <c r="H10" s="72">
        <f t="shared" si="0"/>
        <v>284</v>
      </c>
      <c r="I10" s="17">
        <v>66</v>
      </c>
      <c r="J10" s="25">
        <f t="shared" si="1"/>
        <v>1.8441558441558441</v>
      </c>
      <c r="K10" s="17">
        <v>3</v>
      </c>
      <c r="L10" s="17">
        <v>7</v>
      </c>
      <c r="M10" s="17">
        <v>10</v>
      </c>
      <c r="N10" s="17">
        <v>1</v>
      </c>
      <c r="O10" s="17">
        <v>1</v>
      </c>
      <c r="P10" s="17">
        <v>1</v>
      </c>
    </row>
    <row r="11" spans="2:16" x14ac:dyDescent="0.25">
      <c r="B11" s="9">
        <v>6</v>
      </c>
      <c r="D11" s="86" t="s">
        <v>10</v>
      </c>
      <c r="E11" s="87">
        <v>287</v>
      </c>
      <c r="F11" s="87">
        <v>129</v>
      </c>
      <c r="G11" s="87">
        <v>145</v>
      </c>
      <c r="H11" s="72">
        <f t="shared" si="0"/>
        <v>274</v>
      </c>
      <c r="I11" s="17">
        <v>48</v>
      </c>
      <c r="J11" s="25">
        <f t="shared" si="1"/>
        <v>0.95470383275261328</v>
      </c>
      <c r="K11" s="17">
        <v>5</v>
      </c>
      <c r="L11" s="17">
        <v>7</v>
      </c>
      <c r="M11" s="17">
        <v>13</v>
      </c>
      <c r="N11" s="17">
        <v>0</v>
      </c>
      <c r="O11" s="17">
        <v>4</v>
      </c>
      <c r="P11" s="17">
        <v>0</v>
      </c>
    </row>
    <row r="12" spans="2:16" x14ac:dyDescent="0.25">
      <c r="B12" s="9">
        <v>7</v>
      </c>
      <c r="D12" s="86" t="s">
        <v>39</v>
      </c>
      <c r="E12" s="87">
        <v>216</v>
      </c>
      <c r="F12" s="87">
        <v>128</v>
      </c>
      <c r="G12" s="87">
        <v>110</v>
      </c>
      <c r="H12" s="72">
        <f t="shared" si="0"/>
        <v>238</v>
      </c>
      <c r="I12" s="17">
        <v>22</v>
      </c>
      <c r="J12" s="25">
        <f t="shared" si="1"/>
        <v>1.1018518518518519</v>
      </c>
      <c r="K12" s="17">
        <v>9</v>
      </c>
      <c r="L12" s="17">
        <v>1</v>
      </c>
      <c r="M12" s="17">
        <v>8</v>
      </c>
      <c r="N12" s="17">
        <v>0</v>
      </c>
      <c r="O12" s="17">
        <v>0</v>
      </c>
      <c r="P12" s="17">
        <v>0</v>
      </c>
    </row>
    <row r="13" spans="2:16" x14ac:dyDescent="0.25">
      <c r="B13" s="9">
        <v>8</v>
      </c>
      <c r="D13" s="86" t="s">
        <v>9</v>
      </c>
      <c r="E13" s="87">
        <v>209</v>
      </c>
      <c r="F13" s="87">
        <v>75</v>
      </c>
      <c r="G13" s="87">
        <v>97</v>
      </c>
      <c r="H13" s="72">
        <f t="shared" si="0"/>
        <v>172</v>
      </c>
      <c r="I13" s="17">
        <v>44</v>
      </c>
      <c r="J13" s="25">
        <f t="shared" si="1"/>
        <v>0.82296650717703346</v>
      </c>
      <c r="K13" s="17">
        <v>7</v>
      </c>
      <c r="L13" s="17">
        <v>3</v>
      </c>
      <c r="M13" s="17">
        <v>8</v>
      </c>
      <c r="N13" s="17">
        <v>0</v>
      </c>
      <c r="O13" s="17">
        <v>0</v>
      </c>
      <c r="P13" s="17">
        <v>0</v>
      </c>
    </row>
    <row r="14" spans="2:16" x14ac:dyDescent="0.25">
      <c r="B14" s="9">
        <v>9</v>
      </c>
      <c r="D14" s="86" t="s">
        <v>14</v>
      </c>
      <c r="E14" s="87">
        <v>215</v>
      </c>
      <c r="F14" s="87">
        <v>87</v>
      </c>
      <c r="G14" s="87">
        <v>82</v>
      </c>
      <c r="H14" s="72">
        <f t="shared" si="0"/>
        <v>169</v>
      </c>
      <c r="I14" s="17">
        <v>56</v>
      </c>
      <c r="J14" s="25">
        <f t="shared" si="1"/>
        <v>0.78604651162790695</v>
      </c>
      <c r="K14" s="17">
        <v>13</v>
      </c>
      <c r="L14" s="17">
        <v>2</v>
      </c>
      <c r="M14" s="17">
        <v>8</v>
      </c>
      <c r="N14" s="17">
        <v>1</v>
      </c>
      <c r="O14" s="17">
        <v>0</v>
      </c>
      <c r="P14" s="17">
        <v>0</v>
      </c>
    </row>
    <row r="15" spans="2:16" x14ac:dyDescent="0.25">
      <c r="B15" s="9">
        <v>10</v>
      </c>
      <c r="D15" s="84" t="s">
        <v>356</v>
      </c>
      <c r="E15" s="85">
        <v>62</v>
      </c>
      <c r="F15" s="85">
        <v>94</v>
      </c>
      <c r="G15" s="85">
        <v>53</v>
      </c>
      <c r="H15" s="72">
        <f t="shared" si="0"/>
        <v>147</v>
      </c>
      <c r="I15" s="17">
        <v>6</v>
      </c>
      <c r="J15" s="25">
        <f t="shared" si="1"/>
        <v>2.370967741935484</v>
      </c>
      <c r="K15" s="17">
        <v>6</v>
      </c>
      <c r="L15" s="17">
        <v>4</v>
      </c>
      <c r="M15" s="17">
        <v>14</v>
      </c>
      <c r="N15" s="17">
        <v>0</v>
      </c>
      <c r="O15" s="17">
        <v>4</v>
      </c>
      <c r="P15" s="17">
        <v>1</v>
      </c>
    </row>
    <row r="16" spans="2:16" x14ac:dyDescent="0.25">
      <c r="B16" s="9">
        <v>11</v>
      </c>
      <c r="D16" s="84" t="s">
        <v>16</v>
      </c>
      <c r="E16" s="85">
        <v>253</v>
      </c>
      <c r="F16" s="85">
        <v>54</v>
      </c>
      <c r="G16" s="85">
        <v>89</v>
      </c>
      <c r="H16" s="72">
        <f t="shared" si="0"/>
        <v>143</v>
      </c>
      <c r="I16" s="17">
        <v>151</v>
      </c>
      <c r="J16" s="25">
        <f t="shared" si="1"/>
        <v>0.56521739130434778</v>
      </c>
      <c r="K16" s="17">
        <v>3</v>
      </c>
      <c r="L16" s="17">
        <v>4</v>
      </c>
      <c r="M16" s="17">
        <v>7</v>
      </c>
      <c r="N16" s="17">
        <v>0</v>
      </c>
      <c r="O16" s="17">
        <v>0</v>
      </c>
      <c r="P16" s="17">
        <v>0</v>
      </c>
    </row>
    <row r="17" spans="2:16" x14ac:dyDescent="0.25">
      <c r="B17" s="9">
        <v>12</v>
      </c>
      <c r="D17" t="s">
        <v>12</v>
      </c>
      <c r="E17" s="81">
        <v>218</v>
      </c>
      <c r="F17" s="17">
        <v>41</v>
      </c>
      <c r="G17" s="17">
        <v>85</v>
      </c>
      <c r="H17" s="72">
        <f t="shared" si="0"/>
        <v>126</v>
      </c>
      <c r="I17" s="17">
        <v>70</v>
      </c>
      <c r="J17" s="25">
        <f t="shared" si="1"/>
        <v>0.57798165137614677</v>
      </c>
      <c r="K17" s="17">
        <v>5</v>
      </c>
      <c r="L17" s="17">
        <v>1</v>
      </c>
      <c r="M17" s="17">
        <v>4</v>
      </c>
      <c r="N17" s="17">
        <v>0</v>
      </c>
      <c r="O17" s="17">
        <v>1</v>
      </c>
      <c r="P17" s="17">
        <v>0</v>
      </c>
    </row>
    <row r="18" spans="2:16" x14ac:dyDescent="0.25">
      <c r="B18" s="9">
        <v>13</v>
      </c>
      <c r="D18" t="s">
        <v>434</v>
      </c>
      <c r="E18" s="81">
        <v>102</v>
      </c>
      <c r="F18" s="17">
        <v>74</v>
      </c>
      <c r="G18" s="17">
        <v>43</v>
      </c>
      <c r="H18" s="72">
        <f t="shared" si="0"/>
        <v>117</v>
      </c>
      <c r="I18" s="17">
        <v>12</v>
      </c>
      <c r="J18" s="25">
        <f t="shared" si="1"/>
        <v>1.1470588235294117</v>
      </c>
      <c r="K18" s="17">
        <v>5</v>
      </c>
      <c r="L18" s="17">
        <v>1</v>
      </c>
      <c r="M18" s="17">
        <v>5</v>
      </c>
      <c r="N18" s="17">
        <v>0</v>
      </c>
      <c r="O18" s="17">
        <v>0</v>
      </c>
      <c r="P18" s="17">
        <v>1</v>
      </c>
    </row>
    <row r="19" spans="2:16" x14ac:dyDescent="0.25">
      <c r="B19" s="9">
        <v>14</v>
      </c>
      <c r="D19" t="s">
        <v>36</v>
      </c>
      <c r="E19" s="81">
        <v>182</v>
      </c>
      <c r="F19" s="17">
        <v>65</v>
      </c>
      <c r="G19" s="17">
        <v>48</v>
      </c>
      <c r="H19" s="72">
        <f t="shared" si="0"/>
        <v>113</v>
      </c>
      <c r="I19" s="17">
        <v>16</v>
      </c>
      <c r="J19" s="25">
        <f t="shared" si="1"/>
        <v>0.62087912087912089</v>
      </c>
      <c r="K19" s="17">
        <v>1</v>
      </c>
      <c r="L19" s="17">
        <v>1</v>
      </c>
      <c r="M19" s="17">
        <v>7</v>
      </c>
      <c r="N19" s="17">
        <v>0</v>
      </c>
      <c r="O19" s="17">
        <v>0</v>
      </c>
      <c r="P19" s="17">
        <v>0</v>
      </c>
    </row>
    <row r="20" spans="2:16" x14ac:dyDescent="0.25">
      <c r="B20" s="9">
        <v>15</v>
      </c>
      <c r="D20" t="s">
        <v>1178</v>
      </c>
      <c r="E20" s="81">
        <v>73</v>
      </c>
      <c r="F20" s="17">
        <v>62</v>
      </c>
      <c r="G20" s="17">
        <v>49</v>
      </c>
      <c r="H20" s="72">
        <f t="shared" si="0"/>
        <v>111</v>
      </c>
      <c r="I20" s="17">
        <v>20</v>
      </c>
      <c r="J20" s="25">
        <f t="shared" si="1"/>
        <v>1.5205479452054795</v>
      </c>
      <c r="K20" s="17">
        <v>4</v>
      </c>
      <c r="L20" s="17">
        <v>3</v>
      </c>
      <c r="M20" s="17">
        <v>9</v>
      </c>
      <c r="N20" s="17">
        <v>0</v>
      </c>
      <c r="O20" s="17">
        <v>0</v>
      </c>
      <c r="P20" s="17">
        <v>2</v>
      </c>
    </row>
    <row r="21" spans="2:16" x14ac:dyDescent="0.25">
      <c r="B21" s="9">
        <v>16</v>
      </c>
      <c r="D21" t="s">
        <v>22</v>
      </c>
      <c r="E21" s="81">
        <v>221</v>
      </c>
      <c r="F21" s="17">
        <v>34</v>
      </c>
      <c r="G21" s="17">
        <v>62</v>
      </c>
      <c r="H21" s="72">
        <f t="shared" si="0"/>
        <v>96</v>
      </c>
      <c r="I21" s="17">
        <v>87</v>
      </c>
      <c r="J21" s="25">
        <f t="shared" si="1"/>
        <v>0.43438914027149322</v>
      </c>
      <c r="K21" s="17">
        <v>8</v>
      </c>
      <c r="L21" s="17">
        <v>0</v>
      </c>
      <c r="M21" s="17">
        <v>1</v>
      </c>
      <c r="N21" s="17">
        <v>0</v>
      </c>
      <c r="O21" s="17">
        <v>0</v>
      </c>
      <c r="P21" s="17">
        <v>0</v>
      </c>
    </row>
    <row r="22" spans="2:16" x14ac:dyDescent="0.25">
      <c r="B22" s="9">
        <v>17</v>
      </c>
      <c r="D22" t="s">
        <v>225</v>
      </c>
      <c r="E22" s="81">
        <v>192</v>
      </c>
      <c r="F22" s="17">
        <v>36</v>
      </c>
      <c r="G22" s="17">
        <v>58</v>
      </c>
      <c r="H22" s="72">
        <f t="shared" si="0"/>
        <v>94</v>
      </c>
      <c r="I22" s="17">
        <v>53</v>
      </c>
      <c r="J22" s="25">
        <f t="shared" si="1"/>
        <v>0.48958333333333331</v>
      </c>
      <c r="K22" s="17">
        <v>2</v>
      </c>
      <c r="L22" s="17">
        <v>1</v>
      </c>
      <c r="M22" s="17">
        <v>4</v>
      </c>
      <c r="N22" s="17">
        <v>0</v>
      </c>
      <c r="O22" s="17">
        <v>2</v>
      </c>
      <c r="P22" s="17">
        <v>1</v>
      </c>
    </row>
    <row r="23" spans="2:16" x14ac:dyDescent="0.25">
      <c r="B23" s="9">
        <v>18</v>
      </c>
      <c r="D23" t="s">
        <v>358</v>
      </c>
      <c r="E23" s="81">
        <v>119</v>
      </c>
      <c r="F23" s="17">
        <v>58</v>
      </c>
      <c r="G23" s="17">
        <v>35</v>
      </c>
      <c r="H23" s="72">
        <f t="shared" si="0"/>
        <v>93</v>
      </c>
      <c r="I23" s="17">
        <v>10</v>
      </c>
      <c r="J23" s="25">
        <f t="shared" si="1"/>
        <v>0.78151260504201681</v>
      </c>
      <c r="K23" s="17">
        <v>5</v>
      </c>
      <c r="L23" s="17">
        <v>2</v>
      </c>
      <c r="M23" s="17">
        <v>8</v>
      </c>
      <c r="N23" s="17">
        <v>0</v>
      </c>
      <c r="O23" s="17">
        <v>0</v>
      </c>
      <c r="P23" s="17">
        <v>0</v>
      </c>
    </row>
    <row r="24" spans="2:16" x14ac:dyDescent="0.25">
      <c r="B24" s="9">
        <v>19</v>
      </c>
      <c r="D24" t="s">
        <v>6</v>
      </c>
      <c r="E24" s="81">
        <v>56</v>
      </c>
      <c r="F24" s="17">
        <v>56</v>
      </c>
      <c r="G24" s="17">
        <v>36</v>
      </c>
      <c r="H24" s="72">
        <f t="shared" si="0"/>
        <v>92</v>
      </c>
      <c r="I24" s="17">
        <v>20</v>
      </c>
      <c r="J24" s="25">
        <f t="shared" si="1"/>
        <v>1.6428571428571428</v>
      </c>
      <c r="K24" s="17">
        <v>4</v>
      </c>
      <c r="L24" s="17">
        <v>1</v>
      </c>
      <c r="M24" s="17">
        <v>8</v>
      </c>
      <c r="N24" s="17">
        <v>0</v>
      </c>
      <c r="O24" s="17">
        <v>0</v>
      </c>
      <c r="P24" s="17">
        <v>0</v>
      </c>
    </row>
    <row r="25" spans="2:16" x14ac:dyDescent="0.25">
      <c r="B25" s="9">
        <v>20</v>
      </c>
      <c r="D25" t="s">
        <v>255</v>
      </c>
      <c r="E25" s="81">
        <v>155</v>
      </c>
      <c r="F25" s="17">
        <v>39</v>
      </c>
      <c r="G25" s="17">
        <v>38</v>
      </c>
      <c r="H25" s="72">
        <f t="shared" si="0"/>
        <v>77</v>
      </c>
      <c r="I25" s="17">
        <v>8</v>
      </c>
      <c r="J25" s="25">
        <f t="shared" si="1"/>
        <v>0.49677419354838709</v>
      </c>
      <c r="K25" s="17">
        <v>4</v>
      </c>
      <c r="L25" s="17">
        <v>0</v>
      </c>
      <c r="M25" s="17">
        <v>6</v>
      </c>
      <c r="N25" s="17">
        <v>0</v>
      </c>
      <c r="O25" s="17">
        <v>0</v>
      </c>
      <c r="P25" s="17">
        <v>0</v>
      </c>
    </row>
    <row r="26" spans="2:16" x14ac:dyDescent="0.25">
      <c r="B26" s="9">
        <v>21</v>
      </c>
      <c r="D26" t="s">
        <v>77</v>
      </c>
      <c r="E26" s="81">
        <v>35</v>
      </c>
      <c r="F26" s="17">
        <v>32</v>
      </c>
      <c r="G26" s="17">
        <v>33</v>
      </c>
      <c r="H26" s="72">
        <f t="shared" si="0"/>
        <v>65</v>
      </c>
      <c r="I26" s="17">
        <v>84</v>
      </c>
      <c r="J26" s="25">
        <f t="shared" si="1"/>
        <v>1.8571428571428572</v>
      </c>
      <c r="K26" s="17">
        <v>1</v>
      </c>
      <c r="L26" s="17">
        <v>1</v>
      </c>
      <c r="M26" s="17">
        <v>5</v>
      </c>
      <c r="N26" s="17">
        <v>0</v>
      </c>
      <c r="O26" s="17">
        <v>2</v>
      </c>
      <c r="P26" s="17">
        <v>0</v>
      </c>
    </row>
    <row r="27" spans="2:16" x14ac:dyDescent="0.25">
      <c r="B27" s="9">
        <v>22</v>
      </c>
      <c r="D27" t="s">
        <v>20</v>
      </c>
      <c r="E27" s="81">
        <v>85</v>
      </c>
      <c r="F27" s="17">
        <v>26</v>
      </c>
      <c r="G27" s="17">
        <v>38</v>
      </c>
      <c r="H27" s="72">
        <f t="shared" si="0"/>
        <v>64</v>
      </c>
      <c r="I27" s="17">
        <v>36</v>
      </c>
      <c r="J27" s="25">
        <f t="shared" si="1"/>
        <v>0.75294117647058822</v>
      </c>
      <c r="K27" s="17">
        <v>2</v>
      </c>
      <c r="L27" s="17">
        <v>0</v>
      </c>
      <c r="M27" s="17">
        <v>5</v>
      </c>
      <c r="N27" s="17">
        <v>0</v>
      </c>
      <c r="O27" s="17">
        <v>0</v>
      </c>
      <c r="P27" s="17">
        <v>0</v>
      </c>
    </row>
    <row r="28" spans="2:16" x14ac:dyDescent="0.25">
      <c r="B28" s="9">
        <v>23</v>
      </c>
      <c r="D28" t="s">
        <v>11</v>
      </c>
      <c r="E28" s="81">
        <v>81</v>
      </c>
      <c r="F28" s="17">
        <v>36</v>
      </c>
      <c r="G28" s="17">
        <v>21</v>
      </c>
      <c r="H28" s="72">
        <f t="shared" si="0"/>
        <v>57</v>
      </c>
      <c r="I28" s="17">
        <v>32</v>
      </c>
      <c r="J28" s="25">
        <f t="shared" si="1"/>
        <v>0.70370370370370372</v>
      </c>
      <c r="K28" s="17">
        <v>4</v>
      </c>
      <c r="L28" s="17">
        <v>0</v>
      </c>
      <c r="M28" s="17">
        <v>1</v>
      </c>
      <c r="N28" s="17">
        <v>0</v>
      </c>
      <c r="O28" s="17">
        <v>0</v>
      </c>
      <c r="P28" s="17">
        <v>0</v>
      </c>
    </row>
    <row r="29" spans="2:16" x14ac:dyDescent="0.25">
      <c r="B29" s="9">
        <v>24</v>
      </c>
      <c r="D29" t="s">
        <v>438</v>
      </c>
      <c r="E29" s="81">
        <v>45</v>
      </c>
      <c r="F29" s="17">
        <v>39</v>
      </c>
      <c r="G29" s="17">
        <v>16</v>
      </c>
      <c r="H29" s="72">
        <f t="shared" si="0"/>
        <v>55</v>
      </c>
      <c r="I29" s="17">
        <v>15</v>
      </c>
      <c r="J29" s="25">
        <f t="shared" si="1"/>
        <v>1.2222222222222223</v>
      </c>
      <c r="K29" s="17">
        <v>1</v>
      </c>
      <c r="L29" s="17">
        <v>0</v>
      </c>
      <c r="M29" s="17">
        <v>4</v>
      </c>
      <c r="N29" s="17">
        <v>0</v>
      </c>
      <c r="O29" s="17">
        <v>0</v>
      </c>
      <c r="P29" s="17">
        <v>0</v>
      </c>
    </row>
    <row r="30" spans="2:16" x14ac:dyDescent="0.25">
      <c r="B30" s="9">
        <v>25</v>
      </c>
      <c r="D30" t="s">
        <v>227</v>
      </c>
      <c r="E30" s="81">
        <v>133</v>
      </c>
      <c r="F30" s="17">
        <v>26</v>
      </c>
      <c r="G30" s="17">
        <v>28</v>
      </c>
      <c r="H30" s="72">
        <f t="shared" si="0"/>
        <v>54</v>
      </c>
      <c r="I30" s="17">
        <v>33</v>
      </c>
      <c r="J30" s="25">
        <f t="shared" si="1"/>
        <v>0.40601503759398494</v>
      </c>
      <c r="K30" s="17">
        <v>4</v>
      </c>
      <c r="L30" s="17">
        <v>0</v>
      </c>
      <c r="M30" s="17">
        <v>4</v>
      </c>
      <c r="N30" s="17">
        <v>0</v>
      </c>
      <c r="O30" s="17">
        <v>0</v>
      </c>
      <c r="P30" s="17">
        <v>0</v>
      </c>
    </row>
    <row r="31" spans="2:16" x14ac:dyDescent="0.25">
      <c r="B31" s="9">
        <v>26</v>
      </c>
      <c r="D31" t="s">
        <v>17</v>
      </c>
      <c r="E31" s="81">
        <v>173</v>
      </c>
      <c r="F31" s="17">
        <v>31</v>
      </c>
      <c r="G31" s="17">
        <v>22</v>
      </c>
      <c r="H31" s="72">
        <f t="shared" si="0"/>
        <v>53</v>
      </c>
      <c r="I31" s="17">
        <v>34</v>
      </c>
      <c r="J31" s="25">
        <f t="shared" si="1"/>
        <v>0.30635838150289019</v>
      </c>
      <c r="K31" s="17">
        <v>3</v>
      </c>
      <c r="L31" s="17">
        <v>0</v>
      </c>
      <c r="M31" s="17">
        <v>1</v>
      </c>
      <c r="N31" s="17">
        <v>0</v>
      </c>
      <c r="O31" s="17">
        <v>0</v>
      </c>
      <c r="P31" s="17">
        <v>0</v>
      </c>
    </row>
    <row r="32" spans="2:16" x14ac:dyDescent="0.25">
      <c r="B32" s="9">
        <v>27</v>
      </c>
      <c r="D32" t="s">
        <v>34</v>
      </c>
      <c r="E32" s="81">
        <v>41</v>
      </c>
      <c r="F32" s="17">
        <v>36</v>
      </c>
      <c r="G32" s="17">
        <v>16</v>
      </c>
      <c r="H32" s="72">
        <f t="shared" si="0"/>
        <v>52</v>
      </c>
      <c r="I32" s="17">
        <v>14</v>
      </c>
      <c r="J32" s="25">
        <f t="shared" si="1"/>
        <v>1.2682926829268293</v>
      </c>
      <c r="K32" s="17">
        <v>1</v>
      </c>
      <c r="L32" s="17">
        <v>2</v>
      </c>
      <c r="M32" s="17">
        <v>5</v>
      </c>
      <c r="N32" s="17">
        <v>0</v>
      </c>
      <c r="O32" s="17">
        <v>0</v>
      </c>
      <c r="P32" s="17">
        <v>0</v>
      </c>
    </row>
    <row r="33" spans="2:16" x14ac:dyDescent="0.25">
      <c r="B33" s="9">
        <v>28</v>
      </c>
      <c r="D33" t="s">
        <v>232</v>
      </c>
      <c r="E33" s="81">
        <v>133</v>
      </c>
      <c r="F33" s="17">
        <v>27</v>
      </c>
      <c r="G33" s="17">
        <v>24</v>
      </c>
      <c r="H33" s="72">
        <f t="shared" si="0"/>
        <v>51</v>
      </c>
      <c r="I33" s="17">
        <v>22</v>
      </c>
      <c r="J33" s="25">
        <f t="shared" si="1"/>
        <v>0.38345864661654133</v>
      </c>
      <c r="K33" s="17">
        <v>1</v>
      </c>
      <c r="L33" s="17">
        <v>1</v>
      </c>
      <c r="M33" s="17">
        <v>2</v>
      </c>
      <c r="N33" s="17">
        <v>0</v>
      </c>
      <c r="O33" s="17">
        <v>1</v>
      </c>
      <c r="P33" s="17">
        <v>0</v>
      </c>
    </row>
    <row r="34" spans="2:16" x14ac:dyDescent="0.25">
      <c r="B34" s="9">
        <v>29</v>
      </c>
      <c r="D34" t="s">
        <v>226</v>
      </c>
      <c r="E34" s="81">
        <v>76</v>
      </c>
      <c r="F34" s="17">
        <v>21</v>
      </c>
      <c r="G34" s="17">
        <v>21</v>
      </c>
      <c r="H34" s="72">
        <f t="shared" si="0"/>
        <v>42</v>
      </c>
      <c r="I34" s="17">
        <v>2</v>
      </c>
      <c r="J34" s="25">
        <f t="shared" si="1"/>
        <v>0.55263157894736847</v>
      </c>
      <c r="K34" s="17">
        <v>1</v>
      </c>
      <c r="L34" s="17">
        <v>0</v>
      </c>
      <c r="M34" s="17">
        <v>3</v>
      </c>
      <c r="N34" s="17">
        <v>0</v>
      </c>
      <c r="O34" s="17">
        <v>0</v>
      </c>
      <c r="P34" s="17">
        <v>0</v>
      </c>
    </row>
    <row r="35" spans="2:16" x14ac:dyDescent="0.25">
      <c r="B35" s="9">
        <v>30</v>
      </c>
      <c r="D35" t="s">
        <v>15</v>
      </c>
      <c r="E35" s="81">
        <v>101</v>
      </c>
      <c r="F35" s="17">
        <v>9</v>
      </c>
      <c r="G35" s="17">
        <v>33</v>
      </c>
      <c r="H35" s="72">
        <f t="shared" si="0"/>
        <v>42</v>
      </c>
      <c r="I35" s="17">
        <v>85</v>
      </c>
      <c r="J35" s="25">
        <f t="shared" si="1"/>
        <v>0.41584158415841582</v>
      </c>
      <c r="K35" s="17">
        <v>3</v>
      </c>
      <c r="L35" s="17">
        <v>0</v>
      </c>
      <c r="M35" s="17">
        <v>2</v>
      </c>
      <c r="N35" s="17">
        <v>1</v>
      </c>
      <c r="O35" s="17">
        <v>0</v>
      </c>
      <c r="P35" s="17">
        <v>0</v>
      </c>
    </row>
    <row r="36" spans="2:16" x14ac:dyDescent="0.25">
      <c r="B36" s="9">
        <v>31</v>
      </c>
      <c r="D36" t="s">
        <v>1188</v>
      </c>
      <c r="E36" s="81">
        <v>46</v>
      </c>
      <c r="F36" s="17">
        <v>20</v>
      </c>
      <c r="G36" s="17">
        <v>21</v>
      </c>
      <c r="H36" s="72">
        <f t="shared" si="0"/>
        <v>41</v>
      </c>
      <c r="I36" s="17">
        <v>4</v>
      </c>
      <c r="J36" s="25">
        <f t="shared" si="1"/>
        <v>0.89130434782608692</v>
      </c>
      <c r="K36" s="17">
        <v>1</v>
      </c>
      <c r="L36" s="17">
        <v>0</v>
      </c>
      <c r="M36" s="17">
        <v>2</v>
      </c>
      <c r="N36" s="17">
        <v>1</v>
      </c>
      <c r="O36" s="17">
        <v>0</v>
      </c>
      <c r="P36" s="17">
        <v>0</v>
      </c>
    </row>
    <row r="37" spans="2:16" x14ac:dyDescent="0.25">
      <c r="B37" s="9">
        <v>32</v>
      </c>
      <c r="D37" t="s">
        <v>1473</v>
      </c>
      <c r="E37" s="81">
        <v>26</v>
      </c>
      <c r="F37" s="17">
        <v>20</v>
      </c>
      <c r="G37" s="17">
        <v>15</v>
      </c>
      <c r="H37" s="72">
        <f t="shared" si="0"/>
        <v>35</v>
      </c>
      <c r="I37" s="17">
        <v>22</v>
      </c>
      <c r="J37" s="25">
        <f t="shared" si="1"/>
        <v>1.3461538461538463</v>
      </c>
      <c r="K37" s="17">
        <v>0</v>
      </c>
      <c r="L37" s="17">
        <v>1</v>
      </c>
      <c r="M37" s="17">
        <v>1</v>
      </c>
      <c r="N37" s="17">
        <v>0</v>
      </c>
      <c r="O37" s="17">
        <v>2</v>
      </c>
      <c r="P37" s="17">
        <v>3</v>
      </c>
    </row>
    <row r="38" spans="2:16" x14ac:dyDescent="0.25">
      <c r="B38" s="9">
        <v>33</v>
      </c>
      <c r="D38" t="s">
        <v>18</v>
      </c>
      <c r="E38" s="81">
        <v>36</v>
      </c>
      <c r="F38" s="17">
        <v>23</v>
      </c>
      <c r="G38" s="17">
        <v>8</v>
      </c>
      <c r="H38" s="72">
        <f t="shared" ref="H38:H69" si="2">F38+G38</f>
        <v>31</v>
      </c>
      <c r="I38" s="17">
        <v>6</v>
      </c>
      <c r="J38" s="25">
        <f t="shared" ref="J38:J69" si="3">H38/E38</f>
        <v>0.86111111111111116</v>
      </c>
      <c r="K38" s="17">
        <v>1</v>
      </c>
      <c r="L38" s="17">
        <v>0</v>
      </c>
      <c r="M38" s="17">
        <v>1</v>
      </c>
      <c r="N38" s="17">
        <v>1</v>
      </c>
      <c r="O38" s="17">
        <v>0</v>
      </c>
      <c r="P38" s="17">
        <v>1</v>
      </c>
    </row>
    <row r="39" spans="2:16" x14ac:dyDescent="0.25">
      <c r="B39" s="9">
        <v>34</v>
      </c>
      <c r="D39" t="s">
        <v>82</v>
      </c>
      <c r="E39" s="81">
        <v>33</v>
      </c>
      <c r="F39" s="17">
        <v>17</v>
      </c>
      <c r="G39" s="17">
        <v>9</v>
      </c>
      <c r="H39" s="72">
        <f t="shared" si="2"/>
        <v>26</v>
      </c>
      <c r="I39" s="17">
        <v>12</v>
      </c>
      <c r="J39" s="25">
        <f t="shared" si="3"/>
        <v>0.78787878787878785</v>
      </c>
      <c r="K39" s="17">
        <v>0</v>
      </c>
      <c r="L39" s="17">
        <v>0</v>
      </c>
      <c r="M39" s="17">
        <v>2</v>
      </c>
      <c r="N39" s="17">
        <v>0</v>
      </c>
      <c r="O39" s="17">
        <v>0</v>
      </c>
      <c r="P39" s="17">
        <v>0</v>
      </c>
    </row>
    <row r="40" spans="2:16" x14ac:dyDescent="0.25">
      <c r="B40" s="9">
        <v>35</v>
      </c>
      <c r="D40" t="s">
        <v>1182</v>
      </c>
      <c r="E40" s="81">
        <v>56</v>
      </c>
      <c r="F40" s="17">
        <v>12</v>
      </c>
      <c r="G40" s="17">
        <v>13</v>
      </c>
      <c r="H40" s="72">
        <f t="shared" si="2"/>
        <v>25</v>
      </c>
      <c r="I40" s="17">
        <v>4</v>
      </c>
      <c r="J40" s="25">
        <f t="shared" si="3"/>
        <v>0.44642857142857145</v>
      </c>
      <c r="K40" s="17">
        <v>0</v>
      </c>
      <c r="L40" s="17">
        <v>1</v>
      </c>
      <c r="M40" s="17">
        <v>3</v>
      </c>
      <c r="N40" s="17">
        <v>0</v>
      </c>
      <c r="O40" s="17">
        <v>7</v>
      </c>
      <c r="P40" s="17">
        <v>0</v>
      </c>
    </row>
    <row r="41" spans="2:16" x14ac:dyDescent="0.25">
      <c r="B41" s="9">
        <v>36</v>
      </c>
      <c r="D41" t="s">
        <v>35</v>
      </c>
      <c r="E41" s="81">
        <v>183</v>
      </c>
      <c r="F41" s="17">
        <v>6</v>
      </c>
      <c r="G41" s="17">
        <v>19</v>
      </c>
      <c r="H41" s="72">
        <f t="shared" si="2"/>
        <v>25</v>
      </c>
      <c r="I41" s="17">
        <v>68</v>
      </c>
      <c r="J41" s="25">
        <f t="shared" si="3"/>
        <v>0.13661202185792351</v>
      </c>
      <c r="K41" s="17">
        <v>3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</row>
    <row r="42" spans="2:16" x14ac:dyDescent="0.25">
      <c r="B42" s="9">
        <v>37</v>
      </c>
      <c r="D42" t="s">
        <v>1191</v>
      </c>
      <c r="E42" s="81">
        <v>41</v>
      </c>
      <c r="F42" s="17">
        <v>14</v>
      </c>
      <c r="G42" s="17">
        <v>6</v>
      </c>
      <c r="H42" s="72">
        <f t="shared" si="2"/>
        <v>20</v>
      </c>
      <c r="I42" s="17">
        <v>8</v>
      </c>
      <c r="J42" s="25">
        <f t="shared" si="3"/>
        <v>0.48780487804878048</v>
      </c>
      <c r="K42" s="17">
        <v>1</v>
      </c>
      <c r="L42" s="17">
        <v>0</v>
      </c>
      <c r="M42" s="17">
        <v>3</v>
      </c>
      <c r="N42" s="17">
        <v>0</v>
      </c>
      <c r="O42" s="17">
        <v>0</v>
      </c>
      <c r="P42" s="17">
        <v>2</v>
      </c>
    </row>
    <row r="43" spans="2:16" x14ac:dyDescent="0.25">
      <c r="B43" s="9">
        <v>38</v>
      </c>
      <c r="D43" t="s">
        <v>320</v>
      </c>
      <c r="E43" s="81">
        <v>59</v>
      </c>
      <c r="F43" s="17">
        <v>14</v>
      </c>
      <c r="G43" s="17">
        <v>6</v>
      </c>
      <c r="H43" s="72">
        <f t="shared" si="2"/>
        <v>20</v>
      </c>
      <c r="I43" s="17">
        <v>13</v>
      </c>
      <c r="J43" s="25">
        <f t="shared" si="3"/>
        <v>0.33898305084745761</v>
      </c>
      <c r="K43" s="17">
        <v>0</v>
      </c>
      <c r="L43" s="17">
        <v>0</v>
      </c>
      <c r="M43" s="17">
        <v>3</v>
      </c>
      <c r="N43" s="17">
        <v>0</v>
      </c>
      <c r="O43" s="17">
        <v>0</v>
      </c>
      <c r="P43" s="17">
        <v>0</v>
      </c>
    </row>
    <row r="44" spans="2:16" x14ac:dyDescent="0.25">
      <c r="B44" s="9">
        <v>39</v>
      </c>
      <c r="D44" t="s">
        <v>203</v>
      </c>
      <c r="E44" s="81">
        <v>6</v>
      </c>
      <c r="F44" s="17">
        <v>10</v>
      </c>
      <c r="G44" s="17">
        <v>9</v>
      </c>
      <c r="H44" s="72">
        <f t="shared" si="2"/>
        <v>19</v>
      </c>
      <c r="I44" s="17">
        <v>0</v>
      </c>
      <c r="J44" s="25">
        <f t="shared" si="3"/>
        <v>3.1666666666666665</v>
      </c>
      <c r="K44" s="17">
        <v>1</v>
      </c>
      <c r="L44" s="17">
        <v>0</v>
      </c>
      <c r="M44" s="17">
        <v>1</v>
      </c>
      <c r="N44" s="17">
        <v>0</v>
      </c>
      <c r="O44" s="17">
        <v>0</v>
      </c>
      <c r="P44" s="17">
        <v>0</v>
      </c>
    </row>
    <row r="45" spans="2:16" x14ac:dyDescent="0.25">
      <c r="B45" s="9">
        <v>40</v>
      </c>
      <c r="D45" t="s">
        <v>19</v>
      </c>
      <c r="E45" s="81">
        <v>6</v>
      </c>
      <c r="F45" s="17">
        <v>12</v>
      </c>
      <c r="G45" s="17">
        <v>6</v>
      </c>
      <c r="H45" s="72">
        <f t="shared" si="2"/>
        <v>18</v>
      </c>
      <c r="I45" s="17">
        <v>12</v>
      </c>
      <c r="J45" s="25">
        <f t="shared" si="3"/>
        <v>3</v>
      </c>
      <c r="K45" s="17">
        <v>0</v>
      </c>
      <c r="L45" s="17">
        <v>2</v>
      </c>
      <c r="M45" s="17">
        <v>1</v>
      </c>
      <c r="N45" s="17">
        <v>0</v>
      </c>
      <c r="O45" s="17">
        <v>0</v>
      </c>
      <c r="P45" s="17">
        <v>0</v>
      </c>
    </row>
    <row r="46" spans="2:16" x14ac:dyDescent="0.25">
      <c r="B46" s="9">
        <v>41</v>
      </c>
      <c r="D46" t="s">
        <v>446</v>
      </c>
      <c r="E46" s="81">
        <v>33</v>
      </c>
      <c r="F46" s="17">
        <v>11</v>
      </c>
      <c r="G46" s="17">
        <v>6</v>
      </c>
      <c r="H46" s="72">
        <f t="shared" si="2"/>
        <v>17</v>
      </c>
      <c r="I46" s="17">
        <v>6</v>
      </c>
      <c r="J46" s="25">
        <f t="shared" si="3"/>
        <v>0.51515151515151514</v>
      </c>
      <c r="K46" s="17">
        <v>0</v>
      </c>
      <c r="L46" s="17">
        <v>1</v>
      </c>
      <c r="M46" s="17">
        <v>1</v>
      </c>
      <c r="N46" s="17">
        <v>0</v>
      </c>
      <c r="O46" s="17">
        <v>0</v>
      </c>
      <c r="P46" s="17">
        <v>0</v>
      </c>
    </row>
    <row r="47" spans="2:16" x14ac:dyDescent="0.25">
      <c r="B47" s="9">
        <v>42</v>
      </c>
      <c r="D47" t="s">
        <v>31</v>
      </c>
      <c r="E47" s="81">
        <v>17</v>
      </c>
      <c r="F47" s="17">
        <v>10</v>
      </c>
      <c r="G47" s="17">
        <v>5</v>
      </c>
      <c r="H47" s="72">
        <f t="shared" si="2"/>
        <v>15</v>
      </c>
      <c r="I47" s="17">
        <v>6</v>
      </c>
      <c r="J47" s="25">
        <f t="shared" si="3"/>
        <v>0.88235294117647056</v>
      </c>
      <c r="K47" s="17">
        <v>1</v>
      </c>
      <c r="L47" s="17">
        <v>0</v>
      </c>
      <c r="M47" s="17">
        <v>1</v>
      </c>
      <c r="N47" s="17">
        <v>0</v>
      </c>
      <c r="O47" s="17">
        <v>0</v>
      </c>
      <c r="P47" s="17">
        <v>1</v>
      </c>
    </row>
    <row r="48" spans="2:16" x14ac:dyDescent="0.25">
      <c r="B48" s="9">
        <v>43</v>
      </c>
      <c r="D48" t="s">
        <v>290</v>
      </c>
      <c r="E48" s="81">
        <v>12</v>
      </c>
      <c r="F48" s="17">
        <v>9</v>
      </c>
      <c r="G48" s="17">
        <v>4</v>
      </c>
      <c r="H48" s="72">
        <f t="shared" si="2"/>
        <v>13</v>
      </c>
      <c r="I48" s="17">
        <v>19</v>
      </c>
      <c r="J48" s="25">
        <f t="shared" si="3"/>
        <v>1.0833333333333333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</row>
    <row r="49" spans="2:16" x14ac:dyDescent="0.25">
      <c r="B49" s="9">
        <v>44</v>
      </c>
      <c r="D49" t="s">
        <v>37</v>
      </c>
      <c r="E49" s="81">
        <v>18</v>
      </c>
      <c r="F49" s="17">
        <v>7</v>
      </c>
      <c r="G49" s="17">
        <v>5</v>
      </c>
      <c r="H49" s="72">
        <f t="shared" si="2"/>
        <v>12</v>
      </c>
      <c r="I49" s="17">
        <v>39</v>
      </c>
      <c r="J49" s="25">
        <f t="shared" si="3"/>
        <v>0.66666666666666663</v>
      </c>
      <c r="K49" s="17">
        <v>0</v>
      </c>
      <c r="L49" s="17">
        <v>1</v>
      </c>
      <c r="M49" s="17">
        <v>1</v>
      </c>
      <c r="N49" s="17">
        <v>0</v>
      </c>
      <c r="O49" s="17">
        <v>0</v>
      </c>
      <c r="P49" s="17">
        <v>0</v>
      </c>
    </row>
    <row r="50" spans="2:16" x14ac:dyDescent="0.25">
      <c r="B50" s="9">
        <v>45</v>
      </c>
      <c r="D50" t="s">
        <v>75</v>
      </c>
      <c r="E50" s="81">
        <v>283</v>
      </c>
      <c r="F50" s="17">
        <v>0</v>
      </c>
      <c r="G50" s="17">
        <v>12</v>
      </c>
      <c r="H50" s="72">
        <f t="shared" si="2"/>
        <v>12</v>
      </c>
      <c r="I50" s="17">
        <v>4</v>
      </c>
      <c r="J50" s="25">
        <f t="shared" si="3"/>
        <v>4.2402826855123678E-2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</row>
    <row r="51" spans="2:16" x14ac:dyDescent="0.25">
      <c r="B51" s="9">
        <v>46</v>
      </c>
      <c r="D51" t="s">
        <v>24</v>
      </c>
      <c r="E51" s="81">
        <v>41</v>
      </c>
      <c r="F51" s="17">
        <v>4</v>
      </c>
      <c r="G51" s="17">
        <v>6</v>
      </c>
      <c r="H51" s="72">
        <f t="shared" si="2"/>
        <v>10</v>
      </c>
      <c r="I51" s="17">
        <v>14</v>
      </c>
      <c r="J51" s="25">
        <f t="shared" si="3"/>
        <v>0.24390243902439024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</row>
    <row r="52" spans="2:16" x14ac:dyDescent="0.25">
      <c r="B52" s="9">
        <v>47</v>
      </c>
      <c r="D52" t="s">
        <v>83</v>
      </c>
      <c r="E52" s="81">
        <v>12</v>
      </c>
      <c r="F52" s="17">
        <v>8</v>
      </c>
      <c r="G52" s="17">
        <v>1</v>
      </c>
      <c r="H52" s="72">
        <f t="shared" si="2"/>
        <v>9</v>
      </c>
      <c r="I52" s="17">
        <v>2</v>
      </c>
      <c r="J52" s="25">
        <f t="shared" si="3"/>
        <v>0.75</v>
      </c>
      <c r="K52" s="17">
        <v>0</v>
      </c>
      <c r="L52" s="17">
        <v>0</v>
      </c>
      <c r="M52" s="17">
        <v>1</v>
      </c>
      <c r="N52" s="17">
        <v>0</v>
      </c>
      <c r="O52" s="17">
        <v>0</v>
      </c>
      <c r="P52" s="17">
        <v>0</v>
      </c>
    </row>
    <row r="53" spans="2:16" x14ac:dyDescent="0.25">
      <c r="B53" s="9">
        <v>48</v>
      </c>
      <c r="D53" t="s">
        <v>23</v>
      </c>
      <c r="E53" s="81">
        <v>19</v>
      </c>
      <c r="F53" s="17">
        <v>7</v>
      </c>
      <c r="G53" s="17">
        <v>2</v>
      </c>
      <c r="H53" s="72">
        <f t="shared" si="2"/>
        <v>9</v>
      </c>
      <c r="I53" s="17">
        <v>4</v>
      </c>
      <c r="J53" s="25">
        <f t="shared" si="3"/>
        <v>0.47368421052631576</v>
      </c>
      <c r="K53" s="17">
        <v>1</v>
      </c>
      <c r="L53" s="17">
        <v>0</v>
      </c>
      <c r="M53" s="17">
        <v>1</v>
      </c>
      <c r="N53" s="17">
        <v>0</v>
      </c>
      <c r="O53" s="17">
        <v>0</v>
      </c>
      <c r="P53" s="17">
        <v>0</v>
      </c>
    </row>
    <row r="54" spans="2:16" x14ac:dyDescent="0.25">
      <c r="B54" s="9">
        <v>49</v>
      </c>
      <c r="D54" t="s">
        <v>1518</v>
      </c>
      <c r="E54" s="81">
        <v>22</v>
      </c>
      <c r="F54" s="17">
        <v>5</v>
      </c>
      <c r="G54" s="17">
        <v>3</v>
      </c>
      <c r="H54" s="72">
        <f t="shared" si="2"/>
        <v>8</v>
      </c>
      <c r="I54" s="17">
        <v>6</v>
      </c>
      <c r="J54" s="25">
        <f t="shared" si="3"/>
        <v>0.36363636363636365</v>
      </c>
      <c r="K54" s="17">
        <v>0</v>
      </c>
      <c r="L54" s="17">
        <v>0</v>
      </c>
      <c r="M54" s="17">
        <v>1</v>
      </c>
      <c r="N54" s="17">
        <v>0</v>
      </c>
      <c r="O54" s="17">
        <v>0</v>
      </c>
      <c r="P54" s="17">
        <v>1</v>
      </c>
    </row>
    <row r="55" spans="2:16" x14ac:dyDescent="0.25">
      <c r="B55" s="9">
        <v>50</v>
      </c>
      <c r="D55" t="s">
        <v>256</v>
      </c>
      <c r="E55" s="81">
        <v>31</v>
      </c>
      <c r="F55" s="17">
        <v>5</v>
      </c>
      <c r="G55" s="17">
        <v>3</v>
      </c>
      <c r="H55" s="72">
        <f t="shared" si="2"/>
        <v>8</v>
      </c>
      <c r="I55" s="17">
        <v>10</v>
      </c>
      <c r="J55" s="25">
        <f t="shared" si="3"/>
        <v>0.25806451612903225</v>
      </c>
      <c r="K55" s="17">
        <v>0</v>
      </c>
      <c r="L55" s="17">
        <v>0</v>
      </c>
      <c r="M55" s="17">
        <v>0</v>
      </c>
      <c r="N55" s="17">
        <v>0</v>
      </c>
      <c r="O55" s="17">
        <v>0</v>
      </c>
      <c r="P55" s="17">
        <v>0</v>
      </c>
    </row>
    <row r="56" spans="2:16" x14ac:dyDescent="0.25">
      <c r="B56" s="9">
        <v>51</v>
      </c>
      <c r="D56" t="s">
        <v>1192</v>
      </c>
      <c r="E56" s="81">
        <v>32</v>
      </c>
      <c r="F56" s="17">
        <v>4</v>
      </c>
      <c r="G56" s="17">
        <v>4</v>
      </c>
      <c r="H56" s="72">
        <f t="shared" si="2"/>
        <v>8</v>
      </c>
      <c r="I56" s="17">
        <v>6</v>
      </c>
      <c r="J56" s="25">
        <f t="shared" si="3"/>
        <v>0.25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</row>
    <row r="57" spans="2:16" x14ac:dyDescent="0.25">
      <c r="B57" s="9">
        <v>52</v>
      </c>
      <c r="D57" t="s">
        <v>21</v>
      </c>
      <c r="E57" s="81">
        <v>42</v>
      </c>
      <c r="F57" s="17">
        <v>3</v>
      </c>
      <c r="G57" s="17">
        <v>5</v>
      </c>
      <c r="H57" s="72">
        <f t="shared" si="2"/>
        <v>8</v>
      </c>
      <c r="I57" s="17">
        <v>18</v>
      </c>
      <c r="J57" s="25">
        <f t="shared" si="3"/>
        <v>0.19047619047619047</v>
      </c>
      <c r="K57" s="17">
        <v>1</v>
      </c>
      <c r="L57" s="17">
        <v>0</v>
      </c>
      <c r="M57" s="17">
        <v>0</v>
      </c>
      <c r="N57" s="17">
        <v>0</v>
      </c>
      <c r="O57" s="17">
        <v>0</v>
      </c>
      <c r="P57" s="17">
        <v>0</v>
      </c>
    </row>
    <row r="58" spans="2:16" x14ac:dyDescent="0.25">
      <c r="B58" s="9">
        <v>53</v>
      </c>
      <c r="D58" t="s">
        <v>1193</v>
      </c>
      <c r="E58" s="81">
        <v>27</v>
      </c>
      <c r="F58" s="17">
        <v>2</v>
      </c>
      <c r="G58" s="17">
        <v>6</v>
      </c>
      <c r="H58" s="72">
        <f t="shared" si="2"/>
        <v>8</v>
      </c>
      <c r="I58" s="17">
        <v>28</v>
      </c>
      <c r="J58" s="25">
        <f t="shared" si="3"/>
        <v>0.29629629629629628</v>
      </c>
      <c r="K58" s="17">
        <v>0</v>
      </c>
      <c r="L58" s="17">
        <v>0</v>
      </c>
      <c r="M58" s="17">
        <v>1</v>
      </c>
      <c r="N58" s="17">
        <v>0</v>
      </c>
      <c r="O58" s="17">
        <v>0</v>
      </c>
      <c r="P58" s="17">
        <v>0</v>
      </c>
    </row>
    <row r="59" spans="2:16" x14ac:dyDescent="0.25">
      <c r="B59" s="9">
        <v>54</v>
      </c>
      <c r="D59" t="s">
        <v>437</v>
      </c>
      <c r="E59" s="81">
        <v>11</v>
      </c>
      <c r="F59" s="17">
        <v>4</v>
      </c>
      <c r="G59" s="17">
        <v>3</v>
      </c>
      <c r="H59" s="72">
        <f t="shared" si="2"/>
        <v>7</v>
      </c>
      <c r="I59" s="17">
        <v>4</v>
      </c>
      <c r="J59" s="25">
        <f t="shared" si="3"/>
        <v>0.63636363636363635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</row>
    <row r="60" spans="2:16" x14ac:dyDescent="0.25">
      <c r="B60" s="9">
        <v>55</v>
      </c>
      <c r="D60" t="s">
        <v>238</v>
      </c>
      <c r="E60" s="81">
        <v>2</v>
      </c>
      <c r="F60" s="17">
        <v>3</v>
      </c>
      <c r="G60" s="17">
        <v>4</v>
      </c>
      <c r="H60" s="72">
        <f t="shared" si="2"/>
        <v>7</v>
      </c>
      <c r="I60" s="17">
        <v>2</v>
      </c>
      <c r="J60" s="25">
        <f t="shared" si="3"/>
        <v>3.5</v>
      </c>
      <c r="K60" s="17">
        <v>1</v>
      </c>
      <c r="L60" s="17">
        <v>0</v>
      </c>
      <c r="M60" s="17">
        <v>1</v>
      </c>
      <c r="N60" s="17">
        <v>0</v>
      </c>
      <c r="O60" s="17">
        <v>0</v>
      </c>
      <c r="P60" s="17">
        <v>0</v>
      </c>
    </row>
    <row r="61" spans="2:16" x14ac:dyDescent="0.25">
      <c r="B61" s="9">
        <v>56</v>
      </c>
      <c r="D61" t="s">
        <v>254</v>
      </c>
      <c r="E61" s="81">
        <v>43</v>
      </c>
      <c r="F61" s="17">
        <v>2</v>
      </c>
      <c r="G61" s="17">
        <v>5</v>
      </c>
      <c r="H61" s="72">
        <f t="shared" si="2"/>
        <v>7</v>
      </c>
      <c r="I61" s="17">
        <v>2</v>
      </c>
      <c r="J61" s="25">
        <f t="shared" si="3"/>
        <v>0.16279069767441862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</row>
    <row r="62" spans="2:16" x14ac:dyDescent="0.25">
      <c r="B62" s="9">
        <v>57</v>
      </c>
      <c r="D62" t="s">
        <v>33</v>
      </c>
      <c r="E62" s="81">
        <v>44</v>
      </c>
      <c r="F62" s="17">
        <v>1</v>
      </c>
      <c r="G62" s="17">
        <v>5</v>
      </c>
      <c r="H62" s="72">
        <f t="shared" si="2"/>
        <v>6</v>
      </c>
      <c r="I62" s="17">
        <v>10</v>
      </c>
      <c r="J62" s="25">
        <f t="shared" si="3"/>
        <v>0.13636363636363635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</row>
    <row r="63" spans="2:16" x14ac:dyDescent="0.25">
      <c r="B63" s="9">
        <v>58</v>
      </c>
      <c r="D63" t="s">
        <v>93</v>
      </c>
      <c r="E63" s="81">
        <v>5</v>
      </c>
      <c r="F63" s="17">
        <v>3</v>
      </c>
      <c r="G63" s="17">
        <v>2</v>
      </c>
      <c r="H63" s="72">
        <f t="shared" si="2"/>
        <v>5</v>
      </c>
      <c r="I63" s="17">
        <v>0</v>
      </c>
      <c r="J63" s="25">
        <f t="shared" si="3"/>
        <v>1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</row>
    <row r="64" spans="2:16" x14ac:dyDescent="0.25">
      <c r="B64" s="9">
        <v>59</v>
      </c>
      <c r="D64" t="s">
        <v>223</v>
      </c>
      <c r="E64" s="81">
        <v>10</v>
      </c>
      <c r="F64" s="17">
        <v>2</v>
      </c>
      <c r="G64" s="17">
        <v>3</v>
      </c>
      <c r="H64" s="72">
        <f t="shared" si="2"/>
        <v>5</v>
      </c>
      <c r="I64" s="17">
        <v>0</v>
      </c>
      <c r="J64" s="25">
        <f t="shared" si="3"/>
        <v>0.5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</row>
    <row r="65" spans="2:16" x14ac:dyDescent="0.25">
      <c r="B65" s="9">
        <v>60</v>
      </c>
      <c r="D65" t="s">
        <v>25</v>
      </c>
      <c r="E65" s="81">
        <v>11</v>
      </c>
      <c r="F65" s="17">
        <v>1</v>
      </c>
      <c r="G65" s="17">
        <v>4</v>
      </c>
      <c r="H65" s="72">
        <f t="shared" si="2"/>
        <v>5</v>
      </c>
      <c r="I65" s="17">
        <v>4</v>
      </c>
      <c r="J65" s="25">
        <f t="shared" si="3"/>
        <v>0.45454545454545453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</row>
    <row r="66" spans="2:16" x14ac:dyDescent="0.25">
      <c r="B66" s="9">
        <v>61</v>
      </c>
      <c r="D66" t="s">
        <v>400</v>
      </c>
      <c r="E66" s="81">
        <v>2</v>
      </c>
      <c r="F66" s="17">
        <v>3</v>
      </c>
      <c r="G66" s="17">
        <v>1</v>
      </c>
      <c r="H66" s="72">
        <f t="shared" si="2"/>
        <v>4</v>
      </c>
      <c r="I66" s="17">
        <v>0</v>
      </c>
      <c r="J66" s="25">
        <f t="shared" si="3"/>
        <v>2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</row>
    <row r="67" spans="2:16" x14ac:dyDescent="0.25">
      <c r="B67" s="9">
        <v>62</v>
      </c>
      <c r="D67" t="s">
        <v>1680</v>
      </c>
      <c r="E67" s="81">
        <v>10</v>
      </c>
      <c r="F67" s="17">
        <v>3</v>
      </c>
      <c r="G67" s="17">
        <v>1</v>
      </c>
      <c r="H67" s="72">
        <f t="shared" si="2"/>
        <v>4</v>
      </c>
      <c r="I67" s="17">
        <v>2</v>
      </c>
      <c r="J67" s="25">
        <f t="shared" si="3"/>
        <v>0.4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</row>
    <row r="68" spans="2:16" x14ac:dyDescent="0.25">
      <c r="B68" s="9">
        <v>63</v>
      </c>
      <c r="D68" t="s">
        <v>91</v>
      </c>
      <c r="E68" s="81">
        <v>53</v>
      </c>
      <c r="F68" s="17">
        <v>0</v>
      </c>
      <c r="G68" s="17">
        <v>4</v>
      </c>
      <c r="H68" s="72">
        <f t="shared" si="2"/>
        <v>4</v>
      </c>
      <c r="I68" s="17">
        <v>0</v>
      </c>
      <c r="J68" s="25">
        <f t="shared" si="3"/>
        <v>7.5471698113207544E-2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</row>
    <row r="69" spans="2:16" x14ac:dyDescent="0.25">
      <c r="B69" s="9">
        <v>64</v>
      </c>
      <c r="D69" t="s">
        <v>1474</v>
      </c>
      <c r="E69" s="81">
        <v>6</v>
      </c>
      <c r="F69" s="17">
        <v>3</v>
      </c>
      <c r="G69" s="17">
        <v>0</v>
      </c>
      <c r="H69" s="72">
        <f t="shared" si="2"/>
        <v>3</v>
      </c>
      <c r="I69" s="17">
        <v>4</v>
      </c>
      <c r="J69" s="25">
        <f t="shared" si="3"/>
        <v>0.5</v>
      </c>
      <c r="K69" s="17">
        <v>0</v>
      </c>
      <c r="L69" s="17">
        <v>0</v>
      </c>
      <c r="M69" s="17">
        <v>0</v>
      </c>
      <c r="N69" s="17">
        <v>1</v>
      </c>
      <c r="O69" s="17">
        <v>0</v>
      </c>
      <c r="P69" s="17">
        <v>0</v>
      </c>
    </row>
    <row r="70" spans="2:16" x14ac:dyDescent="0.25">
      <c r="B70" s="9">
        <v>65</v>
      </c>
      <c r="D70" t="s">
        <v>1722</v>
      </c>
      <c r="E70" s="81">
        <v>6</v>
      </c>
      <c r="F70" s="17">
        <v>2</v>
      </c>
      <c r="G70" s="17">
        <v>1</v>
      </c>
      <c r="H70" s="72">
        <f t="shared" ref="H70:H100" si="4">F70+G70</f>
        <v>3</v>
      </c>
      <c r="I70" s="17">
        <v>0</v>
      </c>
      <c r="J70" s="25">
        <f t="shared" ref="J70:J100" si="5">H70/E70</f>
        <v>0.5</v>
      </c>
      <c r="K70" s="17">
        <v>0</v>
      </c>
      <c r="L70" s="17">
        <v>0</v>
      </c>
      <c r="M70" s="17">
        <v>1</v>
      </c>
      <c r="N70" s="17">
        <v>0</v>
      </c>
      <c r="O70" s="17">
        <v>0</v>
      </c>
      <c r="P70" s="17">
        <v>0</v>
      </c>
    </row>
    <row r="71" spans="2:16" x14ac:dyDescent="0.25">
      <c r="B71" s="9">
        <v>66</v>
      </c>
      <c r="D71" t="s">
        <v>436</v>
      </c>
      <c r="E71" s="81">
        <v>34</v>
      </c>
      <c r="F71" s="17">
        <v>2</v>
      </c>
      <c r="G71" s="17">
        <v>1</v>
      </c>
      <c r="H71" s="72">
        <f t="shared" si="4"/>
        <v>3</v>
      </c>
      <c r="I71" s="17">
        <v>32</v>
      </c>
      <c r="J71" s="25">
        <f t="shared" si="5"/>
        <v>8.8235294117647065E-2</v>
      </c>
      <c r="K71" s="17">
        <v>1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</row>
    <row r="72" spans="2:16" x14ac:dyDescent="0.25">
      <c r="B72" s="9">
        <v>67</v>
      </c>
      <c r="D72" t="s">
        <v>26</v>
      </c>
      <c r="E72" s="81">
        <v>2</v>
      </c>
      <c r="F72" s="17">
        <v>0</v>
      </c>
      <c r="G72" s="17">
        <v>3</v>
      </c>
      <c r="H72" s="72">
        <f t="shared" si="4"/>
        <v>3</v>
      </c>
      <c r="I72" s="17">
        <v>0</v>
      </c>
      <c r="J72" s="25">
        <f t="shared" si="5"/>
        <v>1.5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</row>
    <row r="73" spans="2:16" x14ac:dyDescent="0.25">
      <c r="B73" s="9">
        <v>68</v>
      </c>
      <c r="D73" t="s">
        <v>1696</v>
      </c>
      <c r="E73" s="81">
        <v>2</v>
      </c>
      <c r="F73" s="17">
        <v>2</v>
      </c>
      <c r="G73" s="17">
        <v>0</v>
      </c>
      <c r="H73" s="72">
        <f t="shared" si="4"/>
        <v>2</v>
      </c>
      <c r="I73" s="17">
        <v>0</v>
      </c>
      <c r="J73" s="25">
        <f t="shared" si="5"/>
        <v>1</v>
      </c>
      <c r="K73" s="17">
        <v>0</v>
      </c>
      <c r="L73" s="17">
        <v>1</v>
      </c>
      <c r="M73" s="17">
        <v>0</v>
      </c>
      <c r="N73" s="17">
        <v>0</v>
      </c>
      <c r="O73" s="17">
        <v>0</v>
      </c>
      <c r="P73" s="17">
        <v>0</v>
      </c>
    </row>
    <row r="74" spans="2:16" x14ac:dyDescent="0.25">
      <c r="B74" s="9">
        <v>69</v>
      </c>
      <c r="D74" t="s">
        <v>1705</v>
      </c>
      <c r="E74" s="81">
        <v>6</v>
      </c>
      <c r="F74" s="17">
        <v>2</v>
      </c>
      <c r="G74" s="17">
        <v>0</v>
      </c>
      <c r="H74" s="72">
        <f t="shared" si="4"/>
        <v>2</v>
      </c>
      <c r="I74" s="17">
        <v>0</v>
      </c>
      <c r="J74" s="25">
        <f t="shared" si="5"/>
        <v>0.33333333333333331</v>
      </c>
      <c r="K74" s="17">
        <v>1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</row>
    <row r="75" spans="2:16" x14ac:dyDescent="0.25">
      <c r="B75" s="9">
        <v>70</v>
      </c>
      <c r="D75" t="s">
        <v>204</v>
      </c>
      <c r="E75" s="81">
        <v>2</v>
      </c>
      <c r="F75" s="17">
        <v>1</v>
      </c>
      <c r="G75" s="17">
        <v>1</v>
      </c>
      <c r="H75" s="72">
        <f t="shared" si="4"/>
        <v>2</v>
      </c>
      <c r="I75" s="17">
        <v>0</v>
      </c>
      <c r="J75" s="25">
        <f t="shared" si="5"/>
        <v>1</v>
      </c>
      <c r="K75" s="17">
        <v>0</v>
      </c>
      <c r="L75" s="17">
        <v>0</v>
      </c>
      <c r="M75" s="17">
        <v>1</v>
      </c>
      <c r="N75" s="17">
        <v>0</v>
      </c>
      <c r="O75" s="17">
        <v>0</v>
      </c>
      <c r="P75" s="17">
        <v>0</v>
      </c>
    </row>
    <row r="76" spans="2:16" x14ac:dyDescent="0.25">
      <c r="B76" s="9">
        <v>71</v>
      </c>
      <c r="D76" t="s">
        <v>92</v>
      </c>
      <c r="E76" s="81">
        <v>10</v>
      </c>
      <c r="F76" s="17">
        <v>1</v>
      </c>
      <c r="G76" s="17">
        <v>1</v>
      </c>
      <c r="H76" s="72">
        <f t="shared" si="4"/>
        <v>2</v>
      </c>
      <c r="I76" s="17">
        <v>0</v>
      </c>
      <c r="J76" s="25">
        <f t="shared" si="5"/>
        <v>0.2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</row>
    <row r="77" spans="2:16" x14ac:dyDescent="0.25">
      <c r="B77" s="9">
        <v>72</v>
      </c>
      <c r="D77" t="s">
        <v>402</v>
      </c>
      <c r="E77" s="81">
        <v>2</v>
      </c>
      <c r="F77" s="17">
        <v>0</v>
      </c>
      <c r="G77" s="17">
        <v>2</v>
      </c>
      <c r="H77" s="72">
        <f t="shared" si="4"/>
        <v>2</v>
      </c>
      <c r="I77" s="17">
        <v>0</v>
      </c>
      <c r="J77" s="25">
        <f t="shared" si="5"/>
        <v>1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</row>
    <row r="78" spans="2:16" x14ac:dyDescent="0.25">
      <c r="B78" s="9">
        <v>73</v>
      </c>
      <c r="D78" t="s">
        <v>435</v>
      </c>
      <c r="E78" s="81">
        <v>81</v>
      </c>
      <c r="F78" s="17">
        <v>0</v>
      </c>
      <c r="G78" s="17">
        <v>2</v>
      </c>
      <c r="H78" s="72">
        <f t="shared" si="4"/>
        <v>2</v>
      </c>
      <c r="I78" s="17">
        <v>2</v>
      </c>
      <c r="J78" s="25">
        <f t="shared" si="5"/>
        <v>2.4691358024691357E-2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</row>
    <row r="79" spans="2:16" x14ac:dyDescent="0.25">
      <c r="B79" s="9">
        <v>74</v>
      </c>
      <c r="D79" t="s">
        <v>1503</v>
      </c>
      <c r="E79" s="81">
        <v>2</v>
      </c>
      <c r="F79" s="17">
        <v>1</v>
      </c>
      <c r="G79" s="17">
        <v>0</v>
      </c>
      <c r="H79" s="72">
        <f t="shared" si="4"/>
        <v>1</v>
      </c>
      <c r="I79" s="17">
        <v>0</v>
      </c>
      <c r="J79" s="25">
        <f t="shared" si="5"/>
        <v>0.5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</row>
    <row r="80" spans="2:16" x14ac:dyDescent="0.25">
      <c r="B80" s="9">
        <v>75</v>
      </c>
      <c r="D80" t="s">
        <v>1548</v>
      </c>
      <c r="E80" s="81">
        <v>2</v>
      </c>
      <c r="F80" s="17">
        <v>1</v>
      </c>
      <c r="G80" s="17">
        <v>0</v>
      </c>
      <c r="H80" s="72">
        <f t="shared" si="4"/>
        <v>1</v>
      </c>
      <c r="I80" s="17">
        <v>0</v>
      </c>
      <c r="J80" s="25">
        <f t="shared" si="5"/>
        <v>0.5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</row>
    <row r="81" spans="2:16" x14ac:dyDescent="0.25">
      <c r="B81" s="9">
        <v>76</v>
      </c>
      <c r="D81" t="s">
        <v>27</v>
      </c>
      <c r="E81" s="81">
        <v>6</v>
      </c>
      <c r="F81" s="17">
        <v>1</v>
      </c>
      <c r="G81" s="17">
        <v>0</v>
      </c>
      <c r="H81" s="72">
        <f t="shared" si="4"/>
        <v>1</v>
      </c>
      <c r="I81" s="17">
        <v>0</v>
      </c>
      <c r="J81" s="25">
        <f t="shared" si="5"/>
        <v>0.16666666666666666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</row>
    <row r="82" spans="2:16" x14ac:dyDescent="0.25">
      <c r="B82" s="9">
        <v>77</v>
      </c>
      <c r="D82" t="s">
        <v>1704</v>
      </c>
      <c r="E82" s="81">
        <v>3</v>
      </c>
      <c r="F82" s="17">
        <v>0</v>
      </c>
      <c r="G82" s="17">
        <v>1</v>
      </c>
      <c r="H82" s="72">
        <f t="shared" si="4"/>
        <v>1</v>
      </c>
      <c r="I82" s="17">
        <v>0</v>
      </c>
      <c r="J82" s="25">
        <f t="shared" si="5"/>
        <v>0.33333333333333331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</row>
    <row r="83" spans="2:16" x14ac:dyDescent="0.25">
      <c r="B83" s="9">
        <v>78</v>
      </c>
      <c r="D83" t="s">
        <v>1678</v>
      </c>
      <c r="E83" s="81">
        <v>6</v>
      </c>
      <c r="F83" s="17">
        <v>0</v>
      </c>
      <c r="G83" s="17">
        <v>1</v>
      </c>
      <c r="H83" s="72">
        <f t="shared" si="4"/>
        <v>1</v>
      </c>
      <c r="I83" s="17">
        <v>4</v>
      </c>
      <c r="J83" s="25">
        <f t="shared" si="5"/>
        <v>0.16666666666666666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</row>
    <row r="84" spans="2:16" x14ac:dyDescent="0.25">
      <c r="B84" s="9">
        <v>79</v>
      </c>
      <c r="D84" t="s">
        <v>751</v>
      </c>
      <c r="E84" s="81">
        <v>14</v>
      </c>
      <c r="F84" s="17">
        <v>0</v>
      </c>
      <c r="G84" s="17">
        <v>1</v>
      </c>
      <c r="H84" s="72">
        <f t="shared" si="4"/>
        <v>1</v>
      </c>
      <c r="I84" s="17">
        <v>0</v>
      </c>
      <c r="J84" s="25">
        <f t="shared" si="5"/>
        <v>7.1428571428571425E-2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</row>
    <row r="85" spans="2:16" x14ac:dyDescent="0.25">
      <c r="B85" s="9">
        <v>80</v>
      </c>
      <c r="D85" t="s">
        <v>294</v>
      </c>
      <c r="E85" s="81">
        <v>48</v>
      </c>
      <c r="F85" s="17">
        <v>0</v>
      </c>
      <c r="G85" s="17">
        <v>1</v>
      </c>
      <c r="H85" s="72">
        <f t="shared" si="4"/>
        <v>1</v>
      </c>
      <c r="I85" s="17">
        <v>0</v>
      </c>
      <c r="J85" s="25">
        <f t="shared" si="5"/>
        <v>2.0833333333333332E-2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</row>
    <row r="86" spans="2:16" x14ac:dyDescent="0.25">
      <c r="B86" s="9">
        <v>81</v>
      </c>
      <c r="D86" t="s">
        <v>87</v>
      </c>
      <c r="E86" s="81">
        <v>31</v>
      </c>
      <c r="F86" s="17">
        <v>0</v>
      </c>
      <c r="G86" s="17">
        <v>0</v>
      </c>
      <c r="H86" s="72">
        <f t="shared" si="4"/>
        <v>0</v>
      </c>
      <c r="I86" s="17">
        <v>0</v>
      </c>
      <c r="J86" s="25">
        <f t="shared" si="5"/>
        <v>0</v>
      </c>
      <c r="K86" s="17">
        <v>0</v>
      </c>
      <c r="L86" s="17">
        <v>0</v>
      </c>
      <c r="M86" s="17">
        <v>0</v>
      </c>
      <c r="N86" s="17">
        <v>0</v>
      </c>
      <c r="O86" s="17">
        <v>0</v>
      </c>
      <c r="P86" s="17">
        <v>0</v>
      </c>
    </row>
    <row r="87" spans="2:16" x14ac:dyDescent="0.25">
      <c r="B87" s="9">
        <v>82</v>
      </c>
      <c r="D87" t="s">
        <v>224</v>
      </c>
      <c r="E87" s="81">
        <v>16</v>
      </c>
      <c r="F87" s="17">
        <v>0</v>
      </c>
      <c r="G87" s="17">
        <v>0</v>
      </c>
      <c r="H87" s="72">
        <f t="shared" si="4"/>
        <v>0</v>
      </c>
      <c r="I87" s="17">
        <v>2</v>
      </c>
      <c r="J87" s="25">
        <f t="shared" si="5"/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</row>
    <row r="88" spans="2:16" x14ac:dyDescent="0.25">
      <c r="B88" s="9">
        <v>83</v>
      </c>
      <c r="D88" t="s">
        <v>28</v>
      </c>
      <c r="E88" s="81">
        <v>16</v>
      </c>
      <c r="F88" s="17">
        <v>0</v>
      </c>
      <c r="G88" s="17">
        <v>0</v>
      </c>
      <c r="H88" s="72">
        <f t="shared" si="4"/>
        <v>0</v>
      </c>
      <c r="I88" s="17">
        <v>2</v>
      </c>
      <c r="J88" s="25">
        <f t="shared" si="5"/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</row>
    <row r="89" spans="2:16" x14ac:dyDescent="0.25">
      <c r="B89" s="9">
        <v>84</v>
      </c>
      <c r="D89" t="s">
        <v>1181</v>
      </c>
      <c r="E89" s="81">
        <v>16</v>
      </c>
      <c r="F89" s="17">
        <v>0</v>
      </c>
      <c r="G89" s="17">
        <v>0</v>
      </c>
      <c r="H89" s="72">
        <f t="shared" si="4"/>
        <v>0</v>
      </c>
      <c r="I89" s="17">
        <v>0</v>
      </c>
      <c r="J89" s="25">
        <f t="shared" si="5"/>
        <v>0</v>
      </c>
      <c r="K89" s="17">
        <v>0</v>
      </c>
      <c r="L89" s="17">
        <v>0</v>
      </c>
      <c r="M89" s="17">
        <v>0</v>
      </c>
      <c r="N89" s="17">
        <v>0</v>
      </c>
      <c r="O89" s="17">
        <v>0</v>
      </c>
      <c r="P89" s="17">
        <v>0</v>
      </c>
    </row>
    <row r="90" spans="2:16" x14ac:dyDescent="0.25">
      <c r="B90" s="9">
        <v>85</v>
      </c>
      <c r="D90" t="s">
        <v>257</v>
      </c>
      <c r="E90" s="81">
        <v>10</v>
      </c>
      <c r="F90" s="17">
        <v>0</v>
      </c>
      <c r="G90" s="17">
        <v>0</v>
      </c>
      <c r="H90" s="72">
        <f t="shared" si="4"/>
        <v>0</v>
      </c>
      <c r="I90" s="17">
        <v>2</v>
      </c>
      <c r="J90" s="25">
        <f t="shared" si="5"/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</row>
    <row r="91" spans="2:16" x14ac:dyDescent="0.25">
      <c r="B91" s="9">
        <v>86</v>
      </c>
      <c r="D91" t="s">
        <v>1478</v>
      </c>
      <c r="E91" s="81">
        <v>8</v>
      </c>
      <c r="F91" s="17">
        <v>0</v>
      </c>
      <c r="G91" s="17">
        <v>0</v>
      </c>
      <c r="H91" s="72">
        <f t="shared" si="4"/>
        <v>0</v>
      </c>
      <c r="I91" s="17">
        <v>0</v>
      </c>
      <c r="J91" s="25">
        <f t="shared" si="5"/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</row>
    <row r="92" spans="2:16" x14ac:dyDescent="0.25">
      <c r="B92" s="9">
        <v>87</v>
      </c>
      <c r="D92" t="s">
        <v>94</v>
      </c>
      <c r="E92" s="81">
        <v>7</v>
      </c>
      <c r="F92" s="17">
        <v>0</v>
      </c>
      <c r="G92" s="17">
        <v>0</v>
      </c>
      <c r="H92" s="72">
        <f t="shared" si="4"/>
        <v>0</v>
      </c>
      <c r="I92" s="17">
        <v>2</v>
      </c>
      <c r="J92" s="25">
        <f t="shared" si="5"/>
        <v>0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</row>
    <row r="93" spans="2:16" x14ac:dyDescent="0.25">
      <c r="B93" s="9">
        <v>88</v>
      </c>
      <c r="D93" t="s">
        <v>29</v>
      </c>
      <c r="E93" s="81">
        <v>6</v>
      </c>
      <c r="F93" s="17">
        <v>0</v>
      </c>
      <c r="G93" s="17">
        <v>0</v>
      </c>
      <c r="H93" s="72">
        <f t="shared" si="4"/>
        <v>0</v>
      </c>
      <c r="I93" s="17">
        <v>2</v>
      </c>
      <c r="J93" s="25">
        <f t="shared" si="5"/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</row>
    <row r="94" spans="2:16" x14ac:dyDescent="0.25">
      <c r="B94" s="9">
        <v>89</v>
      </c>
      <c r="D94" t="s">
        <v>293</v>
      </c>
      <c r="E94" s="81">
        <v>4</v>
      </c>
      <c r="F94" s="17">
        <v>0</v>
      </c>
      <c r="G94" s="17">
        <v>0</v>
      </c>
      <c r="H94" s="72">
        <f t="shared" si="4"/>
        <v>0</v>
      </c>
      <c r="I94" s="17">
        <v>0</v>
      </c>
      <c r="J94" s="25">
        <f t="shared" si="5"/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</row>
    <row r="95" spans="2:16" x14ac:dyDescent="0.25">
      <c r="B95" s="9">
        <v>90</v>
      </c>
      <c r="D95" t="s">
        <v>1369</v>
      </c>
      <c r="E95" s="81">
        <v>14</v>
      </c>
      <c r="F95" s="17">
        <v>0</v>
      </c>
      <c r="G95" s="17">
        <v>0</v>
      </c>
      <c r="H95" s="72">
        <f t="shared" si="4"/>
        <v>0</v>
      </c>
      <c r="I95" s="17">
        <v>0</v>
      </c>
      <c r="J95" s="25">
        <f t="shared" si="5"/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</row>
    <row r="96" spans="2:16" x14ac:dyDescent="0.25">
      <c r="B96" s="9">
        <v>91</v>
      </c>
      <c r="D96" t="s">
        <v>32</v>
      </c>
      <c r="E96" s="81">
        <v>2</v>
      </c>
      <c r="F96" s="17">
        <v>0</v>
      </c>
      <c r="G96" s="17">
        <v>0</v>
      </c>
      <c r="H96" s="72">
        <f t="shared" si="4"/>
        <v>0</v>
      </c>
      <c r="I96" s="17">
        <v>4</v>
      </c>
      <c r="J96" s="25">
        <f t="shared" si="5"/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</row>
    <row r="97" spans="2:16" x14ac:dyDescent="0.25">
      <c r="B97" s="9">
        <v>92</v>
      </c>
      <c r="D97" t="s">
        <v>250</v>
      </c>
      <c r="E97" s="81">
        <v>1</v>
      </c>
      <c r="F97" s="17">
        <v>0</v>
      </c>
      <c r="G97" s="17">
        <v>0</v>
      </c>
      <c r="H97" s="72">
        <f t="shared" si="4"/>
        <v>0</v>
      </c>
      <c r="I97" s="17">
        <v>0</v>
      </c>
      <c r="J97" s="25">
        <f t="shared" si="5"/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</row>
    <row r="98" spans="2:16" x14ac:dyDescent="0.25">
      <c r="B98" s="9">
        <v>93</v>
      </c>
      <c r="D98" t="s">
        <v>1549</v>
      </c>
      <c r="E98" s="81">
        <v>2</v>
      </c>
      <c r="F98" s="17">
        <v>0</v>
      </c>
      <c r="G98" s="17">
        <v>0</v>
      </c>
      <c r="H98" s="72">
        <f t="shared" si="4"/>
        <v>0</v>
      </c>
      <c r="I98" s="17">
        <v>0</v>
      </c>
      <c r="J98" s="25">
        <f t="shared" si="5"/>
        <v>0</v>
      </c>
      <c r="K98" s="17">
        <v>0</v>
      </c>
      <c r="L98" s="17">
        <v>0</v>
      </c>
      <c r="M98" s="17">
        <v>0</v>
      </c>
      <c r="N98" s="17">
        <v>0</v>
      </c>
      <c r="O98" s="17">
        <v>0</v>
      </c>
      <c r="P98" s="17">
        <v>0</v>
      </c>
    </row>
    <row r="99" spans="2:16" x14ac:dyDescent="0.25">
      <c r="B99" s="9">
        <v>94</v>
      </c>
      <c r="D99" t="s">
        <v>1672</v>
      </c>
      <c r="E99" s="81">
        <v>6</v>
      </c>
      <c r="F99" s="17">
        <v>0</v>
      </c>
      <c r="G99" s="17">
        <v>0</v>
      </c>
      <c r="H99" s="72">
        <f t="shared" si="4"/>
        <v>0</v>
      </c>
      <c r="I99" s="17">
        <v>0</v>
      </c>
      <c r="J99" s="25">
        <f t="shared" si="5"/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</row>
    <row r="100" spans="2:16" x14ac:dyDescent="0.25">
      <c r="B100" s="9">
        <v>95</v>
      </c>
      <c r="D100" t="s">
        <v>1679</v>
      </c>
      <c r="E100" s="81">
        <v>8</v>
      </c>
      <c r="F100" s="17">
        <v>0</v>
      </c>
      <c r="G100" s="17">
        <v>0</v>
      </c>
      <c r="H100" s="72">
        <f t="shared" si="4"/>
        <v>0</v>
      </c>
      <c r="I100" s="17">
        <v>4</v>
      </c>
      <c r="J100" s="25">
        <f t="shared" si="5"/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</row>
  </sheetData>
  <sortState xmlns:xlrd2="http://schemas.microsoft.com/office/spreadsheetml/2017/richdata2" ref="D6:P100">
    <sortCondition descending="1" ref="H6:H100"/>
    <sortCondition descending="1" ref="F6:F100"/>
    <sortCondition descending="1" ref="J6:J100"/>
  </sortState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924BD-CFD5-4377-A456-182D796CB8D0}">
  <dimension ref="B3:AI180"/>
  <sheetViews>
    <sheetView zoomScale="80" zoomScaleNormal="80" workbookViewId="0">
      <selection activeCell="Y13" sqref="Y13"/>
    </sheetView>
  </sheetViews>
  <sheetFormatPr defaultRowHeight="15" x14ac:dyDescent="0.25"/>
  <cols>
    <col min="1" max="1" width="2.28515625" customWidth="1"/>
    <col min="2" max="2" width="3" bestFit="1" customWidth="1"/>
    <col min="3" max="3" width="4.28515625" customWidth="1"/>
    <col min="4" max="4" width="19.42578125" bestFit="1" customWidth="1"/>
    <col min="5" max="7" width="9.140625" style="17"/>
    <col min="8" max="8" width="9.140625" style="31"/>
    <col min="9" max="16" width="9.140625" style="17"/>
    <col min="21" max="21" width="3" bestFit="1" customWidth="1"/>
    <col min="22" max="22" width="3.85546875" customWidth="1"/>
    <col min="23" max="23" width="20.85546875" customWidth="1"/>
    <col min="24" max="26" width="9.140625" style="17"/>
    <col min="27" max="27" width="9.140625" style="31"/>
    <col min="28" max="35" width="9.140625" style="17"/>
  </cols>
  <sheetData>
    <row r="3" spans="2:35" x14ac:dyDescent="0.25">
      <c r="D3" s="101" t="s">
        <v>1390</v>
      </c>
      <c r="E3" s="101"/>
      <c r="F3" s="101"/>
      <c r="W3" s="101" t="s">
        <v>545</v>
      </c>
      <c r="X3" s="101"/>
    </row>
    <row r="4" spans="2:35" x14ac:dyDescent="0.25">
      <c r="D4" s="8" t="s">
        <v>0</v>
      </c>
      <c r="E4" s="18" t="s">
        <v>1</v>
      </c>
      <c r="F4" s="18" t="s">
        <v>2</v>
      </c>
      <c r="G4" s="18" t="s">
        <v>3</v>
      </c>
      <c r="H4" s="32" t="s">
        <v>4</v>
      </c>
      <c r="I4" s="18" t="s">
        <v>5</v>
      </c>
      <c r="J4" s="27" t="s">
        <v>38</v>
      </c>
      <c r="K4" s="18" t="s">
        <v>41</v>
      </c>
      <c r="L4" s="18" t="s">
        <v>42</v>
      </c>
      <c r="M4" s="18" t="s">
        <v>45</v>
      </c>
      <c r="N4" s="18" t="s">
        <v>46</v>
      </c>
      <c r="O4" s="18" t="s">
        <v>44</v>
      </c>
      <c r="P4" s="18" t="s">
        <v>43</v>
      </c>
      <c r="W4" s="8" t="s">
        <v>0</v>
      </c>
      <c r="X4" s="18" t="s">
        <v>1</v>
      </c>
      <c r="Y4" s="18" t="s">
        <v>2</v>
      </c>
      <c r="Z4" s="18" t="s">
        <v>3</v>
      </c>
      <c r="AA4" s="32" t="s">
        <v>4</v>
      </c>
      <c r="AB4" s="18" t="s">
        <v>5</v>
      </c>
      <c r="AC4" s="27" t="s">
        <v>38</v>
      </c>
      <c r="AD4" s="18" t="s">
        <v>41</v>
      </c>
      <c r="AE4" s="18" t="s">
        <v>42</v>
      </c>
      <c r="AF4" s="18" t="s">
        <v>45</v>
      </c>
      <c r="AG4" s="18" t="s">
        <v>46</v>
      </c>
      <c r="AH4" s="18" t="s">
        <v>44</v>
      </c>
      <c r="AI4" s="18" t="s">
        <v>43</v>
      </c>
    </row>
    <row r="5" spans="2:35" x14ac:dyDescent="0.25">
      <c r="B5" s="9">
        <v>1</v>
      </c>
      <c r="D5" t="s">
        <v>7</v>
      </c>
      <c r="E5" s="17">
        <v>22</v>
      </c>
      <c r="F5" s="17">
        <v>18</v>
      </c>
      <c r="G5" s="17">
        <v>10</v>
      </c>
      <c r="H5" s="31">
        <f t="shared" ref="H5:H26" si="0">F5+G5</f>
        <v>28</v>
      </c>
      <c r="I5" s="17">
        <v>0</v>
      </c>
      <c r="J5" s="25">
        <f t="shared" ref="J5:J26" si="1">H5/E5</f>
        <v>1.2727272727272727</v>
      </c>
      <c r="K5" s="17">
        <v>1</v>
      </c>
      <c r="L5" s="17">
        <v>1</v>
      </c>
      <c r="M5" s="17">
        <v>0</v>
      </c>
      <c r="N5" s="17">
        <v>0</v>
      </c>
      <c r="O5" s="17">
        <v>0</v>
      </c>
      <c r="P5" s="17">
        <v>0</v>
      </c>
      <c r="U5" s="9">
        <v>1</v>
      </c>
      <c r="W5" t="s">
        <v>7</v>
      </c>
      <c r="X5" s="17">
        <v>61</v>
      </c>
      <c r="Y5" s="17">
        <v>75</v>
      </c>
      <c r="Z5" s="17">
        <v>42</v>
      </c>
      <c r="AA5" s="31">
        <f>Y5+Z5</f>
        <v>117</v>
      </c>
      <c r="AB5" s="17">
        <v>10</v>
      </c>
      <c r="AC5" s="25">
        <f>AA5/X5</f>
        <v>1.9180327868852458</v>
      </c>
      <c r="AD5" s="17">
        <v>3</v>
      </c>
      <c r="AE5" s="17">
        <v>3</v>
      </c>
      <c r="AF5" s="17">
        <v>6</v>
      </c>
      <c r="AG5" s="17">
        <v>2</v>
      </c>
      <c r="AH5" s="17">
        <v>1</v>
      </c>
      <c r="AI5" s="17">
        <v>1</v>
      </c>
    </row>
    <row r="6" spans="2:35" x14ac:dyDescent="0.25">
      <c r="B6" s="9">
        <v>2</v>
      </c>
      <c r="D6" t="s">
        <v>1473</v>
      </c>
      <c r="E6" s="17">
        <v>22</v>
      </c>
      <c r="F6" s="17">
        <v>15</v>
      </c>
      <c r="G6" s="17">
        <v>12</v>
      </c>
      <c r="H6" s="31">
        <f t="shared" si="0"/>
        <v>27</v>
      </c>
      <c r="I6" s="17">
        <v>20</v>
      </c>
      <c r="J6" s="25">
        <f t="shared" si="1"/>
        <v>1.2272727272727273</v>
      </c>
      <c r="K6" s="17">
        <v>0</v>
      </c>
      <c r="L6" s="17">
        <v>0</v>
      </c>
      <c r="M6" s="17">
        <v>1</v>
      </c>
      <c r="N6" s="17">
        <v>0</v>
      </c>
      <c r="O6" s="17">
        <v>2</v>
      </c>
      <c r="P6" s="17">
        <v>2</v>
      </c>
      <c r="U6" s="9">
        <v>2</v>
      </c>
      <c r="W6" t="s">
        <v>13</v>
      </c>
      <c r="X6" s="17">
        <v>26</v>
      </c>
      <c r="Y6" s="17">
        <v>49</v>
      </c>
      <c r="Z6" s="17">
        <v>29</v>
      </c>
      <c r="AA6" s="31">
        <f>Y6+Z6</f>
        <v>78</v>
      </c>
      <c r="AB6" s="17">
        <v>4</v>
      </c>
      <c r="AC6" s="25">
        <f>AA6/X6</f>
        <v>3</v>
      </c>
      <c r="AD6" s="17">
        <v>1</v>
      </c>
      <c r="AE6" s="17">
        <v>3</v>
      </c>
      <c r="AF6" s="17">
        <v>9</v>
      </c>
      <c r="AG6" s="17">
        <v>2</v>
      </c>
      <c r="AH6" s="17">
        <v>2</v>
      </c>
      <c r="AI6" s="17">
        <v>0</v>
      </c>
    </row>
    <row r="7" spans="2:35" x14ac:dyDescent="0.25">
      <c r="B7" s="9">
        <v>3</v>
      </c>
      <c r="D7" t="s">
        <v>30</v>
      </c>
      <c r="E7" s="17">
        <v>24</v>
      </c>
      <c r="F7" s="17">
        <v>13</v>
      </c>
      <c r="G7" s="17">
        <v>14</v>
      </c>
      <c r="H7" s="31">
        <f t="shared" si="0"/>
        <v>27</v>
      </c>
      <c r="I7" s="17">
        <v>6</v>
      </c>
      <c r="J7" s="25">
        <f t="shared" si="1"/>
        <v>1.125</v>
      </c>
      <c r="K7" s="17">
        <v>1</v>
      </c>
      <c r="L7" s="17">
        <v>2</v>
      </c>
      <c r="M7" s="17">
        <v>0</v>
      </c>
      <c r="N7" s="17">
        <v>0</v>
      </c>
      <c r="O7" s="17">
        <v>0</v>
      </c>
      <c r="P7" s="17">
        <v>0</v>
      </c>
      <c r="U7" s="9">
        <v>3</v>
      </c>
      <c r="W7" t="s">
        <v>30</v>
      </c>
      <c r="X7" s="17">
        <v>39</v>
      </c>
      <c r="Y7" s="17">
        <v>23</v>
      </c>
      <c r="Z7" s="17">
        <v>40</v>
      </c>
      <c r="AA7" s="31">
        <f>Y7+Z7</f>
        <v>63</v>
      </c>
      <c r="AB7" s="17">
        <v>8</v>
      </c>
      <c r="AC7" s="25">
        <f>AA7/X7</f>
        <v>1.6153846153846154</v>
      </c>
      <c r="AD7" s="17">
        <v>1</v>
      </c>
      <c r="AE7" s="17">
        <v>0</v>
      </c>
      <c r="AF7" s="17">
        <v>0</v>
      </c>
      <c r="AG7" s="17">
        <v>0</v>
      </c>
      <c r="AH7" s="17">
        <v>0</v>
      </c>
      <c r="AI7" s="17">
        <v>0</v>
      </c>
    </row>
    <row r="8" spans="2:35" x14ac:dyDescent="0.25">
      <c r="B8" s="9">
        <v>4</v>
      </c>
      <c r="D8" t="s">
        <v>324</v>
      </c>
      <c r="E8" s="17">
        <v>10</v>
      </c>
      <c r="F8" s="17">
        <v>10</v>
      </c>
      <c r="G8" s="17">
        <v>10</v>
      </c>
      <c r="H8" s="31">
        <f t="shared" si="0"/>
        <v>20</v>
      </c>
      <c r="I8" s="17">
        <v>6</v>
      </c>
      <c r="J8" s="25">
        <f t="shared" si="1"/>
        <v>2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U8" s="9">
        <v>4</v>
      </c>
      <c r="W8" t="s">
        <v>36</v>
      </c>
      <c r="X8" s="17">
        <v>100</v>
      </c>
      <c r="Y8" s="17">
        <v>32</v>
      </c>
      <c r="Z8" s="17">
        <v>23</v>
      </c>
      <c r="AA8" s="31">
        <f>Y8+Z8</f>
        <v>55</v>
      </c>
      <c r="AB8" s="17">
        <v>8</v>
      </c>
      <c r="AC8" s="25">
        <f>AA8/X8</f>
        <v>0.55000000000000004</v>
      </c>
      <c r="AD8" s="17">
        <v>0</v>
      </c>
      <c r="AE8" s="17">
        <v>0</v>
      </c>
      <c r="AF8" s="17">
        <v>2</v>
      </c>
      <c r="AG8" s="17">
        <v>0</v>
      </c>
      <c r="AH8" s="17">
        <v>0</v>
      </c>
      <c r="AI8" s="17">
        <v>0</v>
      </c>
    </row>
    <row r="9" spans="2:35" x14ac:dyDescent="0.25">
      <c r="B9" s="9">
        <v>5</v>
      </c>
      <c r="D9" t="s">
        <v>1178</v>
      </c>
      <c r="E9" s="17">
        <v>12</v>
      </c>
      <c r="F9" s="17">
        <v>9</v>
      </c>
      <c r="G9" s="17">
        <v>7</v>
      </c>
      <c r="H9" s="31">
        <f t="shared" si="0"/>
        <v>16</v>
      </c>
      <c r="I9" s="17">
        <v>2</v>
      </c>
      <c r="J9" s="25">
        <f t="shared" si="1"/>
        <v>1.3333333333333333</v>
      </c>
      <c r="K9" s="17">
        <v>1</v>
      </c>
      <c r="L9" s="17">
        <v>1</v>
      </c>
      <c r="M9" s="17">
        <v>2</v>
      </c>
      <c r="N9" s="17">
        <v>0</v>
      </c>
      <c r="O9" s="17">
        <v>0</v>
      </c>
      <c r="P9" s="17">
        <v>0</v>
      </c>
      <c r="U9" s="9">
        <v>5</v>
      </c>
      <c r="W9" t="s">
        <v>10</v>
      </c>
      <c r="X9" s="17">
        <v>65</v>
      </c>
      <c r="Y9" s="17">
        <v>25</v>
      </c>
      <c r="Z9" s="17">
        <v>28</v>
      </c>
      <c r="AA9" s="31">
        <f>Y9+Z9</f>
        <v>53</v>
      </c>
      <c r="AB9" s="17">
        <v>12</v>
      </c>
      <c r="AC9" s="25">
        <f>AA9/X9</f>
        <v>0.81538461538461537</v>
      </c>
      <c r="AD9" s="17">
        <v>1</v>
      </c>
      <c r="AE9" s="17">
        <v>1</v>
      </c>
      <c r="AF9" s="17">
        <v>1</v>
      </c>
      <c r="AG9" s="17">
        <v>0</v>
      </c>
      <c r="AH9" s="17">
        <v>0</v>
      </c>
      <c r="AI9" s="17">
        <v>0</v>
      </c>
    </row>
    <row r="10" spans="2:35" x14ac:dyDescent="0.25">
      <c r="B10" s="9">
        <v>6</v>
      </c>
      <c r="D10" t="s">
        <v>39</v>
      </c>
      <c r="E10" s="17">
        <v>20</v>
      </c>
      <c r="F10" s="17">
        <v>5</v>
      </c>
      <c r="G10" s="17">
        <v>6</v>
      </c>
      <c r="H10" s="31">
        <f t="shared" si="0"/>
        <v>11</v>
      </c>
      <c r="I10" s="17">
        <v>0</v>
      </c>
      <c r="J10" s="25">
        <f t="shared" si="1"/>
        <v>0.55000000000000004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U10" s="9">
        <v>6</v>
      </c>
      <c r="W10" t="s">
        <v>6</v>
      </c>
      <c r="X10" s="17">
        <v>32</v>
      </c>
      <c r="Y10" s="17">
        <v>29</v>
      </c>
      <c r="Z10" s="17">
        <v>16</v>
      </c>
      <c r="AA10" s="31">
        <f>Y10+Z10</f>
        <v>45</v>
      </c>
      <c r="AB10" s="17">
        <v>14</v>
      </c>
      <c r="AC10" s="25">
        <f>AA10/X10</f>
        <v>1.40625</v>
      </c>
      <c r="AD10" s="17">
        <v>3</v>
      </c>
      <c r="AE10" s="17">
        <v>0</v>
      </c>
      <c r="AF10" s="17">
        <v>4</v>
      </c>
      <c r="AG10" s="17">
        <v>0</v>
      </c>
      <c r="AH10" s="17">
        <v>0</v>
      </c>
      <c r="AI10" s="17">
        <v>0</v>
      </c>
    </row>
    <row r="11" spans="2:35" x14ac:dyDescent="0.25">
      <c r="B11" s="9">
        <v>7</v>
      </c>
      <c r="D11" t="s">
        <v>358</v>
      </c>
      <c r="E11" s="17">
        <v>18</v>
      </c>
      <c r="F11" s="17">
        <v>8</v>
      </c>
      <c r="G11" s="17">
        <v>2</v>
      </c>
      <c r="H11" s="31">
        <f t="shared" si="0"/>
        <v>10</v>
      </c>
      <c r="I11" s="17">
        <v>4</v>
      </c>
      <c r="J11" s="25">
        <f t="shared" si="1"/>
        <v>0.55555555555555558</v>
      </c>
      <c r="K11" s="17">
        <v>1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U11" s="9">
        <v>7</v>
      </c>
      <c r="W11" t="s">
        <v>8</v>
      </c>
      <c r="X11" s="17">
        <v>42</v>
      </c>
      <c r="Y11" s="17">
        <v>27</v>
      </c>
      <c r="Z11" s="17">
        <v>18</v>
      </c>
      <c r="AA11" s="31">
        <f>Y11+Z11</f>
        <v>45</v>
      </c>
      <c r="AB11" s="17">
        <v>40</v>
      </c>
      <c r="AC11" s="25">
        <f>AA11/X11</f>
        <v>1.0714285714285714</v>
      </c>
      <c r="AD11" s="17">
        <v>1</v>
      </c>
      <c r="AE11" s="17">
        <v>0</v>
      </c>
      <c r="AF11" s="17">
        <v>1</v>
      </c>
      <c r="AG11" s="17">
        <v>0</v>
      </c>
      <c r="AH11" s="17">
        <v>0</v>
      </c>
      <c r="AI11" s="17">
        <v>0</v>
      </c>
    </row>
    <row r="12" spans="2:35" x14ac:dyDescent="0.25">
      <c r="B12" s="9">
        <v>8</v>
      </c>
      <c r="D12" t="s">
        <v>10</v>
      </c>
      <c r="E12" s="17">
        <v>15</v>
      </c>
      <c r="F12" s="17">
        <v>7</v>
      </c>
      <c r="G12" s="17">
        <v>3</v>
      </c>
      <c r="H12" s="31">
        <f t="shared" si="0"/>
        <v>10</v>
      </c>
      <c r="I12" s="17">
        <v>4</v>
      </c>
      <c r="J12" s="25">
        <f t="shared" si="1"/>
        <v>0.66666666666666663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U12" s="9">
        <v>8</v>
      </c>
      <c r="W12" t="s">
        <v>434</v>
      </c>
      <c r="X12" s="17">
        <v>31</v>
      </c>
      <c r="Y12" s="17">
        <v>25</v>
      </c>
      <c r="Z12" s="17">
        <v>19</v>
      </c>
      <c r="AA12" s="31">
        <f>Y12+Z12</f>
        <v>44</v>
      </c>
      <c r="AB12" s="17">
        <v>6</v>
      </c>
      <c r="AC12" s="25">
        <f>AA12/X12</f>
        <v>1.4193548387096775</v>
      </c>
      <c r="AD12" s="17">
        <v>1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</row>
    <row r="13" spans="2:35" x14ac:dyDescent="0.25">
      <c r="B13" s="9">
        <v>9</v>
      </c>
      <c r="D13" t="s">
        <v>14</v>
      </c>
      <c r="E13" s="17">
        <v>16</v>
      </c>
      <c r="F13" s="17">
        <v>3</v>
      </c>
      <c r="G13" s="17">
        <v>4</v>
      </c>
      <c r="H13" s="31">
        <f t="shared" si="0"/>
        <v>7</v>
      </c>
      <c r="I13" s="17">
        <v>6</v>
      </c>
      <c r="J13" s="25">
        <f t="shared" si="1"/>
        <v>0.4375</v>
      </c>
      <c r="K13" s="17">
        <v>1</v>
      </c>
      <c r="L13" s="17">
        <v>0</v>
      </c>
      <c r="M13" s="17">
        <v>0</v>
      </c>
      <c r="N13" s="17">
        <v>1</v>
      </c>
      <c r="O13" s="17">
        <v>0</v>
      </c>
      <c r="P13" s="17">
        <v>0</v>
      </c>
      <c r="U13" s="9">
        <v>9</v>
      </c>
      <c r="W13" t="s">
        <v>9</v>
      </c>
      <c r="X13" s="17">
        <v>41</v>
      </c>
      <c r="Y13" s="17">
        <v>19</v>
      </c>
      <c r="Z13" s="17">
        <v>25</v>
      </c>
      <c r="AA13" s="31">
        <f>Y13+Z13</f>
        <v>44</v>
      </c>
      <c r="AB13" s="17">
        <v>4</v>
      </c>
      <c r="AC13" s="25">
        <f>AA13/X13</f>
        <v>1.0731707317073171</v>
      </c>
      <c r="AD13" s="17">
        <v>1</v>
      </c>
      <c r="AE13" s="17">
        <v>0</v>
      </c>
      <c r="AF13" s="17">
        <v>2</v>
      </c>
      <c r="AG13" s="17">
        <v>0</v>
      </c>
      <c r="AH13" s="17">
        <v>0</v>
      </c>
      <c r="AI13" s="17">
        <v>0</v>
      </c>
    </row>
    <row r="14" spans="2:35" x14ac:dyDescent="0.25">
      <c r="B14" s="9">
        <v>10</v>
      </c>
      <c r="D14" t="s">
        <v>1188</v>
      </c>
      <c r="E14" s="17">
        <v>8</v>
      </c>
      <c r="F14" s="17">
        <v>1</v>
      </c>
      <c r="G14" s="17">
        <v>4</v>
      </c>
      <c r="H14" s="31">
        <f t="shared" si="0"/>
        <v>5</v>
      </c>
      <c r="I14" s="17">
        <v>0</v>
      </c>
      <c r="J14" s="25">
        <f t="shared" si="1"/>
        <v>0.625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U14" s="9">
        <v>10</v>
      </c>
      <c r="W14" t="s">
        <v>22</v>
      </c>
      <c r="X14" s="17">
        <v>97</v>
      </c>
      <c r="Y14" s="17">
        <v>14</v>
      </c>
      <c r="Z14" s="17">
        <v>23</v>
      </c>
      <c r="AA14" s="31">
        <f>Y14+Z14</f>
        <v>37</v>
      </c>
      <c r="AB14" s="17">
        <v>57</v>
      </c>
      <c r="AC14" s="25">
        <f>AA14/X14</f>
        <v>0.38144329896907214</v>
      </c>
      <c r="AD14" s="17">
        <v>3</v>
      </c>
      <c r="AE14" s="17">
        <v>0</v>
      </c>
      <c r="AF14" s="17">
        <v>0</v>
      </c>
      <c r="AG14" s="17">
        <v>0</v>
      </c>
      <c r="AH14" s="17">
        <v>0</v>
      </c>
      <c r="AI14" s="17">
        <v>0</v>
      </c>
    </row>
    <row r="15" spans="2:35" x14ac:dyDescent="0.25">
      <c r="B15" s="9">
        <v>11</v>
      </c>
      <c r="D15" t="s">
        <v>1182</v>
      </c>
      <c r="E15" s="17">
        <v>14</v>
      </c>
      <c r="F15" s="17">
        <v>2</v>
      </c>
      <c r="G15" s="17">
        <v>2</v>
      </c>
      <c r="H15" s="31">
        <f t="shared" si="0"/>
        <v>4</v>
      </c>
      <c r="I15" s="17">
        <v>0</v>
      </c>
      <c r="J15" s="25">
        <f t="shared" si="1"/>
        <v>0.2857142857142857</v>
      </c>
      <c r="K15" s="17">
        <v>0</v>
      </c>
      <c r="L15" s="17">
        <v>0</v>
      </c>
      <c r="M15" s="17">
        <v>1</v>
      </c>
      <c r="N15" s="17">
        <v>0</v>
      </c>
      <c r="O15" s="17">
        <v>1</v>
      </c>
      <c r="P15" s="17">
        <v>0</v>
      </c>
      <c r="U15" s="9">
        <v>11</v>
      </c>
      <c r="W15" t="s">
        <v>255</v>
      </c>
      <c r="X15" s="17">
        <v>63</v>
      </c>
      <c r="Y15" s="17">
        <v>19</v>
      </c>
      <c r="Z15" s="17">
        <v>13</v>
      </c>
      <c r="AA15" s="31">
        <f>Y15+Z15</f>
        <v>32</v>
      </c>
      <c r="AB15" s="17">
        <v>6</v>
      </c>
      <c r="AC15" s="25">
        <f>AA15/X15</f>
        <v>0.50793650793650791</v>
      </c>
      <c r="AD15" s="17">
        <v>3</v>
      </c>
      <c r="AE15" s="17">
        <v>0</v>
      </c>
      <c r="AF15" s="17">
        <v>2</v>
      </c>
      <c r="AG15" s="17">
        <v>0</v>
      </c>
      <c r="AH15" s="17">
        <v>0</v>
      </c>
      <c r="AI15" s="17">
        <v>0</v>
      </c>
    </row>
    <row r="16" spans="2:35" x14ac:dyDescent="0.25">
      <c r="B16" s="9">
        <v>12</v>
      </c>
      <c r="D16" t="s">
        <v>1474</v>
      </c>
      <c r="E16" s="17">
        <v>6</v>
      </c>
      <c r="F16" s="17">
        <v>3</v>
      </c>
      <c r="G16" s="17">
        <v>0</v>
      </c>
      <c r="H16" s="31">
        <f t="shared" si="0"/>
        <v>3</v>
      </c>
      <c r="I16" s="17">
        <v>4</v>
      </c>
      <c r="J16" s="25">
        <f t="shared" si="1"/>
        <v>0.5</v>
      </c>
      <c r="K16" s="17">
        <v>0</v>
      </c>
      <c r="L16" s="17">
        <v>0</v>
      </c>
      <c r="M16" s="17">
        <v>0</v>
      </c>
      <c r="N16" s="17">
        <v>1</v>
      </c>
      <c r="O16" s="17">
        <v>0</v>
      </c>
      <c r="P16" s="17">
        <v>0</v>
      </c>
      <c r="U16" s="9">
        <v>12</v>
      </c>
      <c r="W16" t="s">
        <v>1178</v>
      </c>
      <c r="X16" s="17">
        <v>19</v>
      </c>
      <c r="Y16" s="17">
        <v>19</v>
      </c>
      <c r="Z16" s="17">
        <v>12</v>
      </c>
      <c r="AA16" s="31">
        <f>Y16+Z16</f>
        <v>31</v>
      </c>
      <c r="AB16" s="17">
        <v>4</v>
      </c>
      <c r="AC16" s="25">
        <f>AA16/X16</f>
        <v>1.631578947368421</v>
      </c>
      <c r="AD16" s="17">
        <v>0</v>
      </c>
      <c r="AE16" s="17">
        <v>0</v>
      </c>
      <c r="AF16" s="17">
        <v>3</v>
      </c>
      <c r="AG16" s="17">
        <v>0</v>
      </c>
      <c r="AH16" s="17">
        <v>0</v>
      </c>
      <c r="AI16" s="17">
        <v>0</v>
      </c>
    </row>
    <row r="17" spans="2:35" x14ac:dyDescent="0.25">
      <c r="B17" s="9">
        <v>13</v>
      </c>
      <c r="D17" t="s">
        <v>8</v>
      </c>
      <c r="E17" s="17">
        <v>4</v>
      </c>
      <c r="F17" s="17">
        <v>2</v>
      </c>
      <c r="G17" s="17">
        <v>1</v>
      </c>
      <c r="H17" s="31">
        <f t="shared" si="0"/>
        <v>3</v>
      </c>
      <c r="I17" s="17">
        <v>2</v>
      </c>
      <c r="J17" s="25">
        <f t="shared" si="1"/>
        <v>0.75</v>
      </c>
      <c r="K17" s="17">
        <v>0</v>
      </c>
      <c r="L17" s="17">
        <v>0</v>
      </c>
      <c r="M17" s="17">
        <v>1</v>
      </c>
      <c r="N17" s="17">
        <v>0</v>
      </c>
      <c r="O17" s="17">
        <v>0</v>
      </c>
      <c r="P17" s="17">
        <v>0</v>
      </c>
      <c r="U17" s="9">
        <v>13</v>
      </c>
      <c r="W17" t="s">
        <v>324</v>
      </c>
      <c r="X17" s="17">
        <v>20</v>
      </c>
      <c r="Y17" s="17">
        <v>21</v>
      </c>
      <c r="Z17" s="17">
        <v>9</v>
      </c>
      <c r="AA17" s="31">
        <f>Y17+Z17</f>
        <v>30</v>
      </c>
      <c r="AB17" s="17">
        <v>14</v>
      </c>
      <c r="AC17" s="25">
        <f>AA17/X17</f>
        <v>1.5</v>
      </c>
      <c r="AD17" s="17">
        <v>1</v>
      </c>
      <c r="AE17" s="17">
        <v>1</v>
      </c>
      <c r="AF17" s="17">
        <v>1</v>
      </c>
      <c r="AG17" s="17">
        <v>0</v>
      </c>
      <c r="AH17" s="17">
        <v>0</v>
      </c>
      <c r="AI17" s="17">
        <v>0</v>
      </c>
    </row>
    <row r="18" spans="2:35" x14ac:dyDescent="0.25">
      <c r="B18" s="9">
        <v>14</v>
      </c>
      <c r="D18" t="s">
        <v>16</v>
      </c>
      <c r="E18" s="17">
        <v>18</v>
      </c>
      <c r="F18" s="17">
        <v>1</v>
      </c>
      <c r="G18" s="17">
        <v>2</v>
      </c>
      <c r="H18" s="31">
        <f t="shared" si="0"/>
        <v>3</v>
      </c>
      <c r="I18" s="17">
        <v>18</v>
      </c>
      <c r="J18" s="25">
        <f t="shared" si="1"/>
        <v>0.16666666666666666</v>
      </c>
      <c r="K18" s="17">
        <v>1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U18" s="9">
        <v>14</v>
      </c>
      <c r="W18" t="s">
        <v>77</v>
      </c>
      <c r="X18" s="17">
        <v>14</v>
      </c>
      <c r="Y18" s="17">
        <v>15</v>
      </c>
      <c r="Z18" s="17">
        <v>13</v>
      </c>
      <c r="AA18" s="31">
        <f>Y18+Z18</f>
        <v>28</v>
      </c>
      <c r="AB18" s="17">
        <v>23</v>
      </c>
      <c r="AC18" s="25">
        <f>AA18/X18</f>
        <v>2</v>
      </c>
      <c r="AD18" s="17">
        <v>1</v>
      </c>
      <c r="AE18" s="17">
        <v>1</v>
      </c>
      <c r="AF18" s="17">
        <v>1</v>
      </c>
      <c r="AG18" s="17">
        <v>0</v>
      </c>
      <c r="AH18" s="17">
        <v>0</v>
      </c>
      <c r="AI18" s="17">
        <v>0</v>
      </c>
    </row>
    <row r="19" spans="2:35" x14ac:dyDescent="0.25">
      <c r="B19" s="9">
        <v>15</v>
      </c>
      <c r="D19" t="s">
        <v>225</v>
      </c>
      <c r="E19" s="17">
        <v>20</v>
      </c>
      <c r="F19" s="17">
        <v>1</v>
      </c>
      <c r="G19" s="17">
        <v>2</v>
      </c>
      <c r="H19" s="31">
        <f t="shared" si="0"/>
        <v>3</v>
      </c>
      <c r="I19" s="17">
        <v>8</v>
      </c>
      <c r="J19" s="25">
        <f t="shared" si="1"/>
        <v>0.15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U19" s="9">
        <v>15</v>
      </c>
      <c r="W19" t="s">
        <v>17</v>
      </c>
      <c r="X19" s="17">
        <v>104</v>
      </c>
      <c r="Y19" s="17">
        <v>15</v>
      </c>
      <c r="Z19" s="17">
        <v>13</v>
      </c>
      <c r="AA19" s="31">
        <f>Y19+Z19</f>
        <v>28</v>
      </c>
      <c r="AB19" s="17">
        <v>16</v>
      </c>
      <c r="AC19" s="25">
        <f>AA19/X19</f>
        <v>0.26923076923076922</v>
      </c>
      <c r="AD19" s="17">
        <v>1</v>
      </c>
      <c r="AE19" s="17">
        <v>0</v>
      </c>
      <c r="AF19" s="17">
        <v>1</v>
      </c>
      <c r="AG19" s="17">
        <v>0</v>
      </c>
      <c r="AH19" s="17">
        <v>0</v>
      </c>
      <c r="AI19" s="17">
        <v>0</v>
      </c>
    </row>
    <row r="20" spans="2:35" x14ac:dyDescent="0.25">
      <c r="B20" s="9">
        <v>16</v>
      </c>
      <c r="D20" t="s">
        <v>1518</v>
      </c>
      <c r="E20" s="17">
        <v>8</v>
      </c>
      <c r="F20" s="17">
        <v>1</v>
      </c>
      <c r="G20" s="17">
        <v>1</v>
      </c>
      <c r="H20" s="31">
        <f t="shared" si="0"/>
        <v>2</v>
      </c>
      <c r="I20" s="17">
        <v>4</v>
      </c>
      <c r="J20" s="25">
        <f t="shared" si="1"/>
        <v>0.25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1</v>
      </c>
      <c r="U20" s="9">
        <v>16</v>
      </c>
      <c r="W20" t="s">
        <v>20</v>
      </c>
      <c r="X20" s="17">
        <v>40</v>
      </c>
      <c r="Y20" s="17">
        <v>6</v>
      </c>
      <c r="Z20" s="17">
        <v>22</v>
      </c>
      <c r="AA20" s="31">
        <f>Y20+Z20</f>
        <v>28</v>
      </c>
      <c r="AB20" s="17">
        <v>12</v>
      </c>
      <c r="AC20" s="25">
        <f>AA20/X20</f>
        <v>0.7</v>
      </c>
      <c r="AD20" s="17">
        <v>0</v>
      </c>
      <c r="AE20" s="17">
        <v>0</v>
      </c>
      <c r="AF20" s="17">
        <v>0</v>
      </c>
      <c r="AG20" s="17">
        <v>0</v>
      </c>
      <c r="AH20" s="17">
        <v>0</v>
      </c>
      <c r="AI20" s="17">
        <v>0</v>
      </c>
    </row>
    <row r="21" spans="2:35" x14ac:dyDescent="0.25">
      <c r="B21" s="9">
        <v>17</v>
      </c>
      <c r="D21" t="s">
        <v>75</v>
      </c>
      <c r="E21" s="17">
        <v>18</v>
      </c>
      <c r="F21" s="17">
        <v>0</v>
      </c>
      <c r="G21" s="17">
        <v>1</v>
      </c>
      <c r="H21" s="31">
        <f t="shared" si="0"/>
        <v>1</v>
      </c>
      <c r="I21" s="17">
        <v>2</v>
      </c>
      <c r="J21" s="25">
        <f t="shared" si="1"/>
        <v>5.5555555555555552E-2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U21" s="9">
        <v>17</v>
      </c>
      <c r="W21" t="s">
        <v>39</v>
      </c>
      <c r="X21" s="17">
        <v>22</v>
      </c>
      <c r="Y21" s="17">
        <v>15</v>
      </c>
      <c r="Z21" s="17">
        <v>10</v>
      </c>
      <c r="AA21" s="31">
        <f>Y21+Z21</f>
        <v>25</v>
      </c>
      <c r="AB21" s="17">
        <v>0</v>
      </c>
      <c r="AC21" s="25">
        <f>AA21/X21</f>
        <v>1.1363636363636365</v>
      </c>
      <c r="AD21" s="17">
        <v>2</v>
      </c>
      <c r="AE21" s="17">
        <v>0</v>
      </c>
      <c r="AF21" s="17">
        <v>1</v>
      </c>
      <c r="AG21" s="17">
        <v>0</v>
      </c>
      <c r="AH21" s="17">
        <v>0</v>
      </c>
      <c r="AI21" s="17">
        <v>0</v>
      </c>
    </row>
    <row r="22" spans="2:35" x14ac:dyDescent="0.25">
      <c r="B22" s="9">
        <v>18</v>
      </c>
      <c r="D22" t="s">
        <v>9</v>
      </c>
      <c r="E22" s="17">
        <v>2</v>
      </c>
      <c r="F22" s="17">
        <v>0</v>
      </c>
      <c r="G22" s="17">
        <v>0</v>
      </c>
      <c r="H22" s="31">
        <f t="shared" si="0"/>
        <v>0</v>
      </c>
      <c r="I22" s="17">
        <v>0</v>
      </c>
      <c r="J22" s="25">
        <f t="shared" si="1"/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U22" s="9">
        <v>18</v>
      </c>
      <c r="W22" t="s">
        <v>1188</v>
      </c>
      <c r="X22" s="17">
        <v>23</v>
      </c>
      <c r="Y22" s="17">
        <v>13</v>
      </c>
      <c r="Z22" s="17">
        <v>11</v>
      </c>
      <c r="AA22" s="31">
        <f>Y22+Z22</f>
        <v>24</v>
      </c>
      <c r="AB22" s="17">
        <v>4</v>
      </c>
      <c r="AC22" s="25">
        <f>AA22/X22</f>
        <v>1.0434782608695652</v>
      </c>
      <c r="AD22" s="17">
        <v>0</v>
      </c>
      <c r="AE22" s="17">
        <v>0</v>
      </c>
      <c r="AF22" s="17">
        <v>2</v>
      </c>
      <c r="AG22" s="17">
        <v>0</v>
      </c>
      <c r="AH22" s="17">
        <v>0</v>
      </c>
      <c r="AI22" s="17">
        <v>0</v>
      </c>
    </row>
    <row r="23" spans="2:35" x14ac:dyDescent="0.25">
      <c r="B23" s="9">
        <v>19</v>
      </c>
      <c r="D23" t="s">
        <v>1369</v>
      </c>
      <c r="E23" s="17">
        <v>2</v>
      </c>
      <c r="F23" s="17">
        <v>0</v>
      </c>
      <c r="G23" s="17">
        <v>0</v>
      </c>
      <c r="H23" s="31">
        <f t="shared" si="0"/>
        <v>0</v>
      </c>
      <c r="I23" s="17">
        <v>0</v>
      </c>
      <c r="J23" s="25">
        <f t="shared" si="1"/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U23" s="9">
        <v>19</v>
      </c>
      <c r="W23" t="s">
        <v>11</v>
      </c>
      <c r="X23" s="17">
        <v>36</v>
      </c>
      <c r="Y23" s="17">
        <v>17</v>
      </c>
      <c r="Z23" s="17">
        <v>6</v>
      </c>
      <c r="AA23" s="31">
        <f>Y23+Z23</f>
        <v>23</v>
      </c>
      <c r="AB23" s="17">
        <v>20</v>
      </c>
      <c r="AC23" s="25">
        <f>AA23/X23</f>
        <v>0.63888888888888884</v>
      </c>
      <c r="AD23" s="17">
        <v>2</v>
      </c>
      <c r="AE23" s="17">
        <v>0</v>
      </c>
      <c r="AF23" s="17">
        <v>0</v>
      </c>
      <c r="AG23" s="17">
        <v>0</v>
      </c>
      <c r="AH23" s="17">
        <v>0</v>
      </c>
      <c r="AI23" s="17">
        <v>0</v>
      </c>
    </row>
    <row r="24" spans="2:35" x14ac:dyDescent="0.25">
      <c r="B24" s="9">
        <v>20</v>
      </c>
      <c r="D24" t="s">
        <v>1193</v>
      </c>
      <c r="E24" s="17">
        <v>2</v>
      </c>
      <c r="F24" s="17">
        <v>0</v>
      </c>
      <c r="G24" s="17">
        <v>0</v>
      </c>
      <c r="H24" s="31">
        <f t="shared" si="0"/>
        <v>0</v>
      </c>
      <c r="I24" s="17">
        <v>0</v>
      </c>
      <c r="J24" s="25">
        <f t="shared" si="1"/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U24" s="9">
        <v>20</v>
      </c>
      <c r="W24" t="s">
        <v>82</v>
      </c>
      <c r="X24" s="17">
        <v>28</v>
      </c>
      <c r="Y24" s="17">
        <v>15</v>
      </c>
      <c r="Z24" s="17">
        <v>8</v>
      </c>
      <c r="AA24" s="31">
        <f>Y24+Z24</f>
        <v>23</v>
      </c>
      <c r="AB24" s="17">
        <v>12</v>
      </c>
      <c r="AC24" s="25">
        <f>AA24/X24</f>
        <v>0.8214285714285714</v>
      </c>
      <c r="AD24" s="17">
        <v>0</v>
      </c>
      <c r="AE24" s="17">
        <v>0</v>
      </c>
      <c r="AF24" s="17">
        <v>2</v>
      </c>
      <c r="AG24" s="17">
        <v>0</v>
      </c>
      <c r="AH24" s="17">
        <v>0</v>
      </c>
      <c r="AI24" s="17">
        <v>0</v>
      </c>
    </row>
    <row r="25" spans="2:35" x14ac:dyDescent="0.25">
      <c r="B25" s="9">
        <v>21</v>
      </c>
      <c r="D25" t="s">
        <v>12</v>
      </c>
      <c r="E25" s="17">
        <v>2</v>
      </c>
      <c r="F25" s="17">
        <v>0</v>
      </c>
      <c r="G25" s="17">
        <v>0</v>
      </c>
      <c r="H25" s="31">
        <f t="shared" si="0"/>
        <v>0</v>
      </c>
      <c r="I25" s="17">
        <v>0</v>
      </c>
      <c r="J25" s="25">
        <f t="shared" si="1"/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U25" s="9">
        <v>21</v>
      </c>
      <c r="W25" t="s">
        <v>16</v>
      </c>
      <c r="X25" s="17">
        <v>32</v>
      </c>
      <c r="Y25" s="17">
        <v>11</v>
      </c>
      <c r="Z25" s="17">
        <v>11</v>
      </c>
      <c r="AA25" s="31">
        <f>Y25+Z25</f>
        <v>22</v>
      </c>
      <c r="AB25" s="17">
        <v>18</v>
      </c>
      <c r="AC25" s="25">
        <f>AA25/X25</f>
        <v>0.6875</v>
      </c>
      <c r="AD25" s="17">
        <v>0</v>
      </c>
      <c r="AE25" s="17">
        <v>3</v>
      </c>
      <c r="AF25" s="17">
        <v>1</v>
      </c>
      <c r="AG25" s="17">
        <v>0</v>
      </c>
      <c r="AH25" s="17">
        <v>0</v>
      </c>
      <c r="AI25" s="17">
        <v>0</v>
      </c>
    </row>
    <row r="26" spans="2:35" x14ac:dyDescent="0.25">
      <c r="B26" s="9">
        <v>22</v>
      </c>
      <c r="D26" t="s">
        <v>435</v>
      </c>
      <c r="E26" s="17">
        <v>4</v>
      </c>
      <c r="F26" s="17">
        <v>0</v>
      </c>
      <c r="G26" s="17">
        <v>0</v>
      </c>
      <c r="H26" s="31">
        <f t="shared" si="0"/>
        <v>0</v>
      </c>
      <c r="I26" s="17">
        <v>0</v>
      </c>
      <c r="J26" s="25">
        <f t="shared" si="1"/>
        <v>0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U26" s="9">
        <v>22</v>
      </c>
      <c r="W26" t="s">
        <v>227</v>
      </c>
      <c r="X26" s="17">
        <v>70</v>
      </c>
      <c r="Y26" s="17">
        <v>9</v>
      </c>
      <c r="Z26" s="17">
        <v>13</v>
      </c>
      <c r="AA26" s="31">
        <f>Y26+Z26</f>
        <v>22</v>
      </c>
      <c r="AB26" s="17">
        <v>9</v>
      </c>
      <c r="AC26" s="25">
        <f>AA26/X26</f>
        <v>0.31428571428571428</v>
      </c>
      <c r="AD26" s="17">
        <v>1</v>
      </c>
      <c r="AE26" s="17">
        <v>0</v>
      </c>
      <c r="AF26" s="17">
        <v>0</v>
      </c>
      <c r="AG26" s="17">
        <v>0</v>
      </c>
      <c r="AH26" s="17">
        <v>0</v>
      </c>
      <c r="AI26" s="17">
        <v>0</v>
      </c>
    </row>
    <row r="27" spans="2:35" x14ac:dyDescent="0.25">
      <c r="U27" s="9">
        <v>23</v>
      </c>
      <c r="W27" t="s">
        <v>14</v>
      </c>
      <c r="X27" s="17">
        <v>21</v>
      </c>
      <c r="Y27" s="17">
        <v>11</v>
      </c>
      <c r="Z27" s="17">
        <v>10</v>
      </c>
      <c r="AA27" s="31">
        <f>Y27+Z27</f>
        <v>21</v>
      </c>
      <c r="AB27" s="17">
        <v>4</v>
      </c>
      <c r="AC27" s="25">
        <f>AA27/X27</f>
        <v>1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</row>
    <row r="28" spans="2:35" x14ac:dyDescent="0.25">
      <c r="U28" s="9">
        <v>24</v>
      </c>
      <c r="W28" t="s">
        <v>225</v>
      </c>
      <c r="X28" s="17">
        <v>36</v>
      </c>
      <c r="Y28" s="17">
        <v>11</v>
      </c>
      <c r="Z28" s="17">
        <v>10</v>
      </c>
      <c r="AA28" s="31">
        <f>Y28+Z28</f>
        <v>21</v>
      </c>
      <c r="AB28" s="17">
        <v>8</v>
      </c>
      <c r="AC28" s="25">
        <f>AA28/X28</f>
        <v>0.58333333333333337</v>
      </c>
      <c r="AD28" s="17">
        <v>2</v>
      </c>
      <c r="AE28" s="17">
        <v>1</v>
      </c>
      <c r="AF28" s="17">
        <v>2</v>
      </c>
      <c r="AG28" s="17">
        <v>0</v>
      </c>
      <c r="AH28" s="17">
        <v>1</v>
      </c>
      <c r="AI28" s="17">
        <v>1</v>
      </c>
    </row>
    <row r="29" spans="2:35" x14ac:dyDescent="0.25">
      <c r="D29" s="101" t="s">
        <v>543</v>
      </c>
      <c r="E29" s="101"/>
      <c r="U29" s="9">
        <v>25</v>
      </c>
      <c r="W29" t="s">
        <v>203</v>
      </c>
      <c r="X29" s="17">
        <v>6</v>
      </c>
      <c r="Y29" s="17">
        <v>10</v>
      </c>
      <c r="Z29" s="17">
        <v>9</v>
      </c>
      <c r="AA29" s="31">
        <f>Y29+Z29</f>
        <v>19</v>
      </c>
      <c r="AB29" s="17">
        <v>0</v>
      </c>
      <c r="AC29" s="25">
        <f>AA29/X29</f>
        <v>3.1666666666666665</v>
      </c>
      <c r="AD29" s="17">
        <v>1</v>
      </c>
      <c r="AE29" s="17">
        <v>0</v>
      </c>
      <c r="AF29" s="17">
        <v>1</v>
      </c>
      <c r="AG29" s="17">
        <v>0</v>
      </c>
      <c r="AH29" s="17">
        <v>0</v>
      </c>
      <c r="AI29" s="17">
        <v>0</v>
      </c>
    </row>
    <row r="30" spans="2:35" x14ac:dyDescent="0.25">
      <c r="D30" s="8" t="s">
        <v>0</v>
      </c>
      <c r="E30" s="18" t="s">
        <v>1</v>
      </c>
      <c r="F30" s="18" t="s">
        <v>2</v>
      </c>
      <c r="G30" s="18" t="s">
        <v>3</v>
      </c>
      <c r="H30" s="32" t="s">
        <v>4</v>
      </c>
      <c r="I30" s="18" t="s">
        <v>5</v>
      </c>
      <c r="J30" s="27" t="s">
        <v>38</v>
      </c>
      <c r="K30" s="18" t="s">
        <v>41</v>
      </c>
      <c r="L30" s="18" t="s">
        <v>42</v>
      </c>
      <c r="M30" s="18" t="s">
        <v>45</v>
      </c>
      <c r="N30" s="18" t="s">
        <v>46</v>
      </c>
      <c r="O30" s="18" t="s">
        <v>44</v>
      </c>
      <c r="P30" s="18" t="s">
        <v>43</v>
      </c>
      <c r="U30" s="9">
        <v>26</v>
      </c>
      <c r="W30" t="s">
        <v>12</v>
      </c>
      <c r="X30" s="17">
        <v>27</v>
      </c>
      <c r="Y30" s="17">
        <v>5</v>
      </c>
      <c r="Z30" s="17">
        <v>14</v>
      </c>
      <c r="AA30" s="31">
        <f>Y30+Z30</f>
        <v>19</v>
      </c>
      <c r="AB30" s="17">
        <v>8</v>
      </c>
      <c r="AC30" s="25">
        <f>AA30/X30</f>
        <v>0.70370370370370372</v>
      </c>
      <c r="AD30" s="17">
        <v>0</v>
      </c>
      <c r="AE30" s="17">
        <v>0</v>
      </c>
      <c r="AF30" s="17">
        <v>2</v>
      </c>
      <c r="AG30" s="17">
        <v>0</v>
      </c>
      <c r="AH30" s="17">
        <v>1</v>
      </c>
      <c r="AI30" s="17">
        <v>0</v>
      </c>
    </row>
    <row r="31" spans="2:35" x14ac:dyDescent="0.25">
      <c r="B31" s="9">
        <v>1</v>
      </c>
      <c r="D31" t="s">
        <v>13</v>
      </c>
      <c r="E31" s="17">
        <v>68</v>
      </c>
      <c r="F31" s="17">
        <v>115</v>
      </c>
      <c r="G31" s="17">
        <v>58</v>
      </c>
      <c r="H31" s="31">
        <f t="shared" ref="H31:H70" si="2">F31+G31</f>
        <v>173</v>
      </c>
      <c r="I31" s="17">
        <v>69</v>
      </c>
      <c r="J31" s="25">
        <f t="shared" ref="J31:J70" si="3">H31/E31</f>
        <v>2.5441176470588234</v>
      </c>
      <c r="K31" s="17">
        <v>9</v>
      </c>
      <c r="L31" s="17">
        <v>8</v>
      </c>
      <c r="M31" s="17">
        <v>11</v>
      </c>
      <c r="N31" s="17">
        <v>0</v>
      </c>
      <c r="O31" s="17">
        <v>1</v>
      </c>
      <c r="P31" s="17">
        <v>2</v>
      </c>
      <c r="U31" s="9">
        <v>27</v>
      </c>
      <c r="W31" t="s">
        <v>438</v>
      </c>
      <c r="X31" s="17">
        <v>16</v>
      </c>
      <c r="Y31" s="17">
        <v>11</v>
      </c>
      <c r="Z31" s="17">
        <v>6</v>
      </c>
      <c r="AA31" s="31">
        <f>Y31+Z31</f>
        <v>17</v>
      </c>
      <c r="AB31" s="17">
        <v>5</v>
      </c>
      <c r="AC31" s="25">
        <f>AA31/X31</f>
        <v>1.0625</v>
      </c>
      <c r="AD31" s="17">
        <v>0</v>
      </c>
      <c r="AE31" s="17">
        <v>0</v>
      </c>
      <c r="AF31" s="17">
        <v>1</v>
      </c>
      <c r="AG31" s="17">
        <v>0</v>
      </c>
      <c r="AH31" s="17">
        <v>0</v>
      </c>
      <c r="AI31" s="17">
        <v>0</v>
      </c>
    </row>
    <row r="32" spans="2:35" x14ac:dyDescent="0.25">
      <c r="B32" s="9">
        <v>2</v>
      </c>
      <c r="D32" t="s">
        <v>7</v>
      </c>
      <c r="E32" s="17">
        <v>79</v>
      </c>
      <c r="F32" s="17">
        <v>102</v>
      </c>
      <c r="G32" s="17">
        <v>70</v>
      </c>
      <c r="H32" s="31">
        <f t="shared" si="2"/>
        <v>172</v>
      </c>
      <c r="I32" s="17">
        <v>30</v>
      </c>
      <c r="J32" s="25">
        <f t="shared" si="3"/>
        <v>2.1772151898734178</v>
      </c>
      <c r="K32" s="17">
        <v>7</v>
      </c>
      <c r="L32" s="17">
        <v>5</v>
      </c>
      <c r="M32" s="17">
        <v>8</v>
      </c>
      <c r="N32" s="17">
        <v>1</v>
      </c>
      <c r="O32" s="17">
        <v>0</v>
      </c>
      <c r="P32" s="17">
        <v>1</v>
      </c>
      <c r="U32" s="9">
        <v>28</v>
      </c>
      <c r="W32" t="s">
        <v>226</v>
      </c>
      <c r="X32" s="17">
        <v>44</v>
      </c>
      <c r="Y32" s="17">
        <v>10</v>
      </c>
      <c r="Z32" s="17">
        <v>7</v>
      </c>
      <c r="AA32" s="31">
        <f>Y32+Z32</f>
        <v>17</v>
      </c>
      <c r="AB32" s="17">
        <v>0</v>
      </c>
      <c r="AC32" s="25">
        <f>AA32/X32</f>
        <v>0.38636363636363635</v>
      </c>
      <c r="AD32" s="17">
        <v>0</v>
      </c>
      <c r="AE32" s="17">
        <v>0</v>
      </c>
      <c r="AF32" s="17">
        <v>1</v>
      </c>
      <c r="AG32" s="17">
        <v>0</v>
      </c>
      <c r="AH32" s="17">
        <v>0</v>
      </c>
      <c r="AI32" s="17">
        <v>0</v>
      </c>
    </row>
    <row r="33" spans="2:35" x14ac:dyDescent="0.25">
      <c r="B33" s="9">
        <v>3</v>
      </c>
      <c r="D33" t="s">
        <v>30</v>
      </c>
      <c r="E33" s="17">
        <v>86</v>
      </c>
      <c r="F33" s="17">
        <v>60</v>
      </c>
      <c r="G33" s="17">
        <v>75</v>
      </c>
      <c r="H33" s="31">
        <f t="shared" si="2"/>
        <v>135</v>
      </c>
      <c r="I33" s="17">
        <v>48</v>
      </c>
      <c r="J33" s="25">
        <f t="shared" si="3"/>
        <v>1.569767441860465</v>
      </c>
      <c r="K33" s="17">
        <v>0</v>
      </c>
      <c r="L33" s="17">
        <v>3</v>
      </c>
      <c r="M33" s="17">
        <v>3</v>
      </c>
      <c r="N33" s="17">
        <v>1</v>
      </c>
      <c r="O33" s="17">
        <v>2</v>
      </c>
      <c r="P33" s="17">
        <v>1</v>
      </c>
      <c r="U33" s="9">
        <v>29</v>
      </c>
      <c r="W33" t="s">
        <v>232</v>
      </c>
      <c r="X33" s="17">
        <v>55</v>
      </c>
      <c r="Y33" s="17">
        <v>9</v>
      </c>
      <c r="Z33" s="17">
        <v>7</v>
      </c>
      <c r="AA33" s="31">
        <f>Y33+Z33</f>
        <v>16</v>
      </c>
      <c r="AB33" s="17">
        <v>16</v>
      </c>
      <c r="AC33" s="25">
        <f>AA33/X33</f>
        <v>0.29090909090909089</v>
      </c>
      <c r="AD33" s="17">
        <v>0</v>
      </c>
      <c r="AE33" s="17">
        <v>0</v>
      </c>
      <c r="AF33" s="17">
        <v>1</v>
      </c>
      <c r="AG33" s="17">
        <v>0</v>
      </c>
      <c r="AH33" s="17">
        <v>0</v>
      </c>
      <c r="AI33" s="17">
        <v>0</v>
      </c>
    </row>
    <row r="34" spans="2:35" x14ac:dyDescent="0.25">
      <c r="B34" s="9">
        <v>4</v>
      </c>
      <c r="D34" t="s">
        <v>324</v>
      </c>
      <c r="E34" s="17">
        <v>48</v>
      </c>
      <c r="F34" s="17">
        <v>49</v>
      </c>
      <c r="G34" s="17">
        <v>42</v>
      </c>
      <c r="H34" s="31">
        <f t="shared" si="2"/>
        <v>91</v>
      </c>
      <c r="I34" s="17">
        <v>18</v>
      </c>
      <c r="J34" s="25">
        <f t="shared" si="3"/>
        <v>1.8958333333333333</v>
      </c>
      <c r="K34" s="17">
        <v>0</v>
      </c>
      <c r="L34" s="17">
        <v>3</v>
      </c>
      <c r="M34" s="17">
        <v>2</v>
      </c>
      <c r="N34" s="17">
        <v>0</v>
      </c>
      <c r="O34" s="17">
        <v>1</v>
      </c>
      <c r="P34" s="17">
        <v>0</v>
      </c>
      <c r="U34" s="9">
        <v>30</v>
      </c>
      <c r="W34" t="s">
        <v>1182</v>
      </c>
      <c r="X34" s="17">
        <v>19</v>
      </c>
      <c r="Y34" s="17">
        <v>6</v>
      </c>
      <c r="Z34" s="17">
        <v>8</v>
      </c>
      <c r="AA34" s="31">
        <f>Y34+Z34</f>
        <v>14</v>
      </c>
      <c r="AB34" s="17">
        <v>2</v>
      </c>
      <c r="AC34" s="25">
        <f>AA34/X34</f>
        <v>0.73684210526315785</v>
      </c>
      <c r="AD34" s="17">
        <v>0</v>
      </c>
      <c r="AE34" s="17">
        <v>0</v>
      </c>
      <c r="AF34" s="17">
        <v>2</v>
      </c>
      <c r="AG34" s="17">
        <v>0</v>
      </c>
      <c r="AH34" s="17">
        <v>3</v>
      </c>
      <c r="AI34" s="17">
        <v>0</v>
      </c>
    </row>
    <row r="35" spans="2:35" x14ac:dyDescent="0.25">
      <c r="B35" s="9">
        <v>5</v>
      </c>
      <c r="D35" t="s">
        <v>10</v>
      </c>
      <c r="E35" s="17">
        <v>79</v>
      </c>
      <c r="F35" s="17">
        <v>42</v>
      </c>
      <c r="G35" s="17">
        <v>41</v>
      </c>
      <c r="H35" s="31">
        <f t="shared" si="2"/>
        <v>83</v>
      </c>
      <c r="I35" s="17">
        <v>10</v>
      </c>
      <c r="J35" s="25">
        <f t="shared" si="3"/>
        <v>1.0506329113924051</v>
      </c>
      <c r="K35" s="17">
        <v>0</v>
      </c>
      <c r="L35" s="17">
        <v>4</v>
      </c>
      <c r="M35" s="17">
        <v>5</v>
      </c>
      <c r="N35" s="17">
        <v>0</v>
      </c>
      <c r="O35" s="17">
        <v>3</v>
      </c>
      <c r="P35" s="17">
        <v>0</v>
      </c>
      <c r="U35" s="9">
        <v>31</v>
      </c>
      <c r="W35" t="s">
        <v>15</v>
      </c>
      <c r="X35" s="17">
        <v>25</v>
      </c>
      <c r="Y35" s="17">
        <v>3</v>
      </c>
      <c r="Z35" s="17">
        <v>9</v>
      </c>
      <c r="AA35" s="31">
        <f>Y35+Z35</f>
        <v>12</v>
      </c>
      <c r="AB35" s="17">
        <v>10</v>
      </c>
      <c r="AC35" s="25">
        <f>AA35/X35</f>
        <v>0.48</v>
      </c>
      <c r="AD35" s="17">
        <v>1</v>
      </c>
      <c r="AE35" s="17">
        <v>0</v>
      </c>
      <c r="AF35" s="17">
        <v>2</v>
      </c>
      <c r="AG35" s="17">
        <v>0</v>
      </c>
      <c r="AH35" s="17">
        <v>0</v>
      </c>
      <c r="AI35" s="17">
        <v>0</v>
      </c>
    </row>
    <row r="36" spans="2:35" x14ac:dyDescent="0.25">
      <c r="B36" s="9">
        <v>6</v>
      </c>
      <c r="D36" t="s">
        <v>8</v>
      </c>
      <c r="E36" s="17">
        <v>62</v>
      </c>
      <c r="F36" s="17">
        <v>49</v>
      </c>
      <c r="G36" s="17">
        <v>32</v>
      </c>
      <c r="H36" s="31">
        <f t="shared" si="2"/>
        <v>81</v>
      </c>
      <c r="I36" s="17">
        <v>40</v>
      </c>
      <c r="J36" s="25">
        <f t="shared" si="3"/>
        <v>1.3064516129032258</v>
      </c>
      <c r="K36" s="17">
        <v>6</v>
      </c>
      <c r="L36" s="17">
        <v>0</v>
      </c>
      <c r="M36" s="17">
        <v>3</v>
      </c>
      <c r="N36" s="17">
        <v>0</v>
      </c>
      <c r="O36" s="17">
        <v>0</v>
      </c>
      <c r="P36" s="17">
        <v>0</v>
      </c>
      <c r="U36" s="9">
        <v>32</v>
      </c>
      <c r="W36" t="s">
        <v>35</v>
      </c>
      <c r="X36" s="17">
        <v>95</v>
      </c>
      <c r="Y36" s="17">
        <v>3</v>
      </c>
      <c r="Z36" s="17">
        <v>7</v>
      </c>
      <c r="AA36" s="31">
        <f>Y36+Z36</f>
        <v>10</v>
      </c>
      <c r="AB36" s="17">
        <v>24</v>
      </c>
      <c r="AC36" s="25">
        <f>AA36/X36</f>
        <v>0.10526315789473684</v>
      </c>
      <c r="AD36" s="17">
        <v>2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</row>
    <row r="37" spans="2:35" x14ac:dyDescent="0.25">
      <c r="B37" s="9">
        <v>7</v>
      </c>
      <c r="D37" t="s">
        <v>39</v>
      </c>
      <c r="E37" s="17">
        <v>82</v>
      </c>
      <c r="F37" s="17">
        <v>42</v>
      </c>
      <c r="G37" s="17">
        <v>29</v>
      </c>
      <c r="H37" s="31">
        <f t="shared" si="2"/>
        <v>71</v>
      </c>
      <c r="I37" s="17">
        <v>10</v>
      </c>
      <c r="J37" s="25">
        <f t="shared" si="3"/>
        <v>0.86585365853658536</v>
      </c>
      <c r="K37" s="17">
        <v>2</v>
      </c>
      <c r="L37" s="17">
        <v>0</v>
      </c>
      <c r="M37" s="17">
        <v>1</v>
      </c>
      <c r="N37" s="17">
        <v>0</v>
      </c>
      <c r="O37" s="17">
        <v>0</v>
      </c>
      <c r="P37" s="17">
        <v>0</v>
      </c>
      <c r="U37" s="9">
        <v>33</v>
      </c>
      <c r="W37" t="s">
        <v>83</v>
      </c>
      <c r="X37" s="17">
        <v>12</v>
      </c>
      <c r="Y37" s="17">
        <v>8</v>
      </c>
      <c r="Z37" s="17">
        <v>1</v>
      </c>
      <c r="AA37" s="31">
        <f>Y37+Z37</f>
        <v>9</v>
      </c>
      <c r="AB37" s="17">
        <v>2</v>
      </c>
      <c r="AC37" s="25">
        <f>AA37/X37</f>
        <v>0.75</v>
      </c>
      <c r="AD37" s="17">
        <v>0</v>
      </c>
      <c r="AE37" s="17">
        <v>0</v>
      </c>
      <c r="AF37" s="17">
        <v>1</v>
      </c>
      <c r="AG37" s="17">
        <v>0</v>
      </c>
      <c r="AH37" s="17">
        <v>0</v>
      </c>
      <c r="AI37" s="17">
        <v>0</v>
      </c>
    </row>
    <row r="38" spans="2:35" x14ac:dyDescent="0.25">
      <c r="B38" s="9">
        <v>8</v>
      </c>
      <c r="D38" t="s">
        <v>356</v>
      </c>
      <c r="E38" s="17">
        <v>29</v>
      </c>
      <c r="F38" s="17">
        <v>43</v>
      </c>
      <c r="G38" s="17">
        <v>19</v>
      </c>
      <c r="H38" s="31">
        <f t="shared" si="2"/>
        <v>62</v>
      </c>
      <c r="I38" s="17">
        <v>4</v>
      </c>
      <c r="J38" s="25">
        <f t="shared" si="3"/>
        <v>2.1379310344827585</v>
      </c>
      <c r="K38" s="17">
        <v>0</v>
      </c>
      <c r="L38" s="17">
        <v>2</v>
      </c>
      <c r="M38" s="17">
        <v>6</v>
      </c>
      <c r="N38" s="17">
        <v>0</v>
      </c>
      <c r="O38" s="17">
        <v>3</v>
      </c>
      <c r="P38" s="17">
        <v>1</v>
      </c>
      <c r="U38" s="9">
        <v>34</v>
      </c>
      <c r="W38" t="s">
        <v>1191</v>
      </c>
      <c r="X38" s="17">
        <v>22</v>
      </c>
      <c r="Y38" s="17">
        <v>7</v>
      </c>
      <c r="Z38" s="17">
        <v>2</v>
      </c>
      <c r="AA38" s="31">
        <f>Y38+Z38</f>
        <v>9</v>
      </c>
      <c r="AB38" s="17">
        <v>6</v>
      </c>
      <c r="AC38" s="25">
        <f>AA38/X38</f>
        <v>0.40909090909090912</v>
      </c>
      <c r="AD38" s="17">
        <v>0</v>
      </c>
      <c r="AE38" s="17">
        <v>0</v>
      </c>
      <c r="AF38" s="17">
        <v>1</v>
      </c>
      <c r="AG38" s="17">
        <v>0</v>
      </c>
      <c r="AH38" s="17">
        <v>0</v>
      </c>
      <c r="AI38" s="17">
        <v>2</v>
      </c>
    </row>
    <row r="39" spans="2:35" x14ac:dyDescent="0.25">
      <c r="B39" s="9">
        <v>9</v>
      </c>
      <c r="D39" t="s">
        <v>16</v>
      </c>
      <c r="E39" s="17">
        <v>84</v>
      </c>
      <c r="F39" s="17">
        <v>14</v>
      </c>
      <c r="G39" s="17">
        <v>39</v>
      </c>
      <c r="H39" s="31">
        <f t="shared" si="2"/>
        <v>53</v>
      </c>
      <c r="I39" s="17">
        <v>72</v>
      </c>
      <c r="J39" s="25">
        <f t="shared" si="3"/>
        <v>0.63095238095238093</v>
      </c>
      <c r="K39" s="17">
        <v>0</v>
      </c>
      <c r="L39" s="17">
        <v>0</v>
      </c>
      <c r="M39" s="17">
        <v>3</v>
      </c>
      <c r="N39" s="17">
        <v>0</v>
      </c>
      <c r="O39" s="17">
        <v>0</v>
      </c>
      <c r="P39" s="17">
        <v>0</v>
      </c>
      <c r="U39" s="9">
        <v>35</v>
      </c>
      <c r="W39" t="s">
        <v>18</v>
      </c>
      <c r="X39" s="17">
        <v>8</v>
      </c>
      <c r="Y39" s="17">
        <v>8</v>
      </c>
      <c r="Z39" s="17">
        <v>0</v>
      </c>
      <c r="AA39" s="31">
        <f>Y39+Z39</f>
        <v>8</v>
      </c>
      <c r="AB39" s="17">
        <v>2</v>
      </c>
      <c r="AC39" s="25">
        <f>AA39/X39</f>
        <v>1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1</v>
      </c>
    </row>
    <row r="40" spans="2:35" x14ac:dyDescent="0.25">
      <c r="B40" s="9">
        <v>10</v>
      </c>
      <c r="D40" t="s">
        <v>14</v>
      </c>
      <c r="E40" s="17">
        <v>62</v>
      </c>
      <c r="F40" s="17">
        <v>27</v>
      </c>
      <c r="G40" s="17">
        <v>25</v>
      </c>
      <c r="H40" s="31">
        <f t="shared" si="2"/>
        <v>52</v>
      </c>
      <c r="I40" s="17">
        <v>26</v>
      </c>
      <c r="J40" s="25">
        <f t="shared" si="3"/>
        <v>0.83870967741935487</v>
      </c>
      <c r="K40" s="17">
        <v>3</v>
      </c>
      <c r="L40" s="17">
        <v>0</v>
      </c>
      <c r="M40" s="17">
        <v>2</v>
      </c>
      <c r="N40" s="17">
        <v>0</v>
      </c>
      <c r="O40" s="17">
        <v>0</v>
      </c>
      <c r="P40" s="17">
        <v>0</v>
      </c>
      <c r="U40" s="9">
        <v>36</v>
      </c>
      <c r="W40" t="s">
        <v>23</v>
      </c>
      <c r="X40" s="17">
        <v>15</v>
      </c>
      <c r="Y40" s="17">
        <v>6</v>
      </c>
      <c r="Z40" s="17">
        <v>1</v>
      </c>
      <c r="AA40" s="31">
        <f>Y40+Z40</f>
        <v>7</v>
      </c>
      <c r="AB40" s="17">
        <v>4</v>
      </c>
      <c r="AC40" s="25">
        <f>AA40/X40</f>
        <v>0.46666666666666667</v>
      </c>
      <c r="AD40" s="17">
        <v>1</v>
      </c>
      <c r="AE40" s="17">
        <v>0</v>
      </c>
      <c r="AF40" s="17">
        <v>1</v>
      </c>
      <c r="AG40" s="17">
        <v>0</v>
      </c>
      <c r="AH40" s="17">
        <v>0</v>
      </c>
      <c r="AI40" s="17">
        <v>0</v>
      </c>
    </row>
    <row r="41" spans="2:35" x14ac:dyDescent="0.25">
      <c r="B41" s="9">
        <v>11</v>
      </c>
      <c r="D41" t="s">
        <v>1178</v>
      </c>
      <c r="E41" s="17">
        <v>24</v>
      </c>
      <c r="F41" s="17">
        <v>16</v>
      </c>
      <c r="G41" s="17">
        <v>21</v>
      </c>
      <c r="H41" s="31">
        <f t="shared" si="2"/>
        <v>37</v>
      </c>
      <c r="I41" s="17">
        <v>8</v>
      </c>
      <c r="J41" s="25">
        <f t="shared" si="3"/>
        <v>1.5416666666666667</v>
      </c>
      <c r="K41" s="17">
        <v>2</v>
      </c>
      <c r="L41" s="17">
        <v>1</v>
      </c>
      <c r="M41" s="17">
        <v>2</v>
      </c>
      <c r="N41" s="17">
        <v>0</v>
      </c>
      <c r="O41" s="17">
        <v>0</v>
      </c>
      <c r="P41" s="17">
        <v>2</v>
      </c>
      <c r="U41" s="9">
        <v>37</v>
      </c>
      <c r="W41" t="s">
        <v>320</v>
      </c>
      <c r="X41" s="17">
        <v>19</v>
      </c>
      <c r="Y41" s="17">
        <v>5</v>
      </c>
      <c r="Z41" s="17">
        <v>2</v>
      </c>
      <c r="AA41" s="31">
        <f>Y41+Z41</f>
        <v>7</v>
      </c>
      <c r="AB41" s="17">
        <v>4</v>
      </c>
      <c r="AC41" s="25">
        <f>AA41/X41</f>
        <v>0.36842105263157893</v>
      </c>
      <c r="AD41" s="17">
        <v>0</v>
      </c>
      <c r="AE41" s="17">
        <v>0</v>
      </c>
      <c r="AF41" s="17">
        <v>1</v>
      </c>
      <c r="AG41" s="17">
        <v>0</v>
      </c>
      <c r="AH41" s="17">
        <v>0</v>
      </c>
      <c r="AI41" s="17">
        <v>0</v>
      </c>
    </row>
    <row r="42" spans="2:35" x14ac:dyDescent="0.25">
      <c r="B42" s="9">
        <v>12</v>
      </c>
      <c r="D42" t="s">
        <v>358</v>
      </c>
      <c r="E42" s="17">
        <v>47</v>
      </c>
      <c r="F42" s="17">
        <v>15</v>
      </c>
      <c r="G42" s="17">
        <v>17</v>
      </c>
      <c r="H42" s="31">
        <f t="shared" si="2"/>
        <v>32</v>
      </c>
      <c r="I42" s="17">
        <v>6</v>
      </c>
      <c r="J42" s="25">
        <f t="shared" si="3"/>
        <v>0.68085106382978722</v>
      </c>
      <c r="K42" s="17">
        <v>2</v>
      </c>
      <c r="L42" s="17">
        <v>0</v>
      </c>
      <c r="M42" s="17">
        <v>4</v>
      </c>
      <c r="N42" s="17">
        <v>0</v>
      </c>
      <c r="O42" s="17">
        <v>0</v>
      </c>
      <c r="P42" s="17">
        <v>0</v>
      </c>
      <c r="U42" s="9">
        <v>38</v>
      </c>
      <c r="W42" t="s">
        <v>358</v>
      </c>
      <c r="X42" s="17">
        <v>7</v>
      </c>
      <c r="Y42" s="17">
        <v>2</v>
      </c>
      <c r="Z42" s="17">
        <v>5</v>
      </c>
      <c r="AA42" s="31">
        <f>Y42+Z42</f>
        <v>7</v>
      </c>
      <c r="AB42" s="17">
        <v>0</v>
      </c>
      <c r="AC42" s="25">
        <f>AA42/X42</f>
        <v>1</v>
      </c>
      <c r="AD42" s="17">
        <v>0</v>
      </c>
      <c r="AE42" s="17">
        <v>1</v>
      </c>
      <c r="AF42" s="17">
        <v>1</v>
      </c>
      <c r="AG42" s="17">
        <v>0</v>
      </c>
      <c r="AH42" s="17">
        <v>0</v>
      </c>
      <c r="AI42" s="17">
        <v>0</v>
      </c>
    </row>
    <row r="43" spans="2:35" x14ac:dyDescent="0.25">
      <c r="B43" s="9">
        <v>13</v>
      </c>
      <c r="D43" t="s">
        <v>225</v>
      </c>
      <c r="E43" s="17">
        <v>64</v>
      </c>
      <c r="F43" s="17">
        <v>10</v>
      </c>
      <c r="G43" s="17">
        <v>22</v>
      </c>
      <c r="H43" s="31">
        <f t="shared" si="2"/>
        <v>32</v>
      </c>
      <c r="I43" s="17">
        <v>18</v>
      </c>
      <c r="J43" s="25">
        <f t="shared" si="3"/>
        <v>0.5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U43" s="9">
        <v>39</v>
      </c>
      <c r="W43" t="s">
        <v>356</v>
      </c>
      <c r="X43" s="17">
        <v>2</v>
      </c>
      <c r="Y43" s="17">
        <v>5</v>
      </c>
      <c r="Z43" s="17">
        <v>1</v>
      </c>
      <c r="AA43" s="31">
        <f>Y43+Z43</f>
        <v>6</v>
      </c>
      <c r="AB43" s="17">
        <v>0</v>
      </c>
      <c r="AC43" s="25">
        <f>AA43/X43</f>
        <v>3</v>
      </c>
      <c r="AD43" s="17">
        <v>1</v>
      </c>
      <c r="AE43" s="17">
        <v>0</v>
      </c>
      <c r="AF43" s="17">
        <v>0</v>
      </c>
      <c r="AG43" s="17">
        <v>0</v>
      </c>
      <c r="AH43" s="17">
        <v>0</v>
      </c>
      <c r="AI43" s="17">
        <v>0</v>
      </c>
    </row>
    <row r="44" spans="2:35" x14ac:dyDescent="0.25">
      <c r="B44" s="9">
        <v>14</v>
      </c>
      <c r="D44" t="s">
        <v>77</v>
      </c>
      <c r="E44" s="17">
        <v>16</v>
      </c>
      <c r="F44" s="17">
        <v>12</v>
      </c>
      <c r="G44" s="17">
        <v>17</v>
      </c>
      <c r="H44" s="31">
        <f t="shared" si="2"/>
        <v>29</v>
      </c>
      <c r="I44" s="17">
        <v>55</v>
      </c>
      <c r="J44" s="25">
        <f t="shared" si="3"/>
        <v>1.8125</v>
      </c>
      <c r="K44" s="17">
        <v>0</v>
      </c>
      <c r="L44" s="17">
        <v>0</v>
      </c>
      <c r="M44" s="17">
        <v>1</v>
      </c>
      <c r="N44" s="17">
        <v>0</v>
      </c>
      <c r="O44" s="17">
        <v>1</v>
      </c>
      <c r="P44" s="17">
        <v>0</v>
      </c>
      <c r="U44" s="9">
        <v>40</v>
      </c>
      <c r="W44" t="s">
        <v>34</v>
      </c>
      <c r="X44" s="17">
        <v>8</v>
      </c>
      <c r="Y44" s="17">
        <v>5</v>
      </c>
      <c r="Z44" s="17">
        <v>1</v>
      </c>
      <c r="AA44" s="31">
        <f>Y44+Z44</f>
        <v>6</v>
      </c>
      <c r="AB44" s="17">
        <v>6</v>
      </c>
      <c r="AC44" s="25">
        <f>AA44/X44</f>
        <v>0.75</v>
      </c>
      <c r="AD44" s="17">
        <v>0</v>
      </c>
      <c r="AE44" s="17">
        <v>0</v>
      </c>
      <c r="AF44" s="17">
        <v>2</v>
      </c>
      <c r="AG44" s="17">
        <v>0</v>
      </c>
      <c r="AH44" s="17">
        <v>0</v>
      </c>
      <c r="AI44" s="17">
        <v>0</v>
      </c>
    </row>
    <row r="45" spans="2:35" x14ac:dyDescent="0.25">
      <c r="B45" s="9">
        <v>15</v>
      </c>
      <c r="D45" t="s">
        <v>12</v>
      </c>
      <c r="E45" s="17">
        <v>51</v>
      </c>
      <c r="F45" s="17">
        <v>6</v>
      </c>
      <c r="G45" s="17">
        <v>19</v>
      </c>
      <c r="H45" s="31">
        <f t="shared" si="2"/>
        <v>25</v>
      </c>
      <c r="I45" s="17">
        <v>14</v>
      </c>
      <c r="J45" s="25">
        <f t="shared" si="3"/>
        <v>0.49019607843137253</v>
      </c>
      <c r="K45" s="17">
        <v>0</v>
      </c>
      <c r="L45" s="17">
        <v>0</v>
      </c>
      <c r="M45" s="17">
        <v>1</v>
      </c>
      <c r="N45" s="17">
        <v>0</v>
      </c>
      <c r="O45" s="17">
        <v>0</v>
      </c>
      <c r="P45" s="17">
        <v>0</v>
      </c>
      <c r="U45" s="9">
        <v>41</v>
      </c>
      <c r="W45" t="s">
        <v>446</v>
      </c>
      <c r="X45" s="17">
        <v>12</v>
      </c>
      <c r="Y45" s="17">
        <v>3</v>
      </c>
      <c r="Z45" s="17">
        <v>3</v>
      </c>
      <c r="AA45" s="31">
        <f>Y45+Z45</f>
        <v>6</v>
      </c>
      <c r="AB45" s="17">
        <v>0</v>
      </c>
      <c r="AC45" s="25">
        <f>AA45/X45</f>
        <v>0.5</v>
      </c>
      <c r="AD45" s="17">
        <v>0</v>
      </c>
      <c r="AE45" s="17">
        <v>0</v>
      </c>
      <c r="AF45" s="17">
        <v>1</v>
      </c>
      <c r="AG45" s="17">
        <v>0</v>
      </c>
      <c r="AH45" s="17">
        <v>0</v>
      </c>
      <c r="AI45" s="17">
        <v>0</v>
      </c>
    </row>
    <row r="46" spans="2:35" x14ac:dyDescent="0.25">
      <c r="B46" s="9">
        <v>16</v>
      </c>
      <c r="D46" t="s">
        <v>438</v>
      </c>
      <c r="E46" s="17">
        <v>14</v>
      </c>
      <c r="F46" s="17">
        <v>11</v>
      </c>
      <c r="G46" s="17">
        <v>5</v>
      </c>
      <c r="H46" s="31">
        <f t="shared" si="2"/>
        <v>16</v>
      </c>
      <c r="I46" s="17">
        <v>8</v>
      </c>
      <c r="J46" s="25">
        <f t="shared" si="3"/>
        <v>1.1428571428571428</v>
      </c>
      <c r="K46" s="17">
        <v>0</v>
      </c>
      <c r="L46" s="17">
        <v>0</v>
      </c>
      <c r="M46" s="17">
        <v>1</v>
      </c>
      <c r="N46" s="17">
        <v>0</v>
      </c>
      <c r="O46" s="17">
        <v>0</v>
      </c>
      <c r="P46" s="17">
        <v>0</v>
      </c>
      <c r="U46" s="9">
        <v>42</v>
      </c>
      <c r="W46" t="s">
        <v>1192</v>
      </c>
      <c r="X46" s="17">
        <v>18</v>
      </c>
      <c r="Y46" s="17">
        <v>3</v>
      </c>
      <c r="Z46" s="17">
        <v>3</v>
      </c>
      <c r="AA46" s="31">
        <f>Y46+Z46</f>
        <v>6</v>
      </c>
      <c r="AB46" s="17">
        <v>6</v>
      </c>
      <c r="AC46" s="25">
        <f>AA46/X46</f>
        <v>0.33333333333333331</v>
      </c>
      <c r="AD46" s="17">
        <v>0</v>
      </c>
      <c r="AE46" s="17">
        <v>0</v>
      </c>
      <c r="AF46" s="17">
        <v>0</v>
      </c>
      <c r="AG46" s="17">
        <v>0</v>
      </c>
      <c r="AH46" s="17">
        <v>0</v>
      </c>
      <c r="AI46" s="17">
        <v>0</v>
      </c>
    </row>
    <row r="47" spans="2:35" x14ac:dyDescent="0.25">
      <c r="B47" s="9">
        <v>17</v>
      </c>
      <c r="D47" t="s">
        <v>9</v>
      </c>
      <c r="E47" s="17">
        <v>38</v>
      </c>
      <c r="F47" s="17">
        <v>7</v>
      </c>
      <c r="G47" s="17">
        <v>5</v>
      </c>
      <c r="H47" s="31">
        <f t="shared" si="2"/>
        <v>12</v>
      </c>
      <c r="I47" s="17">
        <v>18</v>
      </c>
      <c r="J47" s="25">
        <f t="shared" si="3"/>
        <v>0.31578947368421051</v>
      </c>
      <c r="K47" s="17">
        <v>0</v>
      </c>
      <c r="L47" s="17">
        <v>1</v>
      </c>
      <c r="M47" s="17">
        <v>0</v>
      </c>
      <c r="N47" s="17">
        <v>0</v>
      </c>
      <c r="O47" s="17">
        <v>0</v>
      </c>
      <c r="P47" s="17">
        <v>0</v>
      </c>
      <c r="U47" s="9">
        <v>43</v>
      </c>
      <c r="W47" t="s">
        <v>1193</v>
      </c>
      <c r="X47" s="17">
        <v>13</v>
      </c>
      <c r="Y47" s="17">
        <v>1</v>
      </c>
      <c r="Z47" s="17">
        <v>5</v>
      </c>
      <c r="AA47" s="31">
        <f>Y47+Z47</f>
        <v>6</v>
      </c>
      <c r="AB47" s="17">
        <v>28</v>
      </c>
      <c r="AC47" s="25">
        <f>AA47/X47</f>
        <v>0.46153846153846156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</row>
    <row r="48" spans="2:35" x14ac:dyDescent="0.25">
      <c r="B48" s="9">
        <v>18</v>
      </c>
      <c r="D48" t="s">
        <v>1473</v>
      </c>
      <c r="E48" s="17">
        <v>4</v>
      </c>
      <c r="F48" s="17">
        <v>5</v>
      </c>
      <c r="G48" s="17">
        <v>3</v>
      </c>
      <c r="H48" s="31">
        <f t="shared" si="2"/>
        <v>8</v>
      </c>
      <c r="I48" s="17">
        <v>2</v>
      </c>
      <c r="J48" s="25">
        <f t="shared" si="3"/>
        <v>2</v>
      </c>
      <c r="K48" s="17">
        <v>0</v>
      </c>
      <c r="L48" s="17">
        <v>1</v>
      </c>
      <c r="M48" s="17">
        <v>0</v>
      </c>
      <c r="N48" s="17">
        <v>0</v>
      </c>
      <c r="O48" s="17">
        <v>0</v>
      </c>
      <c r="P48" s="17">
        <v>1</v>
      </c>
      <c r="U48" s="9">
        <v>44</v>
      </c>
      <c r="W48" t="s">
        <v>93</v>
      </c>
      <c r="X48" s="17">
        <v>5</v>
      </c>
      <c r="Y48" s="17">
        <v>3</v>
      </c>
      <c r="Z48" s="17">
        <v>2</v>
      </c>
      <c r="AA48" s="31">
        <f>Y48+Z48</f>
        <v>5</v>
      </c>
      <c r="AB48" s="17">
        <v>0</v>
      </c>
      <c r="AC48" s="25">
        <f>AA48/X48</f>
        <v>1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</row>
    <row r="49" spans="2:35" x14ac:dyDescent="0.25">
      <c r="B49" s="9">
        <v>19</v>
      </c>
      <c r="D49" t="s">
        <v>290</v>
      </c>
      <c r="E49" s="17">
        <v>8</v>
      </c>
      <c r="F49" s="17">
        <v>5</v>
      </c>
      <c r="G49" s="17">
        <v>3</v>
      </c>
      <c r="H49" s="31">
        <f t="shared" si="2"/>
        <v>8</v>
      </c>
      <c r="I49" s="17">
        <v>14</v>
      </c>
      <c r="J49" s="25">
        <f t="shared" si="3"/>
        <v>1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U49" s="9">
        <v>45</v>
      </c>
      <c r="W49" t="s">
        <v>24</v>
      </c>
      <c r="X49" s="17">
        <v>16</v>
      </c>
      <c r="Y49" s="17">
        <v>3</v>
      </c>
      <c r="Z49" s="17">
        <v>2</v>
      </c>
      <c r="AA49" s="31">
        <f>Y49+Z49</f>
        <v>5</v>
      </c>
      <c r="AB49" s="17">
        <v>4</v>
      </c>
      <c r="AC49" s="25">
        <f>AA49/X49</f>
        <v>0.3125</v>
      </c>
      <c r="AD49" s="17">
        <v>0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</row>
    <row r="50" spans="2:35" x14ac:dyDescent="0.25">
      <c r="B50" s="9">
        <v>20</v>
      </c>
      <c r="D50" t="s">
        <v>434</v>
      </c>
      <c r="E50" s="17">
        <v>7</v>
      </c>
      <c r="F50" s="17">
        <v>4</v>
      </c>
      <c r="G50" s="17">
        <v>4</v>
      </c>
      <c r="H50" s="31">
        <f t="shared" si="2"/>
        <v>8</v>
      </c>
      <c r="I50" s="17">
        <v>2</v>
      </c>
      <c r="J50" s="25">
        <f t="shared" si="3"/>
        <v>1.1428571428571428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U50" s="9">
        <v>46</v>
      </c>
      <c r="W50" t="s">
        <v>437</v>
      </c>
      <c r="X50" s="17">
        <v>6</v>
      </c>
      <c r="Y50" s="17">
        <v>2</v>
      </c>
      <c r="Z50" s="17">
        <v>3</v>
      </c>
      <c r="AA50" s="31">
        <f>Y50+Z50</f>
        <v>5</v>
      </c>
      <c r="AB50" s="17">
        <v>4</v>
      </c>
      <c r="AC50" s="25">
        <f>AA50/X50</f>
        <v>0.83333333333333337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</row>
    <row r="51" spans="2:35" x14ac:dyDescent="0.25">
      <c r="B51" s="9">
        <v>21</v>
      </c>
      <c r="D51" t="s">
        <v>238</v>
      </c>
      <c r="E51" s="17">
        <v>2</v>
      </c>
      <c r="F51" s="17">
        <v>3</v>
      </c>
      <c r="G51" s="17">
        <v>4</v>
      </c>
      <c r="H51" s="31">
        <f t="shared" si="2"/>
        <v>7</v>
      </c>
      <c r="I51" s="17">
        <v>2</v>
      </c>
      <c r="J51" s="25">
        <f t="shared" si="3"/>
        <v>3.5</v>
      </c>
      <c r="K51" s="17">
        <v>1</v>
      </c>
      <c r="L51" s="17">
        <v>0</v>
      </c>
      <c r="M51" s="17">
        <v>1</v>
      </c>
      <c r="N51" s="17">
        <v>0</v>
      </c>
      <c r="O51" s="17">
        <v>0</v>
      </c>
      <c r="P51" s="17">
        <v>0</v>
      </c>
      <c r="U51" s="9">
        <v>47</v>
      </c>
      <c r="W51" t="s">
        <v>223</v>
      </c>
      <c r="X51" s="17">
        <v>10</v>
      </c>
      <c r="Y51" s="17">
        <v>2</v>
      </c>
      <c r="Z51" s="17">
        <v>3</v>
      </c>
      <c r="AA51" s="31">
        <f>Y51+Z51</f>
        <v>5</v>
      </c>
      <c r="AB51" s="17">
        <v>0</v>
      </c>
      <c r="AC51" s="25">
        <f>AA51/X51</f>
        <v>0.5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</row>
    <row r="52" spans="2:35" x14ac:dyDescent="0.25">
      <c r="B52" s="9">
        <v>22</v>
      </c>
      <c r="D52" t="s">
        <v>15</v>
      </c>
      <c r="E52" s="17">
        <v>16</v>
      </c>
      <c r="F52" s="17">
        <v>0</v>
      </c>
      <c r="G52" s="17">
        <v>7</v>
      </c>
      <c r="H52" s="31">
        <f t="shared" si="2"/>
        <v>7</v>
      </c>
      <c r="I52" s="17">
        <v>8</v>
      </c>
      <c r="J52" s="25">
        <f t="shared" si="3"/>
        <v>0.4375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U52" s="9">
        <v>48</v>
      </c>
      <c r="W52" t="s">
        <v>25</v>
      </c>
      <c r="X52" s="17">
        <v>11</v>
      </c>
      <c r="Y52" s="17">
        <v>1</v>
      </c>
      <c r="Z52" s="17">
        <v>4</v>
      </c>
      <c r="AA52" s="31">
        <f>Y52+Z52</f>
        <v>5</v>
      </c>
      <c r="AB52" s="17">
        <v>4</v>
      </c>
      <c r="AC52" s="25">
        <f>AA52/X52</f>
        <v>0.45454545454545453</v>
      </c>
      <c r="AD52" s="17">
        <v>0</v>
      </c>
      <c r="AE52" s="17">
        <v>0</v>
      </c>
      <c r="AF52" s="17">
        <v>0</v>
      </c>
      <c r="AG52" s="17">
        <v>0</v>
      </c>
      <c r="AH52" s="17">
        <v>0</v>
      </c>
      <c r="AI52" s="17">
        <v>0</v>
      </c>
    </row>
    <row r="53" spans="2:35" x14ac:dyDescent="0.25">
      <c r="B53" s="9">
        <v>23</v>
      </c>
      <c r="D53" t="s">
        <v>1188</v>
      </c>
      <c r="E53" s="17">
        <v>5</v>
      </c>
      <c r="F53" s="17">
        <v>3</v>
      </c>
      <c r="G53" s="17">
        <v>2</v>
      </c>
      <c r="H53" s="31">
        <f t="shared" si="2"/>
        <v>5</v>
      </c>
      <c r="I53" s="17">
        <v>0</v>
      </c>
      <c r="J53" s="25">
        <f t="shared" si="3"/>
        <v>1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U53" s="9">
        <v>49</v>
      </c>
      <c r="W53" t="s">
        <v>1518</v>
      </c>
      <c r="X53" s="17">
        <v>6</v>
      </c>
      <c r="Y53" s="17">
        <v>3</v>
      </c>
      <c r="Z53" s="17">
        <v>1</v>
      </c>
      <c r="AA53" s="31">
        <f>Y53+Z53</f>
        <v>4</v>
      </c>
      <c r="AB53" s="17">
        <v>2</v>
      </c>
      <c r="AC53" s="25">
        <f>AA53/X53</f>
        <v>0.66666666666666663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</row>
    <row r="54" spans="2:35" x14ac:dyDescent="0.25">
      <c r="B54" s="9">
        <v>24</v>
      </c>
      <c r="D54" t="s">
        <v>75</v>
      </c>
      <c r="E54" s="17">
        <v>77</v>
      </c>
      <c r="F54" s="17">
        <v>0</v>
      </c>
      <c r="G54" s="17">
        <v>4</v>
      </c>
      <c r="H54" s="31">
        <f t="shared" si="2"/>
        <v>4</v>
      </c>
      <c r="I54" s="17">
        <v>2</v>
      </c>
      <c r="J54" s="25">
        <f t="shared" si="3"/>
        <v>5.1948051948051951E-2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U54" s="9">
        <v>50</v>
      </c>
      <c r="W54" t="s">
        <v>1680</v>
      </c>
      <c r="X54" s="17">
        <v>10</v>
      </c>
      <c r="Y54" s="17">
        <v>3</v>
      </c>
      <c r="Z54" s="17">
        <v>1</v>
      </c>
      <c r="AA54" s="31">
        <f>Y54+Z54</f>
        <v>4</v>
      </c>
      <c r="AB54" s="17">
        <v>2</v>
      </c>
      <c r="AC54" s="25">
        <f>AA54/X54</f>
        <v>0.4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</row>
    <row r="55" spans="2:35" x14ac:dyDescent="0.25">
      <c r="B55" s="9">
        <v>25</v>
      </c>
      <c r="D55" t="s">
        <v>11</v>
      </c>
      <c r="E55" s="17">
        <v>12</v>
      </c>
      <c r="F55" s="17">
        <v>0</v>
      </c>
      <c r="G55" s="17">
        <v>3</v>
      </c>
      <c r="H55" s="31">
        <f t="shared" si="2"/>
        <v>3</v>
      </c>
      <c r="I55" s="17">
        <v>2</v>
      </c>
      <c r="J55" s="25">
        <f t="shared" si="3"/>
        <v>0.25</v>
      </c>
      <c r="K55" s="17">
        <v>0</v>
      </c>
      <c r="L55" s="17">
        <v>0</v>
      </c>
      <c r="M55" s="17">
        <v>0</v>
      </c>
      <c r="N55" s="17">
        <v>0</v>
      </c>
      <c r="O55" s="17">
        <v>0</v>
      </c>
      <c r="P55" s="17">
        <v>0</v>
      </c>
      <c r="U55" s="9">
        <v>51</v>
      </c>
      <c r="W55" t="s">
        <v>1722</v>
      </c>
      <c r="X55" s="17">
        <v>6</v>
      </c>
      <c r="Y55" s="17">
        <v>2</v>
      </c>
      <c r="Z55" s="17">
        <v>1</v>
      </c>
      <c r="AA55" s="31">
        <f>Y55+Z55</f>
        <v>3</v>
      </c>
      <c r="AB55" s="17">
        <v>0</v>
      </c>
      <c r="AC55" s="25">
        <f>AA55/X55</f>
        <v>0.5</v>
      </c>
      <c r="AD55" s="17">
        <v>0</v>
      </c>
      <c r="AE55" s="17">
        <v>0</v>
      </c>
      <c r="AF55" s="17">
        <v>1</v>
      </c>
      <c r="AG55" s="17">
        <v>0</v>
      </c>
      <c r="AH55" s="17">
        <v>0</v>
      </c>
      <c r="AI55" s="17">
        <v>0</v>
      </c>
    </row>
    <row r="56" spans="2:35" x14ac:dyDescent="0.25">
      <c r="B56" s="9">
        <v>26</v>
      </c>
      <c r="D56" t="s">
        <v>82</v>
      </c>
      <c r="E56" s="17">
        <v>4</v>
      </c>
      <c r="F56" s="17">
        <v>1</v>
      </c>
      <c r="G56" s="17">
        <v>1</v>
      </c>
      <c r="H56" s="31">
        <f t="shared" si="2"/>
        <v>2</v>
      </c>
      <c r="I56" s="17">
        <v>0</v>
      </c>
      <c r="J56" s="25">
        <f t="shared" si="3"/>
        <v>0.5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U56" s="9">
        <v>52</v>
      </c>
      <c r="W56" t="s">
        <v>436</v>
      </c>
      <c r="X56" s="17">
        <v>24</v>
      </c>
      <c r="Y56" s="17">
        <v>2</v>
      </c>
      <c r="Z56" s="17">
        <v>1</v>
      </c>
      <c r="AA56" s="31">
        <f>Y56+Z56</f>
        <v>3</v>
      </c>
      <c r="AB56" s="17">
        <v>4</v>
      </c>
      <c r="AC56" s="25">
        <f>AA56/X56</f>
        <v>0.125</v>
      </c>
      <c r="AD56" s="17">
        <v>1</v>
      </c>
      <c r="AE56" s="17">
        <v>0</v>
      </c>
      <c r="AF56" s="17">
        <v>0</v>
      </c>
      <c r="AG56" s="17">
        <v>0</v>
      </c>
      <c r="AH56" s="17">
        <v>0</v>
      </c>
      <c r="AI56" s="17">
        <v>0</v>
      </c>
    </row>
    <row r="57" spans="2:35" x14ac:dyDescent="0.25">
      <c r="B57" s="9">
        <v>27</v>
      </c>
      <c r="D57" t="s">
        <v>255</v>
      </c>
      <c r="E57" s="17">
        <v>2</v>
      </c>
      <c r="F57" s="17">
        <v>1</v>
      </c>
      <c r="G57" s="17">
        <v>0</v>
      </c>
      <c r="H57" s="31">
        <f t="shared" si="2"/>
        <v>1</v>
      </c>
      <c r="I57" s="17">
        <v>0</v>
      </c>
      <c r="J57" s="25">
        <f t="shared" si="3"/>
        <v>0.5</v>
      </c>
      <c r="K57" s="17">
        <v>0</v>
      </c>
      <c r="L57" s="17">
        <v>0</v>
      </c>
      <c r="M57" s="17">
        <v>0</v>
      </c>
      <c r="N57" s="17">
        <v>0</v>
      </c>
      <c r="O57" s="17">
        <v>0</v>
      </c>
      <c r="P57" s="17">
        <v>0</v>
      </c>
      <c r="U57" s="9">
        <v>53</v>
      </c>
      <c r="W57" t="s">
        <v>26</v>
      </c>
      <c r="X57" s="17">
        <v>2</v>
      </c>
      <c r="Y57" s="17">
        <v>0</v>
      </c>
      <c r="Z57" s="17">
        <v>3</v>
      </c>
      <c r="AA57" s="31">
        <f>Y57+Z57</f>
        <v>3</v>
      </c>
      <c r="AB57" s="17">
        <v>0</v>
      </c>
      <c r="AC57" s="25">
        <f>AA57/X57</f>
        <v>1.5</v>
      </c>
      <c r="AD57" s="17">
        <v>0</v>
      </c>
      <c r="AE57" s="17">
        <v>0</v>
      </c>
      <c r="AF57" s="17">
        <v>0</v>
      </c>
      <c r="AG57" s="17">
        <v>0</v>
      </c>
      <c r="AH57" s="17">
        <v>0</v>
      </c>
      <c r="AI57" s="17">
        <v>0</v>
      </c>
    </row>
    <row r="58" spans="2:35" x14ac:dyDescent="0.25">
      <c r="B58" s="9">
        <v>28</v>
      </c>
      <c r="D58" t="s">
        <v>1182</v>
      </c>
      <c r="E58" s="17">
        <v>5</v>
      </c>
      <c r="F58" s="17">
        <v>1</v>
      </c>
      <c r="G58" s="17">
        <v>0</v>
      </c>
      <c r="H58" s="31">
        <f t="shared" si="2"/>
        <v>1</v>
      </c>
      <c r="I58" s="17">
        <v>0</v>
      </c>
      <c r="J58" s="25">
        <f t="shared" si="3"/>
        <v>0.2</v>
      </c>
      <c r="K58" s="17">
        <v>0</v>
      </c>
      <c r="L58" s="17">
        <v>0</v>
      </c>
      <c r="M58" s="17">
        <v>0</v>
      </c>
      <c r="N58" s="17">
        <v>0</v>
      </c>
      <c r="O58" s="17">
        <v>1</v>
      </c>
      <c r="P58" s="17">
        <v>0</v>
      </c>
      <c r="U58" s="9">
        <v>54</v>
      </c>
      <c r="W58" t="s">
        <v>37</v>
      </c>
      <c r="X58" s="17">
        <v>7</v>
      </c>
      <c r="Y58" s="17">
        <v>0</v>
      </c>
      <c r="Z58" s="17">
        <v>3</v>
      </c>
      <c r="AA58" s="31">
        <f>Y58+Z58</f>
        <v>3</v>
      </c>
      <c r="AB58" s="17">
        <v>4</v>
      </c>
      <c r="AC58" s="25">
        <f>AA58/X58</f>
        <v>0.42857142857142855</v>
      </c>
      <c r="AD58" s="17">
        <v>0</v>
      </c>
      <c r="AE58" s="17">
        <v>0</v>
      </c>
      <c r="AF58" s="17">
        <v>0</v>
      </c>
      <c r="AG58" s="17">
        <v>0</v>
      </c>
      <c r="AH58" s="17">
        <v>0</v>
      </c>
      <c r="AI58" s="17">
        <v>0</v>
      </c>
    </row>
    <row r="59" spans="2:35" x14ac:dyDescent="0.25">
      <c r="B59" s="9">
        <v>29</v>
      </c>
      <c r="D59" t="s">
        <v>91</v>
      </c>
      <c r="E59" s="17">
        <v>4</v>
      </c>
      <c r="F59" s="17">
        <v>0</v>
      </c>
      <c r="G59" s="17">
        <v>1</v>
      </c>
      <c r="H59" s="31">
        <f t="shared" si="2"/>
        <v>1</v>
      </c>
      <c r="I59" s="17">
        <v>0</v>
      </c>
      <c r="J59" s="25">
        <f t="shared" si="3"/>
        <v>0.25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U59" s="9">
        <v>55</v>
      </c>
      <c r="W59" t="s">
        <v>91</v>
      </c>
      <c r="X59" s="17">
        <v>23</v>
      </c>
      <c r="Y59" s="17">
        <v>0</v>
      </c>
      <c r="Z59" s="17">
        <v>3</v>
      </c>
      <c r="AA59" s="31">
        <f>Y59+Z59</f>
        <v>3</v>
      </c>
      <c r="AB59" s="17">
        <v>0</v>
      </c>
      <c r="AC59" s="25">
        <f>AA59/X59</f>
        <v>0.13043478260869565</v>
      </c>
      <c r="AD59" s="17">
        <v>0</v>
      </c>
      <c r="AE59" s="17">
        <v>0</v>
      </c>
      <c r="AF59" s="17">
        <v>0</v>
      </c>
      <c r="AG59" s="17">
        <v>0</v>
      </c>
      <c r="AH59" s="17">
        <v>0</v>
      </c>
      <c r="AI59" s="17">
        <v>0</v>
      </c>
    </row>
    <row r="60" spans="2:35" x14ac:dyDescent="0.25">
      <c r="B60" s="9">
        <v>30</v>
      </c>
      <c r="D60" t="s">
        <v>87</v>
      </c>
      <c r="E60" s="17">
        <v>4</v>
      </c>
      <c r="F60" s="17">
        <v>0</v>
      </c>
      <c r="G60" s="17">
        <v>0</v>
      </c>
      <c r="H60" s="31">
        <f t="shared" si="2"/>
        <v>0</v>
      </c>
      <c r="I60" s="17">
        <v>0</v>
      </c>
      <c r="J60" s="25">
        <f t="shared" si="3"/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U60" s="9">
        <v>56</v>
      </c>
      <c r="W60" t="s">
        <v>1696</v>
      </c>
      <c r="X60" s="17">
        <v>2</v>
      </c>
      <c r="Y60" s="17">
        <v>2</v>
      </c>
      <c r="Z60" s="17">
        <v>0</v>
      </c>
      <c r="AA60" s="31">
        <f>Y60+Z60</f>
        <v>2</v>
      </c>
      <c r="AB60" s="17">
        <v>0</v>
      </c>
      <c r="AC60" s="25">
        <f>AA60/X60</f>
        <v>1</v>
      </c>
      <c r="AD60" s="17">
        <v>0</v>
      </c>
      <c r="AE60" s="17">
        <v>0</v>
      </c>
      <c r="AF60" s="17">
        <v>0</v>
      </c>
      <c r="AG60" s="17">
        <v>0</v>
      </c>
      <c r="AH60" s="17">
        <v>0</v>
      </c>
      <c r="AI60" s="17">
        <v>0</v>
      </c>
    </row>
    <row r="61" spans="2:35" x14ac:dyDescent="0.25">
      <c r="B61" s="9">
        <v>31</v>
      </c>
      <c r="D61" t="s">
        <v>294</v>
      </c>
      <c r="E61" s="17">
        <v>4</v>
      </c>
      <c r="F61" s="17">
        <v>0</v>
      </c>
      <c r="G61" s="17">
        <v>0</v>
      </c>
      <c r="H61" s="31">
        <f t="shared" si="2"/>
        <v>0</v>
      </c>
      <c r="I61" s="17">
        <v>0</v>
      </c>
      <c r="J61" s="25">
        <f t="shared" si="3"/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U61" s="9">
        <v>57</v>
      </c>
      <c r="W61" t="s">
        <v>1705</v>
      </c>
      <c r="X61" s="17">
        <v>6</v>
      </c>
      <c r="Y61" s="17">
        <v>2</v>
      </c>
      <c r="Z61" s="17">
        <v>0</v>
      </c>
      <c r="AA61" s="31">
        <f>Y61+Z61</f>
        <v>2</v>
      </c>
      <c r="AB61" s="17">
        <v>0</v>
      </c>
      <c r="AC61" s="25">
        <f>AA61/X61</f>
        <v>0.33333333333333331</v>
      </c>
      <c r="AD61" s="17">
        <v>1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</row>
    <row r="62" spans="2:35" x14ac:dyDescent="0.25">
      <c r="B62" s="9">
        <v>32</v>
      </c>
      <c r="D62" t="s">
        <v>254</v>
      </c>
      <c r="E62" s="17">
        <v>4</v>
      </c>
      <c r="F62" s="17">
        <v>0</v>
      </c>
      <c r="G62" s="17">
        <v>0</v>
      </c>
      <c r="H62" s="31">
        <f t="shared" si="2"/>
        <v>0</v>
      </c>
      <c r="I62" s="17">
        <v>0</v>
      </c>
      <c r="J62" s="25">
        <f t="shared" si="3"/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U62" s="9">
        <v>58</v>
      </c>
      <c r="W62" t="s">
        <v>256</v>
      </c>
      <c r="X62" s="17">
        <v>15</v>
      </c>
      <c r="Y62" s="17">
        <v>2</v>
      </c>
      <c r="Z62" s="17">
        <v>0</v>
      </c>
      <c r="AA62" s="31">
        <f>Y62+Z62</f>
        <v>2</v>
      </c>
      <c r="AB62" s="17">
        <v>6</v>
      </c>
      <c r="AC62" s="25">
        <f>AA62/X62</f>
        <v>0.13333333333333333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</row>
    <row r="63" spans="2:35" x14ac:dyDescent="0.25">
      <c r="B63" s="9">
        <v>33</v>
      </c>
      <c r="D63" t="s">
        <v>35</v>
      </c>
      <c r="E63" s="17">
        <v>4</v>
      </c>
      <c r="F63" s="17">
        <v>0</v>
      </c>
      <c r="G63" s="17">
        <v>0</v>
      </c>
      <c r="H63" s="31">
        <f t="shared" si="2"/>
        <v>0</v>
      </c>
      <c r="I63" s="17">
        <v>0</v>
      </c>
      <c r="J63" s="25">
        <f t="shared" si="3"/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U63" s="9">
        <v>59</v>
      </c>
      <c r="W63" t="s">
        <v>204</v>
      </c>
      <c r="X63" s="17">
        <v>2</v>
      </c>
      <c r="Y63" s="17">
        <v>1</v>
      </c>
      <c r="Z63" s="17">
        <v>1</v>
      </c>
      <c r="AA63" s="31">
        <f>Y63+Z63</f>
        <v>2</v>
      </c>
      <c r="AB63" s="17">
        <v>0</v>
      </c>
      <c r="AC63" s="25">
        <f>AA63/X63</f>
        <v>1</v>
      </c>
      <c r="AD63" s="17">
        <v>0</v>
      </c>
      <c r="AE63" s="17">
        <v>0</v>
      </c>
      <c r="AF63" s="17">
        <v>1</v>
      </c>
      <c r="AG63" s="17">
        <v>0</v>
      </c>
      <c r="AH63" s="17">
        <v>0</v>
      </c>
      <c r="AI63" s="17">
        <v>0</v>
      </c>
    </row>
    <row r="64" spans="2:35" x14ac:dyDescent="0.25">
      <c r="B64" s="9">
        <v>34</v>
      </c>
      <c r="D64" t="s">
        <v>17</v>
      </c>
      <c r="E64" s="17">
        <v>4</v>
      </c>
      <c r="F64" s="17">
        <v>0</v>
      </c>
      <c r="G64" s="17">
        <v>0</v>
      </c>
      <c r="H64" s="31">
        <f t="shared" si="2"/>
        <v>0</v>
      </c>
      <c r="I64" s="17">
        <v>2</v>
      </c>
      <c r="J64" s="25">
        <f t="shared" si="3"/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U64" s="9">
        <v>60</v>
      </c>
      <c r="W64" t="s">
        <v>92</v>
      </c>
      <c r="X64" s="17">
        <v>10</v>
      </c>
      <c r="Y64" s="17">
        <v>1</v>
      </c>
      <c r="Z64" s="17">
        <v>1</v>
      </c>
      <c r="AA64" s="31">
        <f>Y64+Z64</f>
        <v>2</v>
      </c>
      <c r="AB64" s="17">
        <v>0</v>
      </c>
      <c r="AC64" s="25">
        <f>AA64/X64</f>
        <v>0.2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</row>
    <row r="65" spans="2:35" x14ac:dyDescent="0.25">
      <c r="B65" s="9">
        <v>35</v>
      </c>
      <c r="D65" t="s">
        <v>20</v>
      </c>
      <c r="E65" s="17">
        <v>4</v>
      </c>
      <c r="F65" s="17">
        <v>0</v>
      </c>
      <c r="G65" s="17">
        <v>0</v>
      </c>
      <c r="H65" s="31">
        <f t="shared" si="2"/>
        <v>0</v>
      </c>
      <c r="I65" s="17">
        <v>4</v>
      </c>
      <c r="J65" s="25">
        <f t="shared" si="3"/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U65" s="9">
        <v>61</v>
      </c>
      <c r="W65" t="s">
        <v>33</v>
      </c>
      <c r="X65" s="17">
        <v>15</v>
      </c>
      <c r="Y65" s="17">
        <v>0</v>
      </c>
      <c r="Z65" s="17">
        <v>2</v>
      </c>
      <c r="AA65" s="31">
        <f>Y65+Z65</f>
        <v>2</v>
      </c>
      <c r="AB65" s="17">
        <v>0</v>
      </c>
      <c r="AC65" s="25">
        <f>AA65/X65</f>
        <v>0.13333333333333333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</row>
    <row r="66" spans="2:35" x14ac:dyDescent="0.25">
      <c r="B66" s="9">
        <v>36</v>
      </c>
      <c r="D66" t="s">
        <v>435</v>
      </c>
      <c r="E66" s="17">
        <v>7</v>
      </c>
      <c r="F66" s="17">
        <v>0</v>
      </c>
      <c r="G66" s="17">
        <v>0</v>
      </c>
      <c r="H66" s="31">
        <f t="shared" si="2"/>
        <v>0</v>
      </c>
      <c r="I66" s="17">
        <v>0</v>
      </c>
      <c r="J66" s="25">
        <f t="shared" si="3"/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U66" s="9">
        <v>62</v>
      </c>
      <c r="W66" t="s">
        <v>21</v>
      </c>
      <c r="X66" s="17">
        <v>6</v>
      </c>
      <c r="Y66" s="17">
        <v>1</v>
      </c>
      <c r="Z66" s="17">
        <v>0</v>
      </c>
      <c r="AA66" s="31">
        <f>Y66+Z66</f>
        <v>1</v>
      </c>
      <c r="AB66" s="17">
        <v>0</v>
      </c>
      <c r="AC66" s="25">
        <f>AA66/X66</f>
        <v>0.16666666666666666</v>
      </c>
      <c r="AD66" s="17">
        <v>1</v>
      </c>
      <c r="AE66" s="17">
        <v>0</v>
      </c>
      <c r="AF66" s="17">
        <v>0</v>
      </c>
      <c r="AG66" s="17">
        <v>0</v>
      </c>
      <c r="AH66" s="17">
        <v>0</v>
      </c>
      <c r="AI66" s="17">
        <v>0</v>
      </c>
    </row>
    <row r="67" spans="2:35" x14ac:dyDescent="0.25">
      <c r="B67" s="9">
        <v>37</v>
      </c>
      <c r="D67" t="s">
        <v>1193</v>
      </c>
      <c r="E67" s="17">
        <v>1</v>
      </c>
      <c r="F67" s="17">
        <v>0</v>
      </c>
      <c r="G67" s="17">
        <v>0</v>
      </c>
      <c r="H67" s="31">
        <f t="shared" si="2"/>
        <v>0</v>
      </c>
      <c r="I67" s="17">
        <v>0</v>
      </c>
      <c r="J67" s="25">
        <f t="shared" si="3"/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U67" s="9">
        <v>63</v>
      </c>
      <c r="W67" t="s">
        <v>27</v>
      </c>
      <c r="X67" s="17">
        <v>6</v>
      </c>
      <c r="Y67" s="17">
        <v>1</v>
      </c>
      <c r="Z67" s="17">
        <v>0</v>
      </c>
      <c r="AA67" s="31">
        <f>Y67+Z67</f>
        <v>1</v>
      </c>
      <c r="AB67" s="17">
        <v>0</v>
      </c>
      <c r="AC67" s="25">
        <f>AA67/X67</f>
        <v>0.16666666666666666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</row>
    <row r="68" spans="2:35" x14ac:dyDescent="0.25">
      <c r="B68" s="9">
        <v>38</v>
      </c>
      <c r="D68" t="s">
        <v>1191</v>
      </c>
      <c r="E68" s="17">
        <v>1</v>
      </c>
      <c r="F68" s="17">
        <v>0</v>
      </c>
      <c r="G68" s="17">
        <v>0</v>
      </c>
      <c r="H68" s="31">
        <f t="shared" si="2"/>
        <v>0</v>
      </c>
      <c r="I68" s="17">
        <v>0</v>
      </c>
      <c r="J68" s="25">
        <f t="shared" si="3"/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U68" s="9">
        <v>64</v>
      </c>
      <c r="W68" t="s">
        <v>1704</v>
      </c>
      <c r="X68" s="17">
        <v>3</v>
      </c>
      <c r="Y68" s="17">
        <v>0</v>
      </c>
      <c r="Z68" s="17">
        <v>1</v>
      </c>
      <c r="AA68" s="31">
        <f>Y68+Z68</f>
        <v>1</v>
      </c>
      <c r="AB68" s="17">
        <v>0</v>
      </c>
      <c r="AC68" s="25">
        <f>AA68/X68</f>
        <v>0.33333333333333331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</row>
    <row r="69" spans="2:35" x14ac:dyDescent="0.25">
      <c r="B69" s="9">
        <v>39</v>
      </c>
      <c r="D69" t="s">
        <v>1672</v>
      </c>
      <c r="E69" s="17">
        <v>4</v>
      </c>
      <c r="F69" s="17">
        <v>0</v>
      </c>
      <c r="G69" s="17">
        <v>0</v>
      </c>
      <c r="H69" s="31">
        <f t="shared" si="2"/>
        <v>0</v>
      </c>
      <c r="I69" s="17">
        <v>0</v>
      </c>
      <c r="J69" s="25">
        <f t="shared" si="3"/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U69" s="9">
        <v>65</v>
      </c>
      <c r="W69" t="s">
        <v>1678</v>
      </c>
      <c r="X69" s="17">
        <v>6</v>
      </c>
      <c r="Y69" s="17">
        <v>0</v>
      </c>
      <c r="Z69" s="17">
        <v>1</v>
      </c>
      <c r="AA69" s="31">
        <f>Y69+Z69</f>
        <v>1</v>
      </c>
      <c r="AB69" s="17">
        <v>4</v>
      </c>
      <c r="AC69" s="25">
        <f>AA69/X69</f>
        <v>0.16666666666666666</v>
      </c>
      <c r="AD69" s="17">
        <v>0</v>
      </c>
      <c r="AE69" s="17">
        <v>0</v>
      </c>
      <c r="AF69" s="17">
        <v>0</v>
      </c>
      <c r="AG69" s="17">
        <v>0</v>
      </c>
      <c r="AH69" s="17">
        <v>0</v>
      </c>
      <c r="AI69" s="17">
        <v>0</v>
      </c>
    </row>
    <row r="70" spans="2:35" x14ac:dyDescent="0.25">
      <c r="B70" s="9">
        <v>40</v>
      </c>
      <c r="D70" t="s">
        <v>1518</v>
      </c>
      <c r="E70" s="17">
        <v>4</v>
      </c>
      <c r="F70" s="17">
        <v>0</v>
      </c>
      <c r="G70" s="17">
        <v>0</v>
      </c>
      <c r="H70" s="31">
        <f t="shared" si="2"/>
        <v>0</v>
      </c>
      <c r="I70" s="17">
        <v>0</v>
      </c>
      <c r="J70" s="25">
        <f t="shared" si="3"/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U70" s="9">
        <v>66</v>
      </c>
      <c r="W70" t="s">
        <v>435</v>
      </c>
      <c r="X70" s="17">
        <v>19</v>
      </c>
      <c r="Y70" s="17">
        <v>0</v>
      </c>
      <c r="Z70" s="17">
        <v>1</v>
      </c>
      <c r="AA70" s="31">
        <f>Y70+Z70</f>
        <v>1</v>
      </c>
      <c r="AB70" s="17">
        <v>0</v>
      </c>
      <c r="AC70" s="25">
        <f>AA70/X70</f>
        <v>5.2631578947368418E-2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</row>
    <row r="71" spans="2:35" x14ac:dyDescent="0.25">
      <c r="U71" s="9">
        <v>67</v>
      </c>
      <c r="W71" t="s">
        <v>75</v>
      </c>
      <c r="X71" s="17">
        <v>58</v>
      </c>
      <c r="Y71" s="17">
        <v>0</v>
      </c>
      <c r="Z71" s="17">
        <v>1</v>
      </c>
      <c r="AA71" s="31">
        <f>Y71+Z71</f>
        <v>1</v>
      </c>
      <c r="AB71" s="17">
        <v>0</v>
      </c>
      <c r="AC71" s="25">
        <f>AA71/X71</f>
        <v>1.7241379310344827E-2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</row>
    <row r="72" spans="2:35" x14ac:dyDescent="0.25">
      <c r="U72" s="9">
        <v>68</v>
      </c>
      <c r="W72" t="s">
        <v>254</v>
      </c>
      <c r="X72" s="17">
        <v>16</v>
      </c>
      <c r="Y72" s="17">
        <v>0</v>
      </c>
      <c r="Z72" s="17">
        <v>0</v>
      </c>
      <c r="AA72" s="31">
        <f>Y72+Z72</f>
        <v>0</v>
      </c>
      <c r="AB72" s="17">
        <v>0</v>
      </c>
      <c r="AC72" s="25">
        <f>AA72/X72</f>
        <v>0</v>
      </c>
      <c r="AD72" s="17">
        <v>0</v>
      </c>
      <c r="AE72" s="17">
        <v>0</v>
      </c>
      <c r="AF72" s="17">
        <v>0</v>
      </c>
      <c r="AG72" s="17">
        <v>0</v>
      </c>
      <c r="AH72" s="17">
        <v>0</v>
      </c>
      <c r="AI72" s="17">
        <v>0</v>
      </c>
    </row>
    <row r="73" spans="2:35" x14ac:dyDescent="0.25">
      <c r="D73" s="101" t="s">
        <v>544</v>
      </c>
      <c r="E73" s="101"/>
      <c r="U73" s="9">
        <v>69</v>
      </c>
      <c r="W73" t="s">
        <v>28</v>
      </c>
      <c r="X73" s="17">
        <v>16</v>
      </c>
      <c r="Y73" s="17">
        <v>0</v>
      </c>
      <c r="Z73" s="17">
        <v>0</v>
      </c>
      <c r="AA73" s="31">
        <f>Y73+Z73</f>
        <v>0</v>
      </c>
      <c r="AB73" s="17">
        <v>2</v>
      </c>
      <c r="AC73" s="25">
        <f>AA73/X73</f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</row>
    <row r="74" spans="2:35" x14ac:dyDescent="0.25">
      <c r="D74" s="8" t="s">
        <v>0</v>
      </c>
      <c r="E74" s="18" t="s">
        <v>1</v>
      </c>
      <c r="F74" s="18" t="s">
        <v>2</v>
      </c>
      <c r="G74" s="18" t="s">
        <v>3</v>
      </c>
      <c r="H74" s="32" t="s">
        <v>4</v>
      </c>
      <c r="I74" s="18" t="s">
        <v>5</v>
      </c>
      <c r="J74" s="27" t="s">
        <v>38</v>
      </c>
      <c r="K74" s="18" t="s">
        <v>41</v>
      </c>
      <c r="L74" s="18" t="s">
        <v>42</v>
      </c>
      <c r="M74" s="18" t="s">
        <v>45</v>
      </c>
      <c r="N74" s="18" t="s">
        <v>46</v>
      </c>
      <c r="O74" s="18" t="s">
        <v>44</v>
      </c>
      <c r="P74" s="18" t="s">
        <v>43</v>
      </c>
      <c r="U74" s="9">
        <v>70</v>
      </c>
      <c r="W74" t="s">
        <v>224</v>
      </c>
      <c r="X74" s="17">
        <v>16</v>
      </c>
      <c r="Y74" s="17">
        <v>0</v>
      </c>
      <c r="Z74" s="17">
        <v>0</v>
      </c>
      <c r="AA74" s="31">
        <f>Y74+Z74</f>
        <v>0</v>
      </c>
      <c r="AB74" s="17">
        <v>2</v>
      </c>
      <c r="AC74" s="25">
        <f>AA74/X74</f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</row>
    <row r="75" spans="2:35" x14ac:dyDescent="0.25">
      <c r="B75" s="9">
        <v>1</v>
      </c>
      <c r="D75" t="s">
        <v>13</v>
      </c>
      <c r="E75" s="17">
        <v>100</v>
      </c>
      <c r="F75" s="17">
        <v>168</v>
      </c>
      <c r="G75" s="17">
        <v>93</v>
      </c>
      <c r="H75" s="31">
        <f t="shared" ref="H75:H106" si="4">F75+G75</f>
        <v>261</v>
      </c>
      <c r="I75" s="17">
        <v>70</v>
      </c>
      <c r="J75" s="25">
        <f t="shared" ref="J75:J106" si="5">H75/E75</f>
        <v>2.61</v>
      </c>
      <c r="K75" s="17">
        <v>12</v>
      </c>
      <c r="L75" s="17">
        <v>6</v>
      </c>
      <c r="M75" s="17">
        <v>15</v>
      </c>
      <c r="N75" s="17">
        <v>0</v>
      </c>
      <c r="O75" s="17">
        <v>5</v>
      </c>
      <c r="P75" s="17">
        <v>3</v>
      </c>
      <c r="U75" s="9">
        <v>71</v>
      </c>
      <c r="W75" t="s">
        <v>257</v>
      </c>
      <c r="X75" s="17">
        <v>10</v>
      </c>
      <c r="Y75" s="17">
        <v>0</v>
      </c>
      <c r="Z75" s="17">
        <v>0</v>
      </c>
      <c r="AA75" s="31">
        <f>Y75+Z75</f>
        <v>0</v>
      </c>
      <c r="AB75" s="17">
        <v>2</v>
      </c>
      <c r="AC75" s="25">
        <f>AA75/X75</f>
        <v>0</v>
      </c>
      <c r="AD75" s="17">
        <v>0</v>
      </c>
      <c r="AE75" s="17">
        <v>0</v>
      </c>
      <c r="AF75" s="17">
        <v>0</v>
      </c>
      <c r="AG75" s="17">
        <v>0</v>
      </c>
      <c r="AH75" s="17">
        <v>0</v>
      </c>
      <c r="AI75" s="17">
        <v>0</v>
      </c>
    </row>
    <row r="76" spans="2:35" x14ac:dyDescent="0.25">
      <c r="B76" s="9">
        <v>2</v>
      </c>
      <c r="D76" t="s">
        <v>7</v>
      </c>
      <c r="E76" s="17">
        <v>78</v>
      </c>
      <c r="F76" s="17">
        <v>95</v>
      </c>
      <c r="G76" s="17">
        <v>54</v>
      </c>
      <c r="H76" s="31">
        <f t="shared" si="4"/>
        <v>149</v>
      </c>
      <c r="I76" s="17">
        <v>20</v>
      </c>
      <c r="J76" s="25">
        <f t="shared" si="5"/>
        <v>1.9102564102564104</v>
      </c>
      <c r="K76" s="17">
        <v>5</v>
      </c>
      <c r="L76" s="17">
        <v>1</v>
      </c>
      <c r="M76" s="17">
        <v>10</v>
      </c>
      <c r="N76" s="17">
        <v>1</v>
      </c>
      <c r="O76" s="17">
        <v>1</v>
      </c>
      <c r="P76" s="17">
        <v>1</v>
      </c>
      <c r="U76" s="9">
        <v>72</v>
      </c>
      <c r="W76" t="s">
        <v>94</v>
      </c>
      <c r="X76" s="17">
        <v>7</v>
      </c>
      <c r="Y76" s="17">
        <v>0</v>
      </c>
      <c r="Z76" s="17">
        <v>0</v>
      </c>
      <c r="AA76" s="31">
        <f>Y76+Z76</f>
        <v>0</v>
      </c>
      <c r="AB76" s="17">
        <v>2</v>
      </c>
      <c r="AC76" s="25">
        <f>AA76/X76</f>
        <v>0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</row>
    <row r="77" spans="2:35" x14ac:dyDescent="0.25">
      <c r="B77" s="9">
        <v>3</v>
      </c>
      <c r="D77" t="s">
        <v>8</v>
      </c>
      <c r="E77" s="17">
        <v>94</v>
      </c>
      <c r="F77" s="17">
        <v>76</v>
      </c>
      <c r="G77" s="17">
        <v>66</v>
      </c>
      <c r="H77" s="31">
        <f t="shared" si="4"/>
        <v>142</v>
      </c>
      <c r="I77" s="17">
        <v>30</v>
      </c>
      <c r="J77" s="25">
        <f t="shared" si="5"/>
        <v>1.5106382978723405</v>
      </c>
      <c r="K77" s="17">
        <v>6</v>
      </c>
      <c r="L77" s="17">
        <v>0</v>
      </c>
      <c r="M77" s="17">
        <v>7</v>
      </c>
      <c r="N77" s="17">
        <v>0</v>
      </c>
      <c r="O77" s="17">
        <v>1</v>
      </c>
      <c r="P77" s="17">
        <v>0</v>
      </c>
      <c r="U77" s="9">
        <v>73</v>
      </c>
      <c r="W77" t="s">
        <v>29</v>
      </c>
      <c r="X77" s="17">
        <v>6</v>
      </c>
      <c r="Y77" s="17">
        <v>0</v>
      </c>
      <c r="Z77" s="17">
        <v>0</v>
      </c>
      <c r="AA77" s="31">
        <f>Y77+Z77</f>
        <v>0</v>
      </c>
      <c r="AB77" s="17">
        <v>2</v>
      </c>
      <c r="AC77" s="25">
        <f>AA77/X77</f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</row>
    <row r="78" spans="2:35" x14ac:dyDescent="0.25">
      <c r="B78" s="9">
        <v>4</v>
      </c>
      <c r="D78" t="s">
        <v>39</v>
      </c>
      <c r="E78" s="17">
        <v>91</v>
      </c>
      <c r="F78" s="17">
        <v>66</v>
      </c>
      <c r="G78" s="17">
        <v>65</v>
      </c>
      <c r="H78" s="31">
        <f t="shared" si="4"/>
        <v>131</v>
      </c>
      <c r="I78" s="17">
        <v>12</v>
      </c>
      <c r="J78" s="25">
        <f t="shared" si="5"/>
        <v>1.4395604395604396</v>
      </c>
      <c r="K78" s="17">
        <v>5</v>
      </c>
      <c r="L78" s="17">
        <v>1</v>
      </c>
      <c r="M78" s="17">
        <v>6</v>
      </c>
      <c r="N78" s="17">
        <v>0</v>
      </c>
      <c r="O78" s="17">
        <v>0</v>
      </c>
      <c r="P78" s="17">
        <v>0</v>
      </c>
      <c r="U78" s="9">
        <v>74</v>
      </c>
      <c r="W78" t="s">
        <v>294</v>
      </c>
      <c r="X78" s="17">
        <v>4</v>
      </c>
      <c r="Y78" s="17">
        <v>0</v>
      </c>
      <c r="Z78" s="17">
        <v>0</v>
      </c>
      <c r="AA78" s="31">
        <f>Y78+Z78</f>
        <v>0</v>
      </c>
      <c r="AB78" s="17">
        <v>0</v>
      </c>
      <c r="AC78" s="25">
        <f>AA78/X78</f>
        <v>0</v>
      </c>
      <c r="AD78" s="17">
        <v>0</v>
      </c>
      <c r="AE78" s="17">
        <v>0</v>
      </c>
      <c r="AF78" s="17">
        <v>0</v>
      </c>
      <c r="AG78" s="17">
        <v>0</v>
      </c>
      <c r="AH78" s="17">
        <v>0</v>
      </c>
      <c r="AI78" s="17">
        <v>0</v>
      </c>
    </row>
    <row r="79" spans="2:35" x14ac:dyDescent="0.25">
      <c r="B79" s="9">
        <v>5</v>
      </c>
      <c r="D79" t="s">
        <v>30</v>
      </c>
      <c r="E79" s="17">
        <v>77</v>
      </c>
      <c r="F79" s="17">
        <v>53</v>
      </c>
      <c r="G79" s="17">
        <v>59</v>
      </c>
      <c r="H79" s="31">
        <f t="shared" si="4"/>
        <v>112</v>
      </c>
      <c r="I79" s="17">
        <v>14</v>
      </c>
      <c r="J79" s="25">
        <f t="shared" si="5"/>
        <v>1.4545454545454546</v>
      </c>
      <c r="K79" s="17">
        <v>2</v>
      </c>
      <c r="L79" s="17">
        <v>0</v>
      </c>
      <c r="M79" s="17">
        <v>10</v>
      </c>
      <c r="N79" s="17">
        <v>0</v>
      </c>
      <c r="O79" s="17">
        <v>0</v>
      </c>
      <c r="P79" s="17">
        <v>0</v>
      </c>
      <c r="U79" s="9">
        <v>75</v>
      </c>
      <c r="W79" t="s">
        <v>293</v>
      </c>
      <c r="X79" s="17">
        <v>4</v>
      </c>
      <c r="Y79" s="17">
        <v>0</v>
      </c>
      <c r="Z79" s="17">
        <v>0</v>
      </c>
      <c r="AA79" s="31">
        <f>Y79+Z79</f>
        <v>0</v>
      </c>
      <c r="AB79" s="17">
        <v>0</v>
      </c>
      <c r="AC79" s="25">
        <f>AA79/X79</f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</row>
    <row r="80" spans="2:35" x14ac:dyDescent="0.25">
      <c r="B80" s="9">
        <v>6</v>
      </c>
      <c r="D80" t="s">
        <v>9</v>
      </c>
      <c r="E80" s="17">
        <v>106</v>
      </c>
      <c r="F80" s="17">
        <v>36</v>
      </c>
      <c r="G80" s="17">
        <v>58</v>
      </c>
      <c r="H80" s="31">
        <f t="shared" si="4"/>
        <v>94</v>
      </c>
      <c r="I80" s="17">
        <v>18</v>
      </c>
      <c r="J80" s="25">
        <f t="shared" si="5"/>
        <v>0.8867924528301887</v>
      </c>
      <c r="K80" s="17">
        <v>5</v>
      </c>
      <c r="L80" s="17">
        <v>2</v>
      </c>
      <c r="M80" s="17">
        <v>4</v>
      </c>
      <c r="N80" s="17">
        <v>0</v>
      </c>
      <c r="O80" s="17">
        <v>0</v>
      </c>
      <c r="P80" s="17">
        <v>0</v>
      </c>
      <c r="U80" s="9">
        <v>76</v>
      </c>
      <c r="W80" t="s">
        <v>32</v>
      </c>
      <c r="X80" s="17">
        <v>2</v>
      </c>
      <c r="Y80" s="17">
        <v>0</v>
      </c>
      <c r="Z80" s="17">
        <v>0</v>
      </c>
      <c r="AA80" s="31">
        <f>Y80+Z80</f>
        <v>0</v>
      </c>
      <c r="AB80" s="17">
        <v>4</v>
      </c>
      <c r="AC80" s="25">
        <f>AA80/X80</f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</row>
    <row r="81" spans="2:35" x14ac:dyDescent="0.25">
      <c r="B81" s="9">
        <v>7</v>
      </c>
      <c r="D81" t="s">
        <v>10</v>
      </c>
      <c r="E81" s="17">
        <v>92</v>
      </c>
      <c r="F81" s="17">
        <v>41</v>
      </c>
      <c r="G81" s="17">
        <v>49</v>
      </c>
      <c r="H81" s="31">
        <f t="shared" si="4"/>
        <v>90</v>
      </c>
      <c r="I81" s="17">
        <v>18</v>
      </c>
      <c r="J81" s="25">
        <f t="shared" si="5"/>
        <v>0.97826086956521741</v>
      </c>
      <c r="K81" s="17">
        <v>3</v>
      </c>
      <c r="L81" s="17">
        <v>1</v>
      </c>
      <c r="M81" s="17">
        <v>6</v>
      </c>
      <c r="N81" s="17">
        <v>0</v>
      </c>
      <c r="O81" s="17">
        <v>1</v>
      </c>
      <c r="P81" s="17">
        <v>0</v>
      </c>
      <c r="U81" s="9">
        <v>77</v>
      </c>
      <c r="W81" t="s">
        <v>1181</v>
      </c>
      <c r="X81" s="17">
        <v>16</v>
      </c>
      <c r="Y81" s="17">
        <v>0</v>
      </c>
      <c r="Z81" s="17">
        <v>0</v>
      </c>
      <c r="AA81" s="31">
        <f>Y81+Z81</f>
        <v>0</v>
      </c>
      <c r="AB81" s="17">
        <v>0</v>
      </c>
      <c r="AC81" s="25">
        <f>AA81/X81</f>
        <v>0</v>
      </c>
      <c r="AD81" s="17">
        <v>0</v>
      </c>
      <c r="AE81" s="17">
        <v>0</v>
      </c>
      <c r="AF81" s="17">
        <v>0</v>
      </c>
      <c r="AG81" s="17">
        <v>0</v>
      </c>
      <c r="AH81" s="17">
        <v>0</v>
      </c>
      <c r="AI81" s="17">
        <v>0</v>
      </c>
    </row>
    <row r="82" spans="2:35" x14ac:dyDescent="0.25">
      <c r="B82" s="9">
        <v>8</v>
      </c>
      <c r="D82" t="s">
        <v>324</v>
      </c>
      <c r="E82" s="17">
        <v>49</v>
      </c>
      <c r="F82" s="17">
        <v>37</v>
      </c>
      <c r="G82" s="17">
        <v>49</v>
      </c>
      <c r="H82" s="31">
        <f t="shared" si="4"/>
        <v>86</v>
      </c>
      <c r="I82" s="17">
        <v>14</v>
      </c>
      <c r="J82" s="25">
        <f t="shared" si="5"/>
        <v>1.7551020408163265</v>
      </c>
      <c r="K82" s="17">
        <v>2</v>
      </c>
      <c r="L82" s="17">
        <v>1</v>
      </c>
      <c r="M82" s="17">
        <v>4</v>
      </c>
      <c r="N82" s="17">
        <v>1</v>
      </c>
      <c r="O82" s="17">
        <v>0</v>
      </c>
      <c r="P82" s="17">
        <v>1</v>
      </c>
      <c r="U82" s="9">
        <v>78</v>
      </c>
      <c r="W82" t="s">
        <v>1369</v>
      </c>
      <c r="X82" s="17">
        <v>10</v>
      </c>
      <c r="Y82" s="17">
        <v>0</v>
      </c>
      <c r="Z82" s="17">
        <v>0</v>
      </c>
      <c r="AA82" s="31">
        <f>Y82+Z82</f>
        <v>0</v>
      </c>
      <c r="AB82" s="17">
        <v>0</v>
      </c>
      <c r="AC82" s="25">
        <f>AA82/X82</f>
        <v>0</v>
      </c>
      <c r="AD82" s="17">
        <v>0</v>
      </c>
      <c r="AE82" s="17">
        <v>0</v>
      </c>
      <c r="AF82" s="17">
        <v>0</v>
      </c>
      <c r="AG82" s="17">
        <v>0</v>
      </c>
      <c r="AH82" s="17">
        <v>0</v>
      </c>
      <c r="AI82" s="17">
        <v>0</v>
      </c>
    </row>
    <row r="83" spans="2:35" x14ac:dyDescent="0.25">
      <c r="B83" s="9">
        <v>9</v>
      </c>
      <c r="D83" t="s">
        <v>356</v>
      </c>
      <c r="E83" s="17">
        <v>30</v>
      </c>
      <c r="F83" s="17">
        <v>45</v>
      </c>
      <c r="G83" s="17">
        <v>32</v>
      </c>
      <c r="H83" s="31">
        <f t="shared" si="4"/>
        <v>77</v>
      </c>
      <c r="I83" s="17">
        <v>2</v>
      </c>
      <c r="J83" s="25">
        <f t="shared" si="5"/>
        <v>2.5666666666666669</v>
      </c>
      <c r="K83" s="17">
        <v>6</v>
      </c>
      <c r="L83" s="17">
        <v>2</v>
      </c>
      <c r="M83" s="17">
        <v>7</v>
      </c>
      <c r="N83" s="17">
        <v>0</v>
      </c>
      <c r="O83" s="17">
        <v>1</v>
      </c>
      <c r="P83" s="17">
        <v>0</v>
      </c>
      <c r="U83" s="9">
        <v>79</v>
      </c>
      <c r="W83" t="s">
        <v>1679</v>
      </c>
      <c r="X83" s="17">
        <v>8</v>
      </c>
      <c r="Y83" s="17">
        <v>0</v>
      </c>
      <c r="Z83" s="17">
        <v>0</v>
      </c>
      <c r="AA83" s="31">
        <f>Y83+Z83</f>
        <v>0</v>
      </c>
      <c r="AB83" s="17">
        <v>4</v>
      </c>
      <c r="AC83" s="25">
        <f>AA83/X83</f>
        <v>0</v>
      </c>
      <c r="AD83" s="17">
        <v>0</v>
      </c>
      <c r="AE83" s="17">
        <v>0</v>
      </c>
      <c r="AF83" s="17">
        <v>0</v>
      </c>
      <c r="AG83" s="17">
        <v>0</v>
      </c>
      <c r="AH83" s="17">
        <v>0</v>
      </c>
      <c r="AI83" s="17">
        <v>0</v>
      </c>
    </row>
    <row r="84" spans="2:35" x14ac:dyDescent="0.25">
      <c r="B84" s="9">
        <v>10</v>
      </c>
      <c r="D84" t="s">
        <v>12</v>
      </c>
      <c r="E84" s="17">
        <v>113</v>
      </c>
      <c r="F84" s="17">
        <v>24</v>
      </c>
      <c r="G84" s="17">
        <v>39</v>
      </c>
      <c r="H84" s="31">
        <f t="shared" si="4"/>
        <v>63</v>
      </c>
      <c r="I84" s="17">
        <v>38</v>
      </c>
      <c r="J84" s="25">
        <f t="shared" si="5"/>
        <v>0.55752212389380529</v>
      </c>
      <c r="K84" s="17">
        <v>5</v>
      </c>
      <c r="L84" s="17">
        <v>1</v>
      </c>
      <c r="M84" s="17">
        <v>1</v>
      </c>
      <c r="N84" s="17">
        <v>0</v>
      </c>
      <c r="O84" s="17">
        <v>0</v>
      </c>
      <c r="P84" s="17">
        <v>0</v>
      </c>
      <c r="U84" s="9">
        <v>80</v>
      </c>
      <c r="W84" t="s">
        <v>1672</v>
      </c>
      <c r="X84" s="17">
        <v>2</v>
      </c>
      <c r="Y84" s="17">
        <v>0</v>
      </c>
      <c r="Z84" s="17">
        <v>0</v>
      </c>
      <c r="AA84" s="31">
        <f>Y84+Z84</f>
        <v>0</v>
      </c>
      <c r="AB84" s="17">
        <v>0</v>
      </c>
      <c r="AC84" s="25">
        <f>AA84/X84</f>
        <v>0</v>
      </c>
      <c r="AD84" s="17">
        <v>0</v>
      </c>
      <c r="AE84" s="17">
        <v>0</v>
      </c>
      <c r="AF84" s="17">
        <v>0</v>
      </c>
      <c r="AG84" s="17">
        <v>0</v>
      </c>
      <c r="AH84" s="17">
        <v>0</v>
      </c>
      <c r="AI84" s="17">
        <v>0</v>
      </c>
    </row>
    <row r="85" spans="2:35" x14ac:dyDescent="0.25">
      <c r="B85" s="9">
        <v>11</v>
      </c>
      <c r="D85" t="s">
        <v>14</v>
      </c>
      <c r="E85" s="17">
        <v>92</v>
      </c>
      <c r="F85" s="17">
        <v>29</v>
      </c>
      <c r="G85" s="17">
        <v>25</v>
      </c>
      <c r="H85" s="31">
        <f t="shared" si="4"/>
        <v>54</v>
      </c>
      <c r="I85" s="17">
        <v>18</v>
      </c>
      <c r="J85" s="25">
        <f t="shared" si="5"/>
        <v>0.58695652173913049</v>
      </c>
      <c r="K85" s="17">
        <v>7</v>
      </c>
      <c r="L85" s="17">
        <v>2</v>
      </c>
      <c r="M85" s="17">
        <v>2</v>
      </c>
      <c r="N85" s="17">
        <v>0</v>
      </c>
      <c r="O85" s="17">
        <v>0</v>
      </c>
      <c r="P85" s="17">
        <v>0</v>
      </c>
    </row>
    <row r="86" spans="2:35" x14ac:dyDescent="0.25">
      <c r="B86" s="9">
        <v>12</v>
      </c>
      <c r="D86" t="s">
        <v>434</v>
      </c>
      <c r="E86" s="17">
        <v>56</v>
      </c>
      <c r="F86" s="17">
        <v>39</v>
      </c>
      <c r="G86" s="17">
        <v>12</v>
      </c>
      <c r="H86" s="31">
        <f t="shared" si="4"/>
        <v>51</v>
      </c>
      <c r="I86" s="17">
        <v>2</v>
      </c>
      <c r="J86" s="25">
        <f t="shared" si="5"/>
        <v>0.9107142857142857</v>
      </c>
      <c r="K86" s="17">
        <v>4</v>
      </c>
      <c r="L86" s="17">
        <v>1</v>
      </c>
      <c r="M86" s="17">
        <v>4</v>
      </c>
      <c r="N86" s="17">
        <v>0</v>
      </c>
      <c r="O86" s="17">
        <v>0</v>
      </c>
      <c r="P86" s="17">
        <v>1</v>
      </c>
    </row>
    <row r="87" spans="2:35" x14ac:dyDescent="0.25">
      <c r="B87" s="9">
        <v>13</v>
      </c>
      <c r="D87" t="s">
        <v>16</v>
      </c>
      <c r="E87" s="17">
        <v>81</v>
      </c>
      <c r="F87" s="17">
        <v>12</v>
      </c>
      <c r="G87" s="17">
        <v>23</v>
      </c>
      <c r="H87" s="31">
        <f t="shared" si="4"/>
        <v>35</v>
      </c>
      <c r="I87" s="17">
        <v>29</v>
      </c>
      <c r="J87" s="25">
        <f t="shared" si="5"/>
        <v>0.43209876543209874</v>
      </c>
      <c r="K87" s="17">
        <v>1</v>
      </c>
      <c r="L87" s="17">
        <v>0</v>
      </c>
      <c r="M87" s="17">
        <v>1</v>
      </c>
      <c r="N87" s="17">
        <v>0</v>
      </c>
      <c r="O87" s="17">
        <v>0</v>
      </c>
      <c r="P87" s="17">
        <v>0</v>
      </c>
      <c r="W87" s="101" t="s">
        <v>546</v>
      </c>
      <c r="X87" s="101"/>
    </row>
    <row r="88" spans="2:35" x14ac:dyDescent="0.25">
      <c r="B88" s="9">
        <v>14</v>
      </c>
      <c r="D88" t="s">
        <v>22</v>
      </c>
      <c r="E88" s="17">
        <v>56</v>
      </c>
      <c r="F88" s="17">
        <v>8</v>
      </c>
      <c r="G88" s="17">
        <v>26</v>
      </c>
      <c r="H88" s="31">
        <f t="shared" si="4"/>
        <v>34</v>
      </c>
      <c r="I88" s="17">
        <v>16</v>
      </c>
      <c r="J88" s="25">
        <f t="shared" si="5"/>
        <v>0.6071428571428571</v>
      </c>
      <c r="K88" s="17">
        <v>2</v>
      </c>
      <c r="L88" s="17">
        <v>0</v>
      </c>
      <c r="M88" s="17">
        <v>1</v>
      </c>
      <c r="N88" s="17">
        <v>0</v>
      </c>
      <c r="O88" s="17">
        <v>0</v>
      </c>
      <c r="P88" s="17">
        <v>0</v>
      </c>
      <c r="W88" s="8" t="s">
        <v>0</v>
      </c>
      <c r="X88" s="18" t="s">
        <v>1</v>
      </c>
      <c r="Y88" s="18" t="s">
        <v>2</v>
      </c>
      <c r="Z88" s="18" t="s">
        <v>3</v>
      </c>
      <c r="AA88" s="32" t="s">
        <v>4</v>
      </c>
      <c r="AB88" s="18" t="s">
        <v>5</v>
      </c>
      <c r="AC88" s="27" t="s">
        <v>38</v>
      </c>
      <c r="AD88" s="18" t="s">
        <v>41</v>
      </c>
      <c r="AE88" s="18" t="s">
        <v>42</v>
      </c>
      <c r="AF88" s="18" t="s">
        <v>45</v>
      </c>
      <c r="AG88" s="18" t="s">
        <v>46</v>
      </c>
      <c r="AH88" s="18" t="s">
        <v>44</v>
      </c>
      <c r="AI88" s="18" t="s">
        <v>43</v>
      </c>
    </row>
    <row r="89" spans="2:35" x14ac:dyDescent="0.25">
      <c r="B89" s="9">
        <v>15</v>
      </c>
      <c r="D89" t="s">
        <v>225</v>
      </c>
      <c r="E89" s="17">
        <v>64</v>
      </c>
      <c r="F89" s="17">
        <v>9</v>
      </c>
      <c r="G89" s="17">
        <v>22</v>
      </c>
      <c r="H89" s="31">
        <f t="shared" si="4"/>
        <v>31</v>
      </c>
      <c r="I89" s="17">
        <v>19</v>
      </c>
      <c r="J89" s="25">
        <f t="shared" si="5"/>
        <v>0.484375</v>
      </c>
      <c r="K89" s="17">
        <v>0</v>
      </c>
      <c r="L89" s="17">
        <v>0</v>
      </c>
      <c r="M89" s="17">
        <v>2</v>
      </c>
      <c r="N89" s="17">
        <v>0</v>
      </c>
      <c r="O89" s="17">
        <v>1</v>
      </c>
      <c r="P89" s="17">
        <v>0</v>
      </c>
      <c r="U89" s="9">
        <v>1</v>
      </c>
      <c r="W89" t="s">
        <v>13</v>
      </c>
      <c r="X89" s="17">
        <v>45</v>
      </c>
      <c r="Y89" s="17">
        <v>82</v>
      </c>
      <c r="Z89" s="17">
        <v>52</v>
      </c>
      <c r="AA89" s="31">
        <f t="shared" ref="AA89:AA135" si="6">Y89+Z89</f>
        <v>134</v>
      </c>
      <c r="AB89" s="17">
        <v>49</v>
      </c>
      <c r="AC89" s="25">
        <f t="shared" ref="AC89:AC135" si="7">AA89/X89</f>
        <v>2.9777777777777779</v>
      </c>
      <c r="AD89" s="17">
        <v>7</v>
      </c>
      <c r="AE89" s="17">
        <v>4</v>
      </c>
      <c r="AF89" s="17">
        <v>2</v>
      </c>
      <c r="AG89" s="17">
        <v>3</v>
      </c>
      <c r="AH89" s="17">
        <v>3</v>
      </c>
      <c r="AI89" s="17">
        <v>1</v>
      </c>
    </row>
    <row r="90" spans="2:35" x14ac:dyDescent="0.25">
      <c r="B90" s="9">
        <v>16</v>
      </c>
      <c r="D90" t="s">
        <v>1178</v>
      </c>
      <c r="E90" s="17">
        <v>18</v>
      </c>
      <c r="F90" s="17">
        <v>18</v>
      </c>
      <c r="G90" s="17">
        <v>9</v>
      </c>
      <c r="H90" s="31">
        <f t="shared" si="4"/>
        <v>27</v>
      </c>
      <c r="I90" s="17">
        <v>6</v>
      </c>
      <c r="J90" s="25">
        <f t="shared" si="5"/>
        <v>1.5</v>
      </c>
      <c r="K90" s="17">
        <v>1</v>
      </c>
      <c r="L90" s="17">
        <v>1</v>
      </c>
      <c r="M90" s="17">
        <v>2</v>
      </c>
      <c r="N90" s="17">
        <v>0</v>
      </c>
      <c r="O90" s="17">
        <v>0</v>
      </c>
      <c r="P90" s="17">
        <v>0</v>
      </c>
      <c r="U90" s="9">
        <v>2</v>
      </c>
      <c r="W90" t="s">
        <v>8</v>
      </c>
      <c r="X90" s="17">
        <v>34</v>
      </c>
      <c r="Y90" s="17">
        <v>46</v>
      </c>
      <c r="Z90" s="17">
        <v>25</v>
      </c>
      <c r="AA90" s="31">
        <f t="shared" si="6"/>
        <v>71</v>
      </c>
      <c r="AB90" s="17">
        <v>8</v>
      </c>
      <c r="AC90" s="25">
        <f t="shared" si="7"/>
        <v>2.0882352941176472</v>
      </c>
      <c r="AD90" s="17">
        <v>1</v>
      </c>
      <c r="AE90" s="17">
        <v>0</v>
      </c>
      <c r="AF90" s="17">
        <v>6</v>
      </c>
      <c r="AG90" s="17">
        <v>0</v>
      </c>
      <c r="AH90" s="17">
        <v>0</v>
      </c>
      <c r="AI90" s="17">
        <v>1</v>
      </c>
    </row>
    <row r="91" spans="2:35" x14ac:dyDescent="0.25">
      <c r="B91" s="9">
        <v>17</v>
      </c>
      <c r="D91" t="s">
        <v>358</v>
      </c>
      <c r="E91" s="17">
        <v>32</v>
      </c>
      <c r="F91" s="17">
        <v>20</v>
      </c>
      <c r="G91" s="17">
        <v>6</v>
      </c>
      <c r="H91" s="31">
        <f t="shared" si="4"/>
        <v>26</v>
      </c>
      <c r="I91" s="17">
        <v>0</v>
      </c>
      <c r="J91" s="25">
        <f t="shared" si="5"/>
        <v>0.8125</v>
      </c>
      <c r="K91" s="17">
        <v>2</v>
      </c>
      <c r="L91" s="17">
        <v>0</v>
      </c>
      <c r="M91" s="17">
        <v>1</v>
      </c>
      <c r="N91" s="17">
        <v>0</v>
      </c>
      <c r="O91" s="17">
        <v>0</v>
      </c>
      <c r="P91" s="17">
        <v>0</v>
      </c>
      <c r="U91" s="9">
        <v>3</v>
      </c>
      <c r="W91" t="s">
        <v>7</v>
      </c>
      <c r="X91" s="17">
        <v>30</v>
      </c>
      <c r="Y91" s="17">
        <v>38</v>
      </c>
      <c r="Z91" s="17">
        <v>22</v>
      </c>
      <c r="AA91" s="31">
        <f t="shared" si="6"/>
        <v>60</v>
      </c>
      <c r="AB91" s="17">
        <v>4</v>
      </c>
      <c r="AC91" s="25">
        <f t="shared" si="7"/>
        <v>2</v>
      </c>
      <c r="AD91" s="17">
        <v>3</v>
      </c>
      <c r="AE91" s="17">
        <v>3</v>
      </c>
      <c r="AF91" s="17">
        <v>3</v>
      </c>
      <c r="AG91" s="17">
        <v>0</v>
      </c>
      <c r="AH91" s="17">
        <v>0</v>
      </c>
      <c r="AI91" s="17">
        <v>0</v>
      </c>
    </row>
    <row r="92" spans="2:35" x14ac:dyDescent="0.25">
      <c r="B92" s="9">
        <v>18</v>
      </c>
      <c r="D92" t="s">
        <v>438</v>
      </c>
      <c r="E92" s="17">
        <v>14</v>
      </c>
      <c r="F92" s="17">
        <v>14</v>
      </c>
      <c r="G92" s="17">
        <v>3</v>
      </c>
      <c r="H92" s="31">
        <f t="shared" si="4"/>
        <v>17</v>
      </c>
      <c r="I92" s="17">
        <v>2</v>
      </c>
      <c r="J92" s="25">
        <f t="shared" si="5"/>
        <v>1.2142857142857142</v>
      </c>
      <c r="K92" s="17">
        <v>1</v>
      </c>
      <c r="L92" s="17">
        <v>0</v>
      </c>
      <c r="M92" s="17">
        <v>2</v>
      </c>
      <c r="N92" s="17">
        <v>0</v>
      </c>
      <c r="O92" s="17">
        <v>0</v>
      </c>
      <c r="P92" s="17">
        <v>0</v>
      </c>
      <c r="U92" s="9">
        <v>4</v>
      </c>
      <c r="W92" t="s">
        <v>324</v>
      </c>
      <c r="X92" s="17">
        <v>27</v>
      </c>
      <c r="Y92" s="17">
        <v>25</v>
      </c>
      <c r="Z92" s="17">
        <v>32</v>
      </c>
      <c r="AA92" s="31">
        <f t="shared" si="6"/>
        <v>57</v>
      </c>
      <c r="AB92" s="17">
        <v>12</v>
      </c>
      <c r="AC92" s="25">
        <f t="shared" si="7"/>
        <v>2.1111111111111112</v>
      </c>
      <c r="AD92" s="17">
        <v>0</v>
      </c>
      <c r="AE92" s="17">
        <v>2</v>
      </c>
      <c r="AF92" s="17">
        <v>3</v>
      </c>
      <c r="AG92" s="17">
        <v>0</v>
      </c>
      <c r="AH92" s="17">
        <v>0</v>
      </c>
      <c r="AI92" s="17">
        <v>0</v>
      </c>
    </row>
    <row r="93" spans="2:35" x14ac:dyDescent="0.25">
      <c r="B93" s="9">
        <v>19</v>
      </c>
      <c r="D93" t="s">
        <v>232</v>
      </c>
      <c r="E93" s="17">
        <v>35</v>
      </c>
      <c r="F93" s="17">
        <v>9</v>
      </c>
      <c r="G93" s="17">
        <v>8</v>
      </c>
      <c r="H93" s="31">
        <f t="shared" si="4"/>
        <v>17</v>
      </c>
      <c r="I93" s="17">
        <v>0</v>
      </c>
      <c r="J93" s="25">
        <f t="shared" si="5"/>
        <v>0.48571428571428571</v>
      </c>
      <c r="K93" s="17">
        <v>1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U93" s="9">
        <v>5</v>
      </c>
      <c r="W93" t="s">
        <v>36</v>
      </c>
      <c r="X93" s="17">
        <v>62</v>
      </c>
      <c r="Y93" s="17">
        <v>32</v>
      </c>
      <c r="Z93" s="17">
        <v>22</v>
      </c>
      <c r="AA93" s="31">
        <f t="shared" si="6"/>
        <v>54</v>
      </c>
      <c r="AB93" s="17">
        <v>8</v>
      </c>
      <c r="AC93" s="25">
        <f t="shared" si="7"/>
        <v>0.87096774193548387</v>
      </c>
      <c r="AD93" s="17">
        <v>1</v>
      </c>
      <c r="AE93" s="17">
        <v>1</v>
      </c>
      <c r="AF93" s="17">
        <v>5</v>
      </c>
      <c r="AG93" s="17">
        <v>0</v>
      </c>
      <c r="AH93" s="17">
        <v>0</v>
      </c>
      <c r="AI93" s="17">
        <v>0</v>
      </c>
    </row>
    <row r="94" spans="2:35" x14ac:dyDescent="0.25">
      <c r="B94" s="9">
        <v>20</v>
      </c>
      <c r="D94" t="s">
        <v>255</v>
      </c>
      <c r="E94" s="17">
        <v>31</v>
      </c>
      <c r="F94" s="17">
        <v>9</v>
      </c>
      <c r="G94" s="17">
        <v>5</v>
      </c>
      <c r="H94" s="31">
        <f t="shared" si="4"/>
        <v>14</v>
      </c>
      <c r="I94" s="17">
        <v>2</v>
      </c>
      <c r="J94" s="25">
        <f t="shared" si="5"/>
        <v>0.45161290322580644</v>
      </c>
      <c r="K94" s="17">
        <v>1</v>
      </c>
      <c r="L94" s="17">
        <v>0</v>
      </c>
      <c r="M94" s="17">
        <v>3</v>
      </c>
      <c r="N94" s="17">
        <v>0</v>
      </c>
      <c r="O94" s="17">
        <v>0</v>
      </c>
      <c r="P94" s="17">
        <v>0</v>
      </c>
      <c r="U94" s="9">
        <v>6</v>
      </c>
      <c r="W94" t="s">
        <v>34</v>
      </c>
      <c r="X94" s="17">
        <v>32</v>
      </c>
      <c r="Y94" s="17">
        <v>31</v>
      </c>
      <c r="Z94" s="17">
        <v>15</v>
      </c>
      <c r="AA94" s="31">
        <f t="shared" si="6"/>
        <v>46</v>
      </c>
      <c r="AB94" s="17">
        <v>8</v>
      </c>
      <c r="AC94" s="25">
        <f t="shared" si="7"/>
        <v>1.4375</v>
      </c>
      <c r="AD94" s="17">
        <v>1</v>
      </c>
      <c r="AE94" s="17">
        <v>2</v>
      </c>
      <c r="AF94" s="17">
        <v>3</v>
      </c>
      <c r="AG94" s="17">
        <v>0</v>
      </c>
      <c r="AH94" s="17">
        <v>0</v>
      </c>
      <c r="AI94" s="17">
        <v>0</v>
      </c>
    </row>
    <row r="95" spans="2:35" x14ac:dyDescent="0.25">
      <c r="B95" s="9">
        <v>21</v>
      </c>
      <c r="D95" t="s">
        <v>1191</v>
      </c>
      <c r="E95" s="17">
        <v>18</v>
      </c>
      <c r="F95" s="17">
        <v>7</v>
      </c>
      <c r="G95" s="17">
        <v>4</v>
      </c>
      <c r="H95" s="31">
        <f t="shared" si="4"/>
        <v>11</v>
      </c>
      <c r="I95" s="17">
        <v>2</v>
      </c>
      <c r="J95" s="25">
        <f t="shared" si="5"/>
        <v>0.61111111111111116</v>
      </c>
      <c r="K95" s="17">
        <v>1</v>
      </c>
      <c r="L95" s="17">
        <v>0</v>
      </c>
      <c r="M95" s="17">
        <v>2</v>
      </c>
      <c r="N95" s="17">
        <v>0</v>
      </c>
      <c r="O95" s="17">
        <v>0</v>
      </c>
      <c r="P95" s="17">
        <v>0</v>
      </c>
      <c r="U95" s="9">
        <v>7</v>
      </c>
      <c r="W95" t="s">
        <v>6</v>
      </c>
      <c r="X95" s="17">
        <v>20</v>
      </c>
      <c r="Y95" s="17">
        <v>24</v>
      </c>
      <c r="Z95" s="17">
        <v>19</v>
      </c>
      <c r="AA95" s="31">
        <f t="shared" si="6"/>
        <v>43</v>
      </c>
      <c r="AB95" s="17">
        <v>6</v>
      </c>
      <c r="AC95" s="25">
        <f t="shared" si="7"/>
        <v>2.15</v>
      </c>
      <c r="AD95" s="17">
        <v>1</v>
      </c>
      <c r="AE95" s="17">
        <v>1</v>
      </c>
      <c r="AF95" s="17">
        <v>4</v>
      </c>
      <c r="AG95" s="17">
        <v>0</v>
      </c>
      <c r="AH95" s="17">
        <v>0</v>
      </c>
      <c r="AI95" s="17">
        <v>0</v>
      </c>
    </row>
    <row r="96" spans="2:35" x14ac:dyDescent="0.25">
      <c r="B96" s="9">
        <v>22</v>
      </c>
      <c r="D96" t="s">
        <v>11</v>
      </c>
      <c r="E96" s="17">
        <v>9</v>
      </c>
      <c r="F96" s="17">
        <v>5</v>
      </c>
      <c r="G96" s="17">
        <v>6</v>
      </c>
      <c r="H96" s="31">
        <f t="shared" si="4"/>
        <v>11</v>
      </c>
      <c r="I96" s="17">
        <v>0</v>
      </c>
      <c r="J96" s="25">
        <f t="shared" si="5"/>
        <v>1.2222222222222223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U96" s="9">
        <v>8</v>
      </c>
      <c r="W96" t="s">
        <v>10</v>
      </c>
      <c r="X96" s="17">
        <v>36</v>
      </c>
      <c r="Y96" s="17">
        <v>14</v>
      </c>
      <c r="Z96" s="17">
        <v>24</v>
      </c>
      <c r="AA96" s="31">
        <f t="shared" si="6"/>
        <v>38</v>
      </c>
      <c r="AB96" s="17">
        <v>4</v>
      </c>
      <c r="AC96" s="25">
        <f t="shared" si="7"/>
        <v>1.0555555555555556</v>
      </c>
      <c r="AD96" s="17">
        <v>1</v>
      </c>
      <c r="AE96" s="17">
        <v>1</v>
      </c>
      <c r="AF96" s="17">
        <v>1</v>
      </c>
      <c r="AG96" s="17">
        <v>0</v>
      </c>
      <c r="AH96" s="17">
        <v>0</v>
      </c>
      <c r="AI96" s="17">
        <v>0</v>
      </c>
    </row>
    <row r="97" spans="2:35" x14ac:dyDescent="0.25">
      <c r="B97" s="9">
        <v>23</v>
      </c>
      <c r="D97" t="s">
        <v>77</v>
      </c>
      <c r="E97" s="17">
        <v>5</v>
      </c>
      <c r="F97" s="17">
        <v>5</v>
      </c>
      <c r="G97" s="17">
        <v>3</v>
      </c>
      <c r="H97" s="31">
        <f t="shared" si="4"/>
        <v>8</v>
      </c>
      <c r="I97" s="17">
        <v>6</v>
      </c>
      <c r="J97" s="25">
        <f t="shared" si="5"/>
        <v>1.6</v>
      </c>
      <c r="K97" s="17">
        <v>0</v>
      </c>
      <c r="L97" s="17">
        <v>0</v>
      </c>
      <c r="M97" s="17">
        <v>3</v>
      </c>
      <c r="N97" s="17">
        <v>0</v>
      </c>
      <c r="O97" s="17">
        <v>1</v>
      </c>
      <c r="P97" s="17">
        <v>0</v>
      </c>
      <c r="U97" s="9">
        <v>9</v>
      </c>
      <c r="W97" t="s">
        <v>14</v>
      </c>
      <c r="X97" s="17">
        <v>24</v>
      </c>
      <c r="Y97" s="17">
        <v>17</v>
      </c>
      <c r="Z97" s="17">
        <v>18</v>
      </c>
      <c r="AA97" s="31">
        <f t="shared" si="6"/>
        <v>35</v>
      </c>
      <c r="AB97" s="17">
        <v>6</v>
      </c>
      <c r="AC97" s="25">
        <f t="shared" si="7"/>
        <v>1.4583333333333333</v>
      </c>
      <c r="AD97" s="17">
        <v>2</v>
      </c>
      <c r="AE97" s="17">
        <v>0</v>
      </c>
      <c r="AF97" s="17">
        <v>4</v>
      </c>
      <c r="AG97" s="17">
        <v>0</v>
      </c>
      <c r="AH97" s="17">
        <v>0</v>
      </c>
      <c r="AI97" s="17">
        <v>0</v>
      </c>
    </row>
    <row r="98" spans="2:35" x14ac:dyDescent="0.25">
      <c r="B98" s="9">
        <v>24</v>
      </c>
      <c r="D98" t="s">
        <v>320</v>
      </c>
      <c r="E98" s="17">
        <v>10</v>
      </c>
      <c r="F98" s="17">
        <v>6</v>
      </c>
      <c r="G98" s="17">
        <v>1</v>
      </c>
      <c r="H98" s="31">
        <f t="shared" si="4"/>
        <v>7</v>
      </c>
      <c r="I98" s="17">
        <v>2</v>
      </c>
      <c r="J98" s="25">
        <f t="shared" si="5"/>
        <v>0.7</v>
      </c>
      <c r="K98" s="17">
        <v>0</v>
      </c>
      <c r="L98" s="17">
        <v>0</v>
      </c>
      <c r="M98" s="17">
        <v>2</v>
      </c>
      <c r="N98" s="17">
        <v>0</v>
      </c>
      <c r="O98" s="17">
        <v>0</v>
      </c>
      <c r="P98" s="17">
        <v>0</v>
      </c>
      <c r="U98" s="9">
        <v>10</v>
      </c>
      <c r="W98" t="s">
        <v>20</v>
      </c>
      <c r="X98" s="17">
        <v>31</v>
      </c>
      <c r="Y98" s="17">
        <v>18</v>
      </c>
      <c r="Z98" s="17">
        <v>15</v>
      </c>
      <c r="AA98" s="31">
        <f t="shared" si="6"/>
        <v>33</v>
      </c>
      <c r="AB98" s="17">
        <v>18</v>
      </c>
      <c r="AC98" s="25">
        <f t="shared" si="7"/>
        <v>1.064516129032258</v>
      </c>
      <c r="AD98" s="17">
        <v>1</v>
      </c>
      <c r="AE98" s="17">
        <v>0</v>
      </c>
      <c r="AF98" s="17">
        <v>5</v>
      </c>
      <c r="AG98" s="17">
        <v>0</v>
      </c>
      <c r="AH98" s="17">
        <v>0</v>
      </c>
      <c r="AI98" s="17">
        <v>0</v>
      </c>
    </row>
    <row r="99" spans="2:35" x14ac:dyDescent="0.25">
      <c r="B99" s="9">
        <v>25</v>
      </c>
      <c r="D99" t="s">
        <v>1188</v>
      </c>
      <c r="E99" s="17">
        <v>10</v>
      </c>
      <c r="F99" s="17">
        <v>3</v>
      </c>
      <c r="G99" s="17">
        <v>4</v>
      </c>
      <c r="H99" s="31">
        <f t="shared" si="4"/>
        <v>7</v>
      </c>
      <c r="I99" s="17">
        <v>0</v>
      </c>
      <c r="J99" s="25">
        <f t="shared" si="5"/>
        <v>0.7</v>
      </c>
      <c r="K99" s="17">
        <v>1</v>
      </c>
      <c r="L99" s="17">
        <v>0</v>
      </c>
      <c r="M99" s="17">
        <v>0</v>
      </c>
      <c r="N99" s="17">
        <v>1</v>
      </c>
      <c r="O99" s="17">
        <v>0</v>
      </c>
      <c r="P99" s="17">
        <v>0</v>
      </c>
      <c r="U99" s="9">
        <v>11</v>
      </c>
      <c r="W99" t="s">
        <v>255</v>
      </c>
      <c r="X99" s="17">
        <v>59</v>
      </c>
      <c r="Y99" s="17">
        <v>11</v>
      </c>
      <c r="Z99" s="17">
        <v>20</v>
      </c>
      <c r="AA99" s="31">
        <f t="shared" si="6"/>
        <v>31</v>
      </c>
      <c r="AB99" s="17">
        <v>0</v>
      </c>
      <c r="AC99" s="25">
        <f t="shared" si="7"/>
        <v>0.52542372881355937</v>
      </c>
      <c r="AD99" s="17">
        <v>0</v>
      </c>
      <c r="AE99" s="17">
        <v>0</v>
      </c>
      <c r="AF99" s="17">
        <v>1</v>
      </c>
      <c r="AG99" s="17">
        <v>0</v>
      </c>
      <c r="AH99" s="17">
        <v>0</v>
      </c>
      <c r="AI99" s="17">
        <v>0</v>
      </c>
    </row>
    <row r="100" spans="2:35" x14ac:dyDescent="0.25">
      <c r="B100" s="9">
        <v>26</v>
      </c>
      <c r="D100" t="s">
        <v>15</v>
      </c>
      <c r="E100" s="17">
        <v>37</v>
      </c>
      <c r="F100" s="17">
        <v>1</v>
      </c>
      <c r="G100" s="17">
        <v>6</v>
      </c>
      <c r="H100" s="31">
        <f t="shared" si="4"/>
        <v>7</v>
      </c>
      <c r="I100" s="17">
        <v>43</v>
      </c>
      <c r="J100" s="25">
        <f t="shared" si="5"/>
        <v>0.1891891891891892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U100" s="9">
        <v>12</v>
      </c>
      <c r="W100" t="s">
        <v>16</v>
      </c>
      <c r="X100" s="17">
        <v>39</v>
      </c>
      <c r="Y100" s="17">
        <v>16</v>
      </c>
      <c r="Z100" s="17">
        <v>14</v>
      </c>
      <c r="AA100" s="31">
        <f t="shared" si="6"/>
        <v>30</v>
      </c>
      <c r="AB100" s="17">
        <v>16</v>
      </c>
      <c r="AC100" s="25">
        <f t="shared" si="7"/>
        <v>0.76923076923076927</v>
      </c>
      <c r="AD100" s="17">
        <v>1</v>
      </c>
      <c r="AE100" s="17">
        <v>1</v>
      </c>
      <c r="AF100" s="17">
        <v>2</v>
      </c>
      <c r="AG100" s="17">
        <v>0</v>
      </c>
      <c r="AH100" s="17">
        <v>0</v>
      </c>
      <c r="AI100" s="17">
        <v>0</v>
      </c>
    </row>
    <row r="101" spans="2:35" x14ac:dyDescent="0.25">
      <c r="B101" s="9">
        <v>27</v>
      </c>
      <c r="D101" t="s">
        <v>1182</v>
      </c>
      <c r="E101" s="17">
        <v>18</v>
      </c>
      <c r="F101" s="17">
        <v>3</v>
      </c>
      <c r="G101" s="17">
        <v>3</v>
      </c>
      <c r="H101" s="31">
        <f t="shared" si="4"/>
        <v>6</v>
      </c>
      <c r="I101" s="17">
        <v>2</v>
      </c>
      <c r="J101" s="25">
        <f t="shared" si="5"/>
        <v>0.33333333333333331</v>
      </c>
      <c r="K101" s="17">
        <v>0</v>
      </c>
      <c r="L101" s="17">
        <v>1</v>
      </c>
      <c r="M101" s="17">
        <v>0</v>
      </c>
      <c r="N101" s="17">
        <v>0</v>
      </c>
      <c r="O101" s="17">
        <v>2</v>
      </c>
      <c r="P101" s="17">
        <v>0</v>
      </c>
      <c r="U101" s="9">
        <v>13</v>
      </c>
      <c r="W101" t="s">
        <v>227</v>
      </c>
      <c r="X101" s="17">
        <v>50</v>
      </c>
      <c r="Y101" s="17">
        <v>15</v>
      </c>
      <c r="Z101" s="17">
        <v>13</v>
      </c>
      <c r="AA101" s="31">
        <f t="shared" si="6"/>
        <v>28</v>
      </c>
      <c r="AB101" s="17">
        <v>20</v>
      </c>
      <c r="AC101" s="25">
        <f t="shared" si="7"/>
        <v>0.56000000000000005</v>
      </c>
      <c r="AD101" s="17">
        <v>3</v>
      </c>
      <c r="AE101" s="17">
        <v>0</v>
      </c>
      <c r="AF101" s="17">
        <v>3</v>
      </c>
      <c r="AG101" s="17">
        <v>0</v>
      </c>
      <c r="AH101" s="17">
        <v>0</v>
      </c>
      <c r="AI101" s="17">
        <v>0</v>
      </c>
    </row>
    <row r="102" spans="2:35" x14ac:dyDescent="0.25">
      <c r="B102" s="9">
        <v>28</v>
      </c>
      <c r="D102" t="s">
        <v>290</v>
      </c>
      <c r="E102" s="17">
        <v>4</v>
      </c>
      <c r="F102" s="17">
        <v>4</v>
      </c>
      <c r="G102" s="17">
        <v>1</v>
      </c>
      <c r="H102" s="31">
        <f t="shared" si="4"/>
        <v>5</v>
      </c>
      <c r="I102" s="17">
        <v>5</v>
      </c>
      <c r="J102" s="25">
        <f t="shared" si="5"/>
        <v>1.25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U102" s="9">
        <v>14</v>
      </c>
      <c r="W102" t="s">
        <v>17</v>
      </c>
      <c r="X102" s="17">
        <v>62</v>
      </c>
      <c r="Y102" s="17">
        <v>16</v>
      </c>
      <c r="Z102" s="17">
        <v>9</v>
      </c>
      <c r="AA102" s="31">
        <f t="shared" si="6"/>
        <v>25</v>
      </c>
      <c r="AB102" s="17">
        <v>16</v>
      </c>
      <c r="AC102" s="25">
        <f t="shared" si="7"/>
        <v>0.40322580645161288</v>
      </c>
      <c r="AD102" s="17">
        <v>2</v>
      </c>
      <c r="AE102" s="17">
        <v>0</v>
      </c>
      <c r="AF102" s="17">
        <v>0</v>
      </c>
      <c r="AG102" s="17">
        <v>0</v>
      </c>
      <c r="AH102" s="17">
        <v>0</v>
      </c>
      <c r="AI102" s="17">
        <v>0</v>
      </c>
    </row>
    <row r="103" spans="2:35" x14ac:dyDescent="0.25">
      <c r="B103" s="9">
        <v>29</v>
      </c>
      <c r="D103" t="s">
        <v>75</v>
      </c>
      <c r="E103" s="17">
        <v>94</v>
      </c>
      <c r="F103" s="17">
        <v>0</v>
      </c>
      <c r="G103" s="17">
        <v>5</v>
      </c>
      <c r="H103" s="31">
        <f t="shared" si="4"/>
        <v>5</v>
      </c>
      <c r="I103" s="17">
        <v>0</v>
      </c>
      <c r="J103" s="25">
        <f t="shared" si="5"/>
        <v>5.3191489361702128E-2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U103" s="9">
        <v>15</v>
      </c>
      <c r="W103" t="s">
        <v>22</v>
      </c>
      <c r="X103" s="17">
        <v>68</v>
      </c>
      <c r="Y103" s="17">
        <v>12</v>
      </c>
      <c r="Z103" s="17">
        <v>13</v>
      </c>
      <c r="AA103" s="31">
        <f t="shared" si="6"/>
        <v>25</v>
      </c>
      <c r="AB103" s="17">
        <v>14</v>
      </c>
      <c r="AC103" s="25">
        <f t="shared" si="7"/>
        <v>0.36764705882352944</v>
      </c>
      <c r="AD103" s="17">
        <v>3</v>
      </c>
      <c r="AE103" s="17">
        <v>0</v>
      </c>
      <c r="AF103" s="17">
        <v>0</v>
      </c>
      <c r="AG103" s="17">
        <v>0</v>
      </c>
      <c r="AH103" s="17">
        <v>0</v>
      </c>
      <c r="AI103" s="17">
        <v>0</v>
      </c>
    </row>
    <row r="104" spans="2:35" x14ac:dyDescent="0.25">
      <c r="B104" s="9">
        <v>30</v>
      </c>
      <c r="D104" t="s">
        <v>400</v>
      </c>
      <c r="E104" s="17">
        <v>2</v>
      </c>
      <c r="F104" s="17">
        <v>3</v>
      </c>
      <c r="G104" s="17">
        <v>1</v>
      </c>
      <c r="H104" s="31">
        <f t="shared" si="4"/>
        <v>4</v>
      </c>
      <c r="I104" s="17">
        <v>0</v>
      </c>
      <c r="J104" s="25">
        <f t="shared" si="5"/>
        <v>2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U104" s="9">
        <v>16</v>
      </c>
      <c r="W104" t="s">
        <v>226</v>
      </c>
      <c r="X104" s="17">
        <v>32</v>
      </c>
      <c r="Y104" s="17">
        <v>11</v>
      </c>
      <c r="Z104" s="17">
        <v>14</v>
      </c>
      <c r="AA104" s="31">
        <f t="shared" si="6"/>
        <v>25</v>
      </c>
      <c r="AB104" s="17">
        <v>2</v>
      </c>
      <c r="AC104" s="25">
        <f t="shared" si="7"/>
        <v>0.78125</v>
      </c>
      <c r="AD104" s="17">
        <v>1</v>
      </c>
      <c r="AE104" s="17">
        <v>0</v>
      </c>
      <c r="AF104" s="17">
        <v>2</v>
      </c>
      <c r="AG104" s="17">
        <v>0</v>
      </c>
      <c r="AH104" s="17">
        <v>0</v>
      </c>
      <c r="AI104" s="17">
        <v>0</v>
      </c>
    </row>
    <row r="105" spans="2:35" x14ac:dyDescent="0.25">
      <c r="B105" s="9">
        <v>31</v>
      </c>
      <c r="D105" t="s">
        <v>6</v>
      </c>
      <c r="E105" s="17">
        <v>4</v>
      </c>
      <c r="F105" s="17">
        <v>3</v>
      </c>
      <c r="G105" s="17">
        <v>1</v>
      </c>
      <c r="H105" s="31">
        <f t="shared" si="4"/>
        <v>4</v>
      </c>
      <c r="I105" s="17">
        <v>0</v>
      </c>
      <c r="J105" s="25">
        <f t="shared" si="5"/>
        <v>1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U105" s="9">
        <v>17</v>
      </c>
      <c r="W105" t="s">
        <v>30</v>
      </c>
      <c r="X105" s="17">
        <v>11</v>
      </c>
      <c r="Y105" s="17">
        <v>12</v>
      </c>
      <c r="Z105" s="17">
        <v>11</v>
      </c>
      <c r="AA105" s="31">
        <f t="shared" si="6"/>
        <v>23</v>
      </c>
      <c r="AB105" s="17">
        <v>4</v>
      </c>
      <c r="AC105" s="25">
        <f t="shared" si="7"/>
        <v>2.0909090909090908</v>
      </c>
      <c r="AD105" s="17">
        <v>2</v>
      </c>
      <c r="AE105" s="17">
        <v>1</v>
      </c>
      <c r="AF105" s="17">
        <v>0</v>
      </c>
      <c r="AG105" s="17">
        <v>0</v>
      </c>
      <c r="AH105" s="17">
        <v>0</v>
      </c>
      <c r="AI105" s="17">
        <v>0</v>
      </c>
    </row>
    <row r="106" spans="2:35" x14ac:dyDescent="0.25">
      <c r="B106" s="9">
        <v>32</v>
      </c>
      <c r="D106" t="s">
        <v>227</v>
      </c>
      <c r="E106" s="17">
        <v>13</v>
      </c>
      <c r="F106" s="17">
        <v>2</v>
      </c>
      <c r="G106" s="17">
        <v>2</v>
      </c>
      <c r="H106" s="31">
        <f t="shared" si="4"/>
        <v>4</v>
      </c>
      <c r="I106" s="17">
        <v>4</v>
      </c>
      <c r="J106" s="25">
        <f t="shared" si="5"/>
        <v>0.30769230769230771</v>
      </c>
      <c r="K106" s="17">
        <v>0</v>
      </c>
      <c r="L106" s="17">
        <v>0</v>
      </c>
      <c r="M106" s="17">
        <v>1</v>
      </c>
      <c r="N106" s="17">
        <v>0</v>
      </c>
      <c r="O106" s="17">
        <v>0</v>
      </c>
      <c r="P106" s="17">
        <v>0</v>
      </c>
      <c r="U106" s="9">
        <v>18</v>
      </c>
      <c r="W106" t="s">
        <v>18</v>
      </c>
      <c r="X106" s="17">
        <v>27</v>
      </c>
      <c r="Y106" s="17">
        <v>14</v>
      </c>
      <c r="Z106" s="17">
        <v>8</v>
      </c>
      <c r="AA106" s="31">
        <f t="shared" si="6"/>
        <v>22</v>
      </c>
      <c r="AB106" s="17">
        <v>4</v>
      </c>
      <c r="AC106" s="25">
        <f t="shared" si="7"/>
        <v>0.81481481481481477</v>
      </c>
      <c r="AD106" s="17">
        <v>1</v>
      </c>
      <c r="AE106" s="17">
        <v>0</v>
      </c>
      <c r="AF106" s="17">
        <v>1</v>
      </c>
      <c r="AG106" s="17">
        <v>1</v>
      </c>
      <c r="AH106" s="17">
        <v>0</v>
      </c>
      <c r="AI106" s="17">
        <v>0</v>
      </c>
    </row>
    <row r="107" spans="2:35" x14ac:dyDescent="0.25">
      <c r="B107" s="9">
        <v>33</v>
      </c>
      <c r="D107" t="s">
        <v>35</v>
      </c>
      <c r="E107" s="17">
        <v>19</v>
      </c>
      <c r="F107" s="17">
        <v>1</v>
      </c>
      <c r="G107" s="17">
        <v>3</v>
      </c>
      <c r="H107" s="31">
        <f t="shared" ref="H107:H129" si="8">F107+G107</f>
        <v>4</v>
      </c>
      <c r="I107" s="17">
        <v>14</v>
      </c>
      <c r="J107" s="25">
        <f t="shared" ref="J107:J129" si="9">H107/E107</f>
        <v>0.21052631578947367</v>
      </c>
      <c r="K107" s="17">
        <v>1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U107" s="9">
        <v>19</v>
      </c>
      <c r="W107" t="s">
        <v>9</v>
      </c>
      <c r="X107" s="17">
        <v>22</v>
      </c>
      <c r="Y107" s="17">
        <v>13</v>
      </c>
      <c r="Z107" s="17">
        <v>9</v>
      </c>
      <c r="AA107" s="31">
        <f t="shared" si="6"/>
        <v>22</v>
      </c>
      <c r="AB107" s="17">
        <v>2</v>
      </c>
      <c r="AC107" s="25">
        <f t="shared" si="7"/>
        <v>1</v>
      </c>
      <c r="AD107" s="17">
        <v>1</v>
      </c>
      <c r="AE107" s="17">
        <v>0</v>
      </c>
      <c r="AF107" s="17">
        <v>2</v>
      </c>
      <c r="AG107" s="17">
        <v>0</v>
      </c>
      <c r="AH107" s="17">
        <v>0</v>
      </c>
      <c r="AI107" s="17">
        <v>0</v>
      </c>
    </row>
    <row r="108" spans="2:35" x14ac:dyDescent="0.25">
      <c r="B108" s="9">
        <v>34</v>
      </c>
      <c r="D108" t="s">
        <v>36</v>
      </c>
      <c r="E108" s="17">
        <v>20</v>
      </c>
      <c r="F108" s="17">
        <v>1</v>
      </c>
      <c r="G108" s="17">
        <v>3</v>
      </c>
      <c r="H108" s="31">
        <f t="shared" si="8"/>
        <v>4</v>
      </c>
      <c r="I108" s="17">
        <v>0</v>
      </c>
      <c r="J108" s="25">
        <f t="shared" si="9"/>
        <v>0.2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U108" s="9">
        <v>20</v>
      </c>
      <c r="W108" t="s">
        <v>11</v>
      </c>
      <c r="X108" s="17">
        <v>24</v>
      </c>
      <c r="Y108" s="17">
        <v>14</v>
      </c>
      <c r="Z108" s="17">
        <v>6</v>
      </c>
      <c r="AA108" s="31">
        <f t="shared" si="6"/>
        <v>20</v>
      </c>
      <c r="AB108" s="17">
        <v>10</v>
      </c>
      <c r="AC108" s="25">
        <f t="shared" si="7"/>
        <v>0.83333333333333337</v>
      </c>
      <c r="AD108" s="17">
        <v>2</v>
      </c>
      <c r="AE108" s="17">
        <v>0</v>
      </c>
      <c r="AF108" s="17">
        <v>1</v>
      </c>
      <c r="AG108" s="17">
        <v>0</v>
      </c>
      <c r="AH108" s="17">
        <v>0</v>
      </c>
      <c r="AI108" s="17">
        <v>0</v>
      </c>
    </row>
    <row r="109" spans="2:35" x14ac:dyDescent="0.25">
      <c r="B109" s="9">
        <v>35</v>
      </c>
      <c r="D109" t="s">
        <v>20</v>
      </c>
      <c r="E109" s="17">
        <v>10</v>
      </c>
      <c r="F109" s="17">
        <v>2</v>
      </c>
      <c r="G109" s="17">
        <v>1</v>
      </c>
      <c r="H109" s="31">
        <f t="shared" si="8"/>
        <v>3</v>
      </c>
      <c r="I109" s="17">
        <v>2</v>
      </c>
      <c r="J109" s="25">
        <f t="shared" si="9"/>
        <v>0.3</v>
      </c>
      <c r="K109" s="17">
        <v>1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U109" s="9">
        <v>21</v>
      </c>
      <c r="W109" t="s">
        <v>12</v>
      </c>
      <c r="X109" s="17">
        <v>25</v>
      </c>
      <c r="Y109" s="17">
        <v>6</v>
      </c>
      <c r="Z109" s="17">
        <v>13</v>
      </c>
      <c r="AA109" s="31">
        <f t="shared" si="6"/>
        <v>19</v>
      </c>
      <c r="AB109" s="17">
        <v>10</v>
      </c>
      <c r="AC109" s="25">
        <f t="shared" si="7"/>
        <v>0.76</v>
      </c>
      <c r="AD109" s="17">
        <v>0</v>
      </c>
      <c r="AE109" s="17">
        <v>0</v>
      </c>
      <c r="AF109" s="17">
        <v>0</v>
      </c>
      <c r="AG109" s="17">
        <v>0</v>
      </c>
      <c r="AH109" s="17">
        <v>0</v>
      </c>
      <c r="AI109" s="17">
        <v>0</v>
      </c>
    </row>
    <row r="110" spans="2:35" x14ac:dyDescent="0.25">
      <c r="B110" s="9">
        <v>36</v>
      </c>
      <c r="D110" t="s">
        <v>437</v>
      </c>
      <c r="E110" s="17">
        <v>5</v>
      </c>
      <c r="F110" s="17">
        <v>2</v>
      </c>
      <c r="G110" s="17">
        <v>0</v>
      </c>
      <c r="H110" s="31">
        <f t="shared" si="8"/>
        <v>2</v>
      </c>
      <c r="I110" s="17">
        <v>0</v>
      </c>
      <c r="J110" s="25">
        <f t="shared" si="9"/>
        <v>0.4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U110" s="9">
        <v>22</v>
      </c>
      <c r="W110" t="s">
        <v>358</v>
      </c>
      <c r="X110" s="17">
        <v>15</v>
      </c>
      <c r="Y110" s="17">
        <v>13</v>
      </c>
      <c r="Z110" s="17">
        <v>5</v>
      </c>
      <c r="AA110" s="31">
        <f t="shared" si="6"/>
        <v>18</v>
      </c>
      <c r="AB110" s="17">
        <v>0</v>
      </c>
      <c r="AC110" s="25">
        <f t="shared" si="7"/>
        <v>1.2</v>
      </c>
      <c r="AD110" s="17">
        <v>0</v>
      </c>
      <c r="AE110" s="17">
        <v>1</v>
      </c>
      <c r="AF110" s="17">
        <v>2</v>
      </c>
      <c r="AG110" s="17">
        <v>0</v>
      </c>
      <c r="AH110" s="17">
        <v>0</v>
      </c>
      <c r="AI110" s="17">
        <v>0</v>
      </c>
    </row>
    <row r="111" spans="2:35" x14ac:dyDescent="0.25">
      <c r="B111" s="9">
        <v>37</v>
      </c>
      <c r="D111" t="s">
        <v>1518</v>
      </c>
      <c r="E111" s="17">
        <v>4</v>
      </c>
      <c r="F111" s="17">
        <v>1</v>
      </c>
      <c r="G111" s="17">
        <v>1</v>
      </c>
      <c r="H111" s="31">
        <f t="shared" si="8"/>
        <v>2</v>
      </c>
      <c r="I111" s="17">
        <v>2</v>
      </c>
      <c r="J111" s="25">
        <f t="shared" si="9"/>
        <v>0.5</v>
      </c>
      <c r="K111" s="17">
        <v>0</v>
      </c>
      <c r="L111" s="17">
        <v>0</v>
      </c>
      <c r="M111" s="17">
        <v>1</v>
      </c>
      <c r="N111" s="17">
        <v>0</v>
      </c>
      <c r="O111" s="17">
        <v>0</v>
      </c>
      <c r="P111" s="17">
        <v>0</v>
      </c>
      <c r="U111" s="9">
        <v>23</v>
      </c>
      <c r="W111" t="s">
        <v>19</v>
      </c>
      <c r="X111" s="17">
        <v>6</v>
      </c>
      <c r="Y111" s="17">
        <v>12</v>
      </c>
      <c r="Z111" s="17">
        <v>6</v>
      </c>
      <c r="AA111" s="31">
        <f t="shared" si="6"/>
        <v>18</v>
      </c>
      <c r="AB111" s="17">
        <v>12</v>
      </c>
      <c r="AC111" s="25">
        <f t="shared" si="7"/>
        <v>3</v>
      </c>
      <c r="AD111" s="17">
        <v>0</v>
      </c>
      <c r="AE111" s="17">
        <v>2</v>
      </c>
      <c r="AF111" s="17">
        <v>1</v>
      </c>
      <c r="AG111" s="17">
        <v>0</v>
      </c>
      <c r="AH111" s="17">
        <v>0</v>
      </c>
      <c r="AI111" s="17">
        <v>0</v>
      </c>
    </row>
    <row r="112" spans="2:35" x14ac:dyDescent="0.25">
      <c r="B112" s="9">
        <v>38</v>
      </c>
      <c r="D112" t="s">
        <v>1193</v>
      </c>
      <c r="E112" s="17">
        <v>11</v>
      </c>
      <c r="F112" s="17">
        <v>1</v>
      </c>
      <c r="G112" s="17">
        <v>1</v>
      </c>
      <c r="H112" s="31">
        <f t="shared" si="8"/>
        <v>2</v>
      </c>
      <c r="I112" s="17">
        <v>0</v>
      </c>
      <c r="J112" s="25">
        <f t="shared" si="9"/>
        <v>0.18181818181818182</v>
      </c>
      <c r="K112" s="17">
        <v>0</v>
      </c>
      <c r="L112" s="17">
        <v>0</v>
      </c>
      <c r="M112" s="17">
        <v>1</v>
      </c>
      <c r="N112" s="17">
        <v>0</v>
      </c>
      <c r="O112" s="17">
        <v>0</v>
      </c>
      <c r="P112" s="17">
        <v>0</v>
      </c>
      <c r="U112" s="9">
        <v>24</v>
      </c>
      <c r="W112" t="s">
        <v>232</v>
      </c>
      <c r="X112" s="17">
        <v>42</v>
      </c>
      <c r="Y112" s="17">
        <v>9</v>
      </c>
      <c r="Z112" s="17">
        <v>9</v>
      </c>
      <c r="AA112" s="31">
        <f t="shared" si="6"/>
        <v>18</v>
      </c>
      <c r="AB112" s="17">
        <v>6</v>
      </c>
      <c r="AC112" s="25">
        <f t="shared" si="7"/>
        <v>0.42857142857142855</v>
      </c>
      <c r="AD112" s="17">
        <v>0</v>
      </c>
      <c r="AE112" s="17">
        <v>1</v>
      </c>
      <c r="AF112" s="17">
        <v>1</v>
      </c>
      <c r="AG112" s="17">
        <v>0</v>
      </c>
      <c r="AH112" s="17">
        <v>1</v>
      </c>
      <c r="AI112" s="17">
        <v>0</v>
      </c>
    </row>
    <row r="113" spans="2:35" x14ac:dyDescent="0.25">
      <c r="B113" s="9">
        <v>39</v>
      </c>
      <c r="D113" t="s">
        <v>1192</v>
      </c>
      <c r="E113" s="17">
        <v>14</v>
      </c>
      <c r="F113" s="17">
        <v>1</v>
      </c>
      <c r="G113" s="17">
        <v>1</v>
      </c>
      <c r="H113" s="31">
        <f t="shared" si="8"/>
        <v>2</v>
      </c>
      <c r="I113" s="17">
        <v>0</v>
      </c>
      <c r="J113" s="25">
        <f t="shared" si="9"/>
        <v>0.14285714285714285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U113" s="9">
        <v>25</v>
      </c>
      <c r="W113" t="s">
        <v>15</v>
      </c>
      <c r="X113" s="17">
        <v>23</v>
      </c>
      <c r="Y113" s="17">
        <v>5</v>
      </c>
      <c r="Z113" s="17">
        <v>11</v>
      </c>
      <c r="AA113" s="31">
        <f t="shared" si="6"/>
        <v>16</v>
      </c>
      <c r="AB113" s="17">
        <v>24</v>
      </c>
      <c r="AC113" s="25">
        <f t="shared" si="7"/>
        <v>0.69565217391304346</v>
      </c>
      <c r="AD113" s="17">
        <v>2</v>
      </c>
      <c r="AE113" s="17">
        <v>0</v>
      </c>
      <c r="AF113" s="17">
        <v>0</v>
      </c>
      <c r="AG113" s="17">
        <v>1</v>
      </c>
      <c r="AH113" s="17">
        <v>0</v>
      </c>
      <c r="AI113" s="17">
        <v>0</v>
      </c>
    </row>
    <row r="114" spans="2:35" x14ac:dyDescent="0.25">
      <c r="B114" s="9">
        <v>40</v>
      </c>
      <c r="D114" t="s">
        <v>402</v>
      </c>
      <c r="E114" s="17">
        <v>2</v>
      </c>
      <c r="F114" s="17">
        <v>0</v>
      </c>
      <c r="G114" s="17">
        <v>2</v>
      </c>
      <c r="H114" s="31">
        <f t="shared" si="8"/>
        <v>2</v>
      </c>
      <c r="I114" s="17">
        <v>0</v>
      </c>
      <c r="J114" s="25">
        <f t="shared" si="9"/>
        <v>1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U114" s="9">
        <v>26</v>
      </c>
      <c r="W114" t="s">
        <v>31</v>
      </c>
      <c r="X114" s="17">
        <v>17</v>
      </c>
      <c r="Y114" s="17">
        <v>10</v>
      </c>
      <c r="Z114" s="17">
        <v>5</v>
      </c>
      <c r="AA114" s="31">
        <f t="shared" si="6"/>
        <v>15</v>
      </c>
      <c r="AB114" s="17">
        <v>6</v>
      </c>
      <c r="AC114" s="25">
        <f t="shared" si="7"/>
        <v>0.88235294117647056</v>
      </c>
      <c r="AD114" s="17">
        <v>1</v>
      </c>
      <c r="AE114" s="17">
        <v>0</v>
      </c>
      <c r="AF114" s="17">
        <v>1</v>
      </c>
      <c r="AG114" s="17">
        <v>0</v>
      </c>
      <c r="AH114" s="17">
        <v>0</v>
      </c>
      <c r="AI114" s="17">
        <v>1</v>
      </c>
    </row>
    <row r="115" spans="2:35" x14ac:dyDescent="0.25">
      <c r="B115" s="9">
        <v>41</v>
      </c>
      <c r="D115" t="s">
        <v>82</v>
      </c>
      <c r="E115" s="17">
        <v>1</v>
      </c>
      <c r="F115" s="17">
        <v>1</v>
      </c>
      <c r="G115" s="17">
        <v>0</v>
      </c>
      <c r="H115" s="31">
        <f t="shared" si="8"/>
        <v>1</v>
      </c>
      <c r="I115" s="17">
        <v>0</v>
      </c>
      <c r="J115" s="25">
        <f t="shared" si="9"/>
        <v>1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U115" s="9">
        <v>27</v>
      </c>
      <c r="W115" t="s">
        <v>434</v>
      </c>
      <c r="X115" s="17">
        <v>8</v>
      </c>
      <c r="Y115" s="17">
        <v>6</v>
      </c>
      <c r="Z115" s="17">
        <v>8</v>
      </c>
      <c r="AA115" s="56">
        <f t="shared" si="6"/>
        <v>14</v>
      </c>
      <c r="AB115" s="17">
        <v>2</v>
      </c>
      <c r="AC115" s="25">
        <f t="shared" si="7"/>
        <v>1.75</v>
      </c>
      <c r="AD115" s="17">
        <v>0</v>
      </c>
      <c r="AE115" s="17">
        <v>0</v>
      </c>
      <c r="AF115" s="17">
        <v>1</v>
      </c>
      <c r="AG115" s="17">
        <v>0</v>
      </c>
      <c r="AH115" s="17">
        <v>0</v>
      </c>
      <c r="AI115" s="17">
        <v>0</v>
      </c>
    </row>
    <row r="116" spans="2:35" x14ac:dyDescent="0.25">
      <c r="B116" s="9">
        <v>42</v>
      </c>
      <c r="D116" t="s">
        <v>18</v>
      </c>
      <c r="E116" s="17">
        <v>1</v>
      </c>
      <c r="F116" s="17">
        <v>1</v>
      </c>
      <c r="G116" s="17">
        <v>0</v>
      </c>
      <c r="H116" s="31">
        <f t="shared" si="8"/>
        <v>1</v>
      </c>
      <c r="I116" s="17">
        <v>0</v>
      </c>
      <c r="J116" s="25">
        <f t="shared" si="9"/>
        <v>1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U116" s="9">
        <v>28</v>
      </c>
      <c r="W116" t="s">
        <v>446</v>
      </c>
      <c r="X116" s="17">
        <v>20</v>
      </c>
      <c r="Y116" s="17">
        <v>8</v>
      </c>
      <c r="Z116" s="17">
        <v>3</v>
      </c>
      <c r="AA116" s="31">
        <f t="shared" si="6"/>
        <v>11</v>
      </c>
      <c r="AB116" s="17">
        <v>6</v>
      </c>
      <c r="AC116" s="25">
        <f t="shared" si="7"/>
        <v>0.55000000000000004</v>
      </c>
      <c r="AD116" s="17">
        <v>0</v>
      </c>
      <c r="AE116" s="17">
        <v>1</v>
      </c>
      <c r="AF116" s="17">
        <v>0</v>
      </c>
      <c r="AG116" s="17">
        <v>0</v>
      </c>
      <c r="AH116" s="17">
        <v>0</v>
      </c>
      <c r="AI116" s="17">
        <v>0</v>
      </c>
    </row>
    <row r="117" spans="2:35" x14ac:dyDescent="0.25">
      <c r="B117" s="9">
        <v>43</v>
      </c>
      <c r="D117" t="s">
        <v>1503</v>
      </c>
      <c r="E117" s="17">
        <v>2</v>
      </c>
      <c r="F117" s="17">
        <v>1</v>
      </c>
      <c r="G117" s="17">
        <v>0</v>
      </c>
      <c r="H117" s="31">
        <f t="shared" si="8"/>
        <v>1</v>
      </c>
      <c r="I117" s="17">
        <v>0</v>
      </c>
      <c r="J117" s="25">
        <f t="shared" si="9"/>
        <v>0.5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U117" s="9">
        <v>29</v>
      </c>
      <c r="W117" t="s">
        <v>35</v>
      </c>
      <c r="X117" s="17">
        <v>65</v>
      </c>
      <c r="Y117" s="17">
        <v>2</v>
      </c>
      <c r="Z117" s="17">
        <v>9</v>
      </c>
      <c r="AA117" s="31">
        <f t="shared" si="6"/>
        <v>11</v>
      </c>
      <c r="AB117" s="17">
        <v>30</v>
      </c>
      <c r="AC117" s="25">
        <f t="shared" si="7"/>
        <v>0.16923076923076924</v>
      </c>
      <c r="AD117" s="17">
        <v>0</v>
      </c>
      <c r="AE117" s="17">
        <v>0</v>
      </c>
      <c r="AF117" s="17">
        <v>0</v>
      </c>
      <c r="AG117" s="17">
        <v>0</v>
      </c>
      <c r="AH117" s="17">
        <v>0</v>
      </c>
      <c r="AI117" s="17">
        <v>0</v>
      </c>
    </row>
    <row r="118" spans="2:35" x14ac:dyDescent="0.25">
      <c r="B118" s="9">
        <v>44</v>
      </c>
      <c r="D118" t="s">
        <v>1548</v>
      </c>
      <c r="E118" s="17">
        <v>2</v>
      </c>
      <c r="F118" s="17">
        <v>1</v>
      </c>
      <c r="G118" s="17">
        <v>0</v>
      </c>
      <c r="H118" s="31">
        <f t="shared" si="8"/>
        <v>1</v>
      </c>
      <c r="I118" s="17">
        <v>0</v>
      </c>
      <c r="J118" s="25">
        <f t="shared" si="9"/>
        <v>0.5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U118" s="9">
        <v>30</v>
      </c>
      <c r="W118" t="s">
        <v>37</v>
      </c>
      <c r="X118" s="17">
        <v>11</v>
      </c>
      <c r="Y118" s="17">
        <v>7</v>
      </c>
      <c r="Z118" s="17">
        <v>2</v>
      </c>
      <c r="AA118" s="31">
        <f t="shared" si="6"/>
        <v>9</v>
      </c>
      <c r="AB118" s="17">
        <v>35</v>
      </c>
      <c r="AC118" s="25">
        <f t="shared" si="7"/>
        <v>0.81818181818181823</v>
      </c>
      <c r="AD118" s="17">
        <v>0</v>
      </c>
      <c r="AE118" s="17">
        <v>1</v>
      </c>
      <c r="AF118" s="17">
        <v>1</v>
      </c>
      <c r="AG118" s="17">
        <v>0</v>
      </c>
      <c r="AH118" s="17">
        <v>0</v>
      </c>
      <c r="AI118" s="17">
        <v>0</v>
      </c>
    </row>
    <row r="119" spans="2:35" x14ac:dyDescent="0.25">
      <c r="B119" s="9">
        <v>45</v>
      </c>
      <c r="D119" t="s">
        <v>254</v>
      </c>
      <c r="E119" s="17">
        <v>4</v>
      </c>
      <c r="F119" s="17">
        <v>0</v>
      </c>
      <c r="G119" s="17">
        <v>1</v>
      </c>
      <c r="H119" s="31">
        <f t="shared" si="8"/>
        <v>1</v>
      </c>
      <c r="I119" s="17">
        <v>0</v>
      </c>
      <c r="J119" s="25">
        <f t="shared" si="9"/>
        <v>0.25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U119" s="9">
        <v>31</v>
      </c>
      <c r="W119" t="s">
        <v>225</v>
      </c>
      <c r="X119" s="17">
        <v>8</v>
      </c>
      <c r="Y119" s="17">
        <v>5</v>
      </c>
      <c r="Z119" s="17">
        <v>2</v>
      </c>
      <c r="AA119" s="31">
        <f t="shared" si="6"/>
        <v>7</v>
      </c>
      <c r="AB119" s="17">
        <v>2</v>
      </c>
      <c r="AC119" s="25">
        <f t="shared" si="7"/>
        <v>0.875</v>
      </c>
      <c r="AD119" s="17">
        <v>0</v>
      </c>
      <c r="AE119" s="17">
        <v>0</v>
      </c>
      <c r="AF119" s="17">
        <v>1</v>
      </c>
      <c r="AG119" s="17">
        <v>0</v>
      </c>
      <c r="AH119" s="17">
        <v>1</v>
      </c>
      <c r="AI119" s="17">
        <v>0</v>
      </c>
    </row>
    <row r="120" spans="2:35" x14ac:dyDescent="0.25">
      <c r="B120" s="9">
        <v>46</v>
      </c>
      <c r="D120" t="s">
        <v>435</v>
      </c>
      <c r="E120" s="17">
        <v>45</v>
      </c>
      <c r="F120" s="17">
        <v>0</v>
      </c>
      <c r="G120" s="17">
        <v>1</v>
      </c>
      <c r="H120" s="31">
        <f t="shared" si="8"/>
        <v>1</v>
      </c>
      <c r="I120" s="17">
        <v>0</v>
      </c>
      <c r="J120" s="25">
        <f t="shared" si="9"/>
        <v>2.2222222222222223E-2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U120" s="9">
        <v>32</v>
      </c>
      <c r="W120" t="s">
        <v>21</v>
      </c>
      <c r="X120" s="17">
        <v>36</v>
      </c>
      <c r="Y120" s="17">
        <v>2</v>
      </c>
      <c r="Z120" s="17">
        <v>5</v>
      </c>
      <c r="AA120" s="31">
        <f t="shared" si="6"/>
        <v>7</v>
      </c>
      <c r="AB120" s="17">
        <v>18</v>
      </c>
      <c r="AC120" s="25">
        <f t="shared" si="7"/>
        <v>0.19444444444444445</v>
      </c>
      <c r="AD120" s="17">
        <v>0</v>
      </c>
      <c r="AE120" s="17">
        <v>0</v>
      </c>
      <c r="AF120" s="17">
        <v>0</v>
      </c>
      <c r="AG120" s="17">
        <v>0</v>
      </c>
      <c r="AH120" s="17">
        <v>0</v>
      </c>
      <c r="AI120" s="17">
        <v>0</v>
      </c>
    </row>
    <row r="121" spans="2:35" x14ac:dyDescent="0.25">
      <c r="B121" s="9">
        <v>47</v>
      </c>
      <c r="D121" t="s">
        <v>87</v>
      </c>
      <c r="E121" s="17">
        <v>4</v>
      </c>
      <c r="F121" s="17">
        <v>0</v>
      </c>
      <c r="G121" s="17">
        <v>0</v>
      </c>
      <c r="H121" s="31">
        <f t="shared" si="8"/>
        <v>0</v>
      </c>
      <c r="I121" s="17">
        <v>0</v>
      </c>
      <c r="J121" s="25">
        <f t="shared" si="9"/>
        <v>0</v>
      </c>
      <c r="K121" s="17">
        <v>0</v>
      </c>
      <c r="L121" s="17">
        <v>0</v>
      </c>
      <c r="M121" s="17">
        <v>0</v>
      </c>
      <c r="N121" s="17">
        <v>0</v>
      </c>
      <c r="O121" s="17">
        <v>0</v>
      </c>
      <c r="P121" s="17">
        <v>0</v>
      </c>
      <c r="U121" s="9">
        <v>33</v>
      </c>
      <c r="W121" t="s">
        <v>256</v>
      </c>
      <c r="X121" s="17">
        <v>16</v>
      </c>
      <c r="Y121" s="17">
        <v>3</v>
      </c>
      <c r="Z121" s="17">
        <v>3</v>
      </c>
      <c r="AA121" s="31">
        <f t="shared" si="6"/>
        <v>6</v>
      </c>
      <c r="AB121" s="17">
        <v>4</v>
      </c>
      <c r="AC121" s="25">
        <f t="shared" si="7"/>
        <v>0.375</v>
      </c>
      <c r="AD121" s="17">
        <v>0</v>
      </c>
      <c r="AE121" s="17">
        <v>0</v>
      </c>
      <c r="AF121" s="17">
        <v>0</v>
      </c>
      <c r="AG121" s="17">
        <v>0</v>
      </c>
      <c r="AH121" s="17">
        <v>0</v>
      </c>
      <c r="AI121" s="17">
        <v>0</v>
      </c>
    </row>
    <row r="122" spans="2:35" x14ac:dyDescent="0.25">
      <c r="B122" s="9">
        <v>48</v>
      </c>
      <c r="D122" t="s">
        <v>294</v>
      </c>
      <c r="E122" s="17">
        <v>4</v>
      </c>
      <c r="F122" s="17">
        <v>0</v>
      </c>
      <c r="G122" s="17">
        <v>0</v>
      </c>
      <c r="H122" s="31">
        <f t="shared" si="8"/>
        <v>0</v>
      </c>
      <c r="I122" s="17">
        <v>0</v>
      </c>
      <c r="J122" s="25">
        <f t="shared" si="9"/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U122" s="9">
        <v>34</v>
      </c>
      <c r="W122" t="s">
        <v>320</v>
      </c>
      <c r="X122" s="17">
        <v>30</v>
      </c>
      <c r="Y122" s="17">
        <v>3</v>
      </c>
      <c r="Z122" s="17">
        <v>3</v>
      </c>
      <c r="AA122" s="31">
        <f t="shared" si="6"/>
        <v>6</v>
      </c>
      <c r="AB122" s="17">
        <v>7</v>
      </c>
      <c r="AC122" s="25">
        <f t="shared" si="7"/>
        <v>0.2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  <c r="AI122" s="17">
        <v>0</v>
      </c>
    </row>
    <row r="123" spans="2:35" x14ac:dyDescent="0.25">
      <c r="B123" s="9">
        <v>49</v>
      </c>
      <c r="D123" t="s">
        <v>34</v>
      </c>
      <c r="E123" s="17">
        <v>1</v>
      </c>
      <c r="F123" s="17">
        <v>0</v>
      </c>
      <c r="G123" s="17">
        <v>0</v>
      </c>
      <c r="H123" s="31">
        <f t="shared" si="8"/>
        <v>0</v>
      </c>
      <c r="I123" s="17">
        <v>0</v>
      </c>
      <c r="J123" s="25">
        <f t="shared" si="9"/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U123" s="9">
        <v>35</v>
      </c>
      <c r="W123" t="s">
        <v>254</v>
      </c>
      <c r="X123" s="17">
        <v>19</v>
      </c>
      <c r="Y123" s="17">
        <v>2</v>
      </c>
      <c r="Z123" s="17">
        <v>4</v>
      </c>
      <c r="AA123" s="31">
        <f t="shared" si="6"/>
        <v>6</v>
      </c>
      <c r="AB123" s="17">
        <v>2</v>
      </c>
      <c r="AC123" s="25">
        <f t="shared" si="7"/>
        <v>0.31578947368421051</v>
      </c>
      <c r="AD123" s="17">
        <v>0</v>
      </c>
      <c r="AE123" s="17">
        <v>0</v>
      </c>
      <c r="AF123" s="17">
        <v>0</v>
      </c>
      <c r="AG123" s="17">
        <v>0</v>
      </c>
      <c r="AH123" s="17">
        <v>0</v>
      </c>
      <c r="AI123" s="17">
        <v>0</v>
      </c>
    </row>
    <row r="124" spans="2:35" x14ac:dyDescent="0.25">
      <c r="B124" s="9">
        <v>50</v>
      </c>
      <c r="D124" t="s">
        <v>17</v>
      </c>
      <c r="E124" s="17">
        <v>3</v>
      </c>
      <c r="F124" s="17">
        <v>0</v>
      </c>
      <c r="G124" s="17">
        <v>0</v>
      </c>
      <c r="H124" s="31">
        <f t="shared" si="8"/>
        <v>0</v>
      </c>
      <c r="I124" s="17">
        <v>0</v>
      </c>
      <c r="J124" s="25">
        <f t="shared" si="9"/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U124" s="9">
        <v>36</v>
      </c>
      <c r="W124" t="s">
        <v>438</v>
      </c>
      <c r="X124" s="17">
        <v>2</v>
      </c>
      <c r="Y124" s="17">
        <v>3</v>
      </c>
      <c r="Z124" s="17">
        <v>2</v>
      </c>
      <c r="AA124" s="31">
        <f t="shared" si="6"/>
        <v>5</v>
      </c>
      <c r="AB124" s="17">
        <v>0</v>
      </c>
      <c r="AC124" s="25">
        <f t="shared" si="7"/>
        <v>2.5</v>
      </c>
      <c r="AD124" s="17">
        <v>0</v>
      </c>
      <c r="AE124" s="17">
        <v>0</v>
      </c>
      <c r="AF124" s="17">
        <v>0</v>
      </c>
      <c r="AG124" s="17">
        <v>0</v>
      </c>
      <c r="AH124" s="17">
        <v>0</v>
      </c>
      <c r="AI124" s="17">
        <v>0</v>
      </c>
    </row>
    <row r="125" spans="2:35" x14ac:dyDescent="0.25">
      <c r="B125" s="9">
        <v>51</v>
      </c>
      <c r="D125" t="s">
        <v>446</v>
      </c>
      <c r="E125" s="17">
        <v>1</v>
      </c>
      <c r="F125" s="17">
        <v>0</v>
      </c>
      <c r="G125" s="17">
        <v>0</v>
      </c>
      <c r="H125" s="31">
        <f t="shared" si="8"/>
        <v>0</v>
      </c>
      <c r="I125" s="17">
        <v>0</v>
      </c>
      <c r="J125" s="25">
        <f t="shared" si="9"/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U125" s="9">
        <v>37</v>
      </c>
      <c r="W125" t="s">
        <v>24</v>
      </c>
      <c r="X125" s="17">
        <v>25</v>
      </c>
      <c r="Y125" s="17">
        <v>1</v>
      </c>
      <c r="Z125" s="17">
        <v>4</v>
      </c>
      <c r="AA125" s="31">
        <f t="shared" si="6"/>
        <v>5</v>
      </c>
      <c r="AB125" s="17">
        <v>10</v>
      </c>
      <c r="AC125" s="25">
        <f t="shared" si="7"/>
        <v>0.2</v>
      </c>
      <c r="AD125" s="17">
        <v>0</v>
      </c>
      <c r="AE125" s="17">
        <v>0</v>
      </c>
      <c r="AF125" s="17">
        <v>0</v>
      </c>
      <c r="AG125" s="17">
        <v>0</v>
      </c>
      <c r="AH125" s="17">
        <v>0</v>
      </c>
      <c r="AI125" s="17">
        <v>0</v>
      </c>
    </row>
    <row r="126" spans="2:35" x14ac:dyDescent="0.25">
      <c r="B126" s="9">
        <v>52</v>
      </c>
      <c r="D126" t="s">
        <v>1369</v>
      </c>
      <c r="E126" s="17">
        <v>2</v>
      </c>
      <c r="F126" s="17">
        <v>0</v>
      </c>
      <c r="G126" s="17">
        <v>0</v>
      </c>
      <c r="H126" s="31">
        <f t="shared" si="8"/>
        <v>0</v>
      </c>
      <c r="I126" s="17">
        <v>0</v>
      </c>
      <c r="J126" s="25">
        <f t="shared" si="9"/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U126" s="9">
        <v>38</v>
      </c>
      <c r="W126" t="s">
        <v>33</v>
      </c>
      <c r="X126" s="17">
        <v>29</v>
      </c>
      <c r="Y126" s="17">
        <v>1</v>
      </c>
      <c r="Z126" s="17">
        <v>3</v>
      </c>
      <c r="AA126" s="31">
        <f t="shared" si="6"/>
        <v>4</v>
      </c>
      <c r="AB126" s="17">
        <v>10</v>
      </c>
      <c r="AC126" s="25">
        <f t="shared" si="7"/>
        <v>0.13793103448275862</v>
      </c>
      <c r="AD126" s="17">
        <v>0</v>
      </c>
      <c r="AE126" s="17">
        <v>0</v>
      </c>
      <c r="AF126" s="17">
        <v>0</v>
      </c>
      <c r="AG126" s="17">
        <v>0</v>
      </c>
      <c r="AH126" s="17">
        <v>0</v>
      </c>
      <c r="AI126" s="17">
        <v>0</v>
      </c>
    </row>
    <row r="127" spans="2:35" x14ac:dyDescent="0.25">
      <c r="B127" s="9">
        <v>53</v>
      </c>
      <c r="D127" t="s">
        <v>1478</v>
      </c>
      <c r="E127" s="17">
        <v>8</v>
      </c>
      <c r="F127" s="17">
        <v>0</v>
      </c>
      <c r="G127" s="17">
        <v>0</v>
      </c>
      <c r="H127" s="31">
        <f t="shared" si="8"/>
        <v>0</v>
      </c>
      <c r="I127" s="17">
        <v>0</v>
      </c>
      <c r="J127" s="25">
        <f t="shared" si="9"/>
        <v>0</v>
      </c>
      <c r="K127" s="17">
        <v>0</v>
      </c>
      <c r="L127" s="17">
        <v>0</v>
      </c>
      <c r="M127" s="17">
        <v>0</v>
      </c>
      <c r="N127" s="17">
        <v>0</v>
      </c>
      <c r="O127" s="17">
        <v>0</v>
      </c>
      <c r="P127" s="17">
        <v>0</v>
      </c>
      <c r="U127" s="9">
        <v>39</v>
      </c>
      <c r="W127" t="s">
        <v>356</v>
      </c>
      <c r="X127" s="17">
        <v>1</v>
      </c>
      <c r="Y127" s="17">
        <v>1</v>
      </c>
      <c r="Z127" s="17">
        <v>1</v>
      </c>
      <c r="AA127" s="31">
        <f t="shared" si="6"/>
        <v>2</v>
      </c>
      <c r="AB127" s="17">
        <v>0</v>
      </c>
      <c r="AC127" s="25">
        <f t="shared" si="7"/>
        <v>2</v>
      </c>
      <c r="AD127" s="17">
        <v>0</v>
      </c>
      <c r="AE127" s="17">
        <v>0</v>
      </c>
      <c r="AF127" s="17">
        <v>0</v>
      </c>
      <c r="AG127" s="17">
        <v>0</v>
      </c>
      <c r="AH127" s="17">
        <v>0</v>
      </c>
      <c r="AI127" s="17">
        <v>0</v>
      </c>
    </row>
    <row r="128" spans="2:35" x14ac:dyDescent="0.25">
      <c r="B128" s="9">
        <v>54</v>
      </c>
      <c r="D128" t="s">
        <v>436</v>
      </c>
      <c r="E128" s="17">
        <v>4</v>
      </c>
      <c r="F128" s="17">
        <v>0</v>
      </c>
      <c r="G128" s="17">
        <v>0</v>
      </c>
      <c r="H128" s="31">
        <f t="shared" si="8"/>
        <v>0</v>
      </c>
      <c r="I128" s="17">
        <v>0</v>
      </c>
      <c r="J128" s="25">
        <f t="shared" si="9"/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U128" s="9">
        <v>40</v>
      </c>
      <c r="W128" t="s">
        <v>23</v>
      </c>
      <c r="X128" s="17">
        <v>4</v>
      </c>
      <c r="Y128" s="17">
        <v>1</v>
      </c>
      <c r="Z128" s="17">
        <v>1</v>
      </c>
      <c r="AA128" s="31">
        <f t="shared" si="6"/>
        <v>2</v>
      </c>
      <c r="AB128" s="17">
        <v>0</v>
      </c>
      <c r="AC128" s="25">
        <f t="shared" si="7"/>
        <v>0.5</v>
      </c>
      <c r="AD128" s="17">
        <v>0</v>
      </c>
      <c r="AE128" s="17">
        <v>0</v>
      </c>
      <c r="AF128" s="17">
        <v>0</v>
      </c>
      <c r="AG128" s="17">
        <v>0</v>
      </c>
      <c r="AH128" s="17">
        <v>0</v>
      </c>
      <c r="AI128" s="17">
        <v>0</v>
      </c>
    </row>
    <row r="129" spans="2:35" x14ac:dyDescent="0.25">
      <c r="B129" s="9">
        <v>55</v>
      </c>
      <c r="D129" t="s">
        <v>1549</v>
      </c>
      <c r="E129" s="17">
        <v>2</v>
      </c>
      <c r="F129" s="17">
        <v>0</v>
      </c>
      <c r="G129" s="17">
        <v>0</v>
      </c>
      <c r="H129" s="31">
        <f t="shared" si="8"/>
        <v>0</v>
      </c>
      <c r="I129" s="17">
        <v>0</v>
      </c>
      <c r="J129" s="25">
        <f t="shared" si="9"/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U129" s="9">
        <v>41</v>
      </c>
      <c r="W129" t="s">
        <v>751</v>
      </c>
      <c r="X129" s="17">
        <v>14</v>
      </c>
      <c r="Y129" s="17">
        <v>0</v>
      </c>
      <c r="Z129" s="17">
        <v>1</v>
      </c>
      <c r="AA129" s="31">
        <f t="shared" si="6"/>
        <v>1</v>
      </c>
      <c r="AB129" s="17">
        <v>0</v>
      </c>
      <c r="AC129" s="25">
        <f t="shared" si="7"/>
        <v>7.1428571428571425E-2</v>
      </c>
      <c r="AD129" s="17">
        <v>0</v>
      </c>
      <c r="AE129" s="17">
        <v>0</v>
      </c>
      <c r="AF129" s="17">
        <v>0</v>
      </c>
      <c r="AG129" s="17">
        <v>0</v>
      </c>
      <c r="AH129" s="17">
        <v>0</v>
      </c>
      <c r="AI129" s="17">
        <v>0</v>
      </c>
    </row>
    <row r="130" spans="2:35" x14ac:dyDescent="0.25">
      <c r="U130" s="9">
        <v>42</v>
      </c>
      <c r="W130" t="s">
        <v>294</v>
      </c>
      <c r="X130" s="17">
        <v>36</v>
      </c>
      <c r="Y130" s="17">
        <v>0</v>
      </c>
      <c r="Z130" s="17">
        <v>1</v>
      </c>
      <c r="AA130" s="31">
        <f t="shared" si="6"/>
        <v>1</v>
      </c>
      <c r="AB130" s="17">
        <v>0</v>
      </c>
      <c r="AC130" s="25">
        <f t="shared" si="7"/>
        <v>2.7777777777777776E-2</v>
      </c>
      <c r="AD130" s="17">
        <v>0</v>
      </c>
      <c r="AE130" s="17">
        <v>0</v>
      </c>
      <c r="AF130" s="17">
        <v>0</v>
      </c>
      <c r="AG130" s="17">
        <v>0</v>
      </c>
      <c r="AH130" s="17">
        <v>0</v>
      </c>
      <c r="AI130" s="17">
        <v>0</v>
      </c>
    </row>
    <row r="131" spans="2:35" x14ac:dyDescent="0.25">
      <c r="U131" s="9">
        <v>43</v>
      </c>
      <c r="W131" t="s">
        <v>75</v>
      </c>
      <c r="X131" s="17">
        <v>36</v>
      </c>
      <c r="Y131" s="17">
        <v>0</v>
      </c>
      <c r="Z131" s="17">
        <v>1</v>
      </c>
      <c r="AA131" s="31">
        <f t="shared" si="6"/>
        <v>1</v>
      </c>
      <c r="AB131" s="17">
        <v>0</v>
      </c>
      <c r="AC131" s="25">
        <f t="shared" si="7"/>
        <v>2.7777777777777776E-2</v>
      </c>
      <c r="AD131" s="17">
        <v>0</v>
      </c>
      <c r="AE131" s="17">
        <v>0</v>
      </c>
      <c r="AF131" s="17">
        <v>0</v>
      </c>
      <c r="AG131" s="17">
        <v>0</v>
      </c>
      <c r="AH131" s="17">
        <v>0</v>
      </c>
      <c r="AI131" s="17">
        <v>0</v>
      </c>
    </row>
    <row r="132" spans="2:35" x14ac:dyDescent="0.25">
      <c r="U132" s="9">
        <v>44</v>
      </c>
      <c r="W132" t="s">
        <v>91</v>
      </c>
      <c r="X132" s="17">
        <v>26</v>
      </c>
      <c r="Y132" s="17">
        <v>0</v>
      </c>
      <c r="Z132" s="17">
        <v>0</v>
      </c>
      <c r="AA132" s="31">
        <f t="shared" si="6"/>
        <v>0</v>
      </c>
      <c r="AB132" s="17">
        <v>0</v>
      </c>
      <c r="AC132" s="25">
        <f t="shared" si="7"/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7">
        <v>0</v>
      </c>
    </row>
    <row r="133" spans="2:35" x14ac:dyDescent="0.25">
      <c r="U133" s="9">
        <v>45</v>
      </c>
      <c r="W133" t="s">
        <v>435</v>
      </c>
      <c r="X133" s="17">
        <v>6</v>
      </c>
      <c r="Y133" s="17">
        <v>0</v>
      </c>
      <c r="Z133" s="17">
        <v>0</v>
      </c>
      <c r="AA133" s="56">
        <f t="shared" si="6"/>
        <v>0</v>
      </c>
      <c r="AB133" s="17">
        <v>2</v>
      </c>
      <c r="AC133" s="25">
        <f t="shared" si="7"/>
        <v>0</v>
      </c>
      <c r="AD133" s="17">
        <v>0</v>
      </c>
      <c r="AE133" s="17">
        <v>0</v>
      </c>
      <c r="AF133" s="17">
        <v>0</v>
      </c>
      <c r="AG133" s="17">
        <v>0</v>
      </c>
      <c r="AH133" s="17">
        <v>0</v>
      </c>
      <c r="AI133" s="17">
        <v>0</v>
      </c>
    </row>
    <row r="134" spans="2:35" x14ac:dyDescent="0.25">
      <c r="U134" s="9">
        <v>46</v>
      </c>
      <c r="W134" t="s">
        <v>436</v>
      </c>
      <c r="X134" s="17">
        <v>6</v>
      </c>
      <c r="Y134" s="17">
        <v>0</v>
      </c>
      <c r="Z134" s="17">
        <v>0</v>
      </c>
      <c r="AA134" s="31">
        <f t="shared" si="6"/>
        <v>0</v>
      </c>
      <c r="AB134" s="17">
        <v>28</v>
      </c>
      <c r="AC134" s="25">
        <f t="shared" si="7"/>
        <v>0</v>
      </c>
      <c r="AD134" s="17">
        <v>0</v>
      </c>
      <c r="AE134" s="17">
        <v>0</v>
      </c>
      <c r="AF134" s="17">
        <v>0</v>
      </c>
      <c r="AG134" s="17">
        <v>0</v>
      </c>
      <c r="AH134" s="17">
        <v>0</v>
      </c>
      <c r="AI134" s="17">
        <v>0</v>
      </c>
    </row>
    <row r="135" spans="2:35" x14ac:dyDescent="0.25">
      <c r="U135" s="9">
        <v>47</v>
      </c>
      <c r="W135" t="s">
        <v>39</v>
      </c>
      <c r="X135" s="17">
        <v>1</v>
      </c>
      <c r="Y135" s="17">
        <v>0</v>
      </c>
      <c r="Z135" s="17">
        <v>0</v>
      </c>
      <c r="AA135" s="31">
        <f t="shared" si="6"/>
        <v>0</v>
      </c>
      <c r="AB135" s="17">
        <v>0</v>
      </c>
      <c r="AC135" s="25">
        <f t="shared" si="7"/>
        <v>0</v>
      </c>
      <c r="AD135" s="17">
        <v>0</v>
      </c>
      <c r="AE135" s="17">
        <v>0</v>
      </c>
      <c r="AF135" s="17">
        <v>0</v>
      </c>
      <c r="AG135" s="17">
        <v>0</v>
      </c>
      <c r="AH135" s="17">
        <v>0</v>
      </c>
      <c r="AI135" s="17">
        <v>0</v>
      </c>
    </row>
    <row r="136" spans="2:35" x14ac:dyDescent="0.25">
      <c r="AA136" s="35"/>
    </row>
    <row r="137" spans="2:35" x14ac:dyDescent="0.25">
      <c r="AA137" s="35"/>
    </row>
    <row r="138" spans="2:35" x14ac:dyDescent="0.25">
      <c r="AA138" s="35"/>
    </row>
    <row r="143" spans="2:35" x14ac:dyDescent="0.25">
      <c r="AA143" s="35"/>
    </row>
    <row r="144" spans="2:35" x14ac:dyDescent="0.25">
      <c r="AA144" s="35"/>
    </row>
    <row r="145" spans="27:27" x14ac:dyDescent="0.25">
      <c r="AA145" s="35"/>
    </row>
    <row r="147" spans="27:27" x14ac:dyDescent="0.25">
      <c r="AA147" s="35"/>
    </row>
    <row r="148" spans="27:27" x14ac:dyDescent="0.25">
      <c r="AA148" s="35"/>
    </row>
    <row r="149" spans="27:27" x14ac:dyDescent="0.25">
      <c r="AA149" s="35"/>
    </row>
    <row r="150" spans="27:27" x14ac:dyDescent="0.25">
      <c r="AA150" s="35"/>
    </row>
    <row r="151" spans="27:27" x14ac:dyDescent="0.25">
      <c r="AA151" s="35"/>
    </row>
    <row r="152" spans="27:27" x14ac:dyDescent="0.25">
      <c r="AA152" s="35"/>
    </row>
    <row r="153" spans="27:27" x14ac:dyDescent="0.25">
      <c r="AA153" s="35"/>
    </row>
    <row r="154" spans="27:27" x14ac:dyDescent="0.25">
      <c r="AA154" s="35"/>
    </row>
    <row r="157" spans="27:27" x14ac:dyDescent="0.25">
      <c r="AA157" s="35"/>
    </row>
    <row r="158" spans="27:27" x14ac:dyDescent="0.25">
      <c r="AA158" s="35"/>
    </row>
    <row r="159" spans="27:27" x14ac:dyDescent="0.25">
      <c r="AA159" s="35"/>
    </row>
    <row r="160" spans="27:27" x14ac:dyDescent="0.25">
      <c r="AA160" s="35"/>
    </row>
    <row r="161" spans="27:27" x14ac:dyDescent="0.25">
      <c r="AA161" s="35"/>
    </row>
    <row r="162" spans="27:27" x14ac:dyDescent="0.25">
      <c r="AA162" s="35"/>
    </row>
    <row r="163" spans="27:27" x14ac:dyDescent="0.25">
      <c r="AA163" s="35"/>
    </row>
    <row r="164" spans="27:27" x14ac:dyDescent="0.25">
      <c r="AA164" s="35"/>
    </row>
    <row r="165" spans="27:27" x14ac:dyDescent="0.25">
      <c r="AA165" s="35"/>
    </row>
    <row r="166" spans="27:27" x14ac:dyDescent="0.25">
      <c r="AA166" s="35"/>
    </row>
    <row r="167" spans="27:27" x14ac:dyDescent="0.25">
      <c r="AA167" s="35"/>
    </row>
    <row r="168" spans="27:27" x14ac:dyDescent="0.25">
      <c r="AA168" s="35"/>
    </row>
    <row r="169" spans="27:27" x14ac:dyDescent="0.25">
      <c r="AA169" s="35"/>
    </row>
    <row r="170" spans="27:27" x14ac:dyDescent="0.25">
      <c r="AA170" s="35"/>
    </row>
    <row r="171" spans="27:27" x14ac:dyDescent="0.25">
      <c r="AA171" s="35"/>
    </row>
    <row r="172" spans="27:27" x14ac:dyDescent="0.25">
      <c r="AA172" s="35"/>
    </row>
    <row r="173" spans="27:27" x14ac:dyDescent="0.25">
      <c r="AA173" s="35"/>
    </row>
    <row r="174" spans="27:27" x14ac:dyDescent="0.25">
      <c r="AA174" s="35"/>
    </row>
    <row r="175" spans="27:27" x14ac:dyDescent="0.25">
      <c r="AA175" s="35"/>
    </row>
    <row r="176" spans="27:27" x14ac:dyDescent="0.25">
      <c r="AA176" s="35"/>
    </row>
    <row r="177" spans="27:27" x14ac:dyDescent="0.25">
      <c r="AA177" s="35"/>
    </row>
    <row r="178" spans="27:27" x14ac:dyDescent="0.25">
      <c r="AA178" s="35"/>
    </row>
    <row r="179" spans="27:27" x14ac:dyDescent="0.25">
      <c r="AA179" s="35"/>
    </row>
    <row r="180" spans="27:27" x14ac:dyDescent="0.25">
      <c r="AA180" s="35"/>
    </row>
  </sheetData>
  <sortState xmlns:xlrd2="http://schemas.microsoft.com/office/spreadsheetml/2017/richdata2" ref="W5:AI84">
    <sortCondition descending="1" ref="AA5:AA84"/>
    <sortCondition descending="1" ref="Y5:Y84"/>
    <sortCondition descending="1" ref="AC5:AC84"/>
  </sortState>
  <mergeCells count="5">
    <mergeCell ref="D29:E29"/>
    <mergeCell ref="D73:E73"/>
    <mergeCell ref="W3:X3"/>
    <mergeCell ref="W87:X87"/>
    <mergeCell ref="D3:F3"/>
  </mergeCells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4:Y165"/>
  <sheetViews>
    <sheetView topLeftCell="E1" workbookViewId="0">
      <selection activeCell="O31" sqref="O31"/>
    </sheetView>
  </sheetViews>
  <sheetFormatPr defaultRowHeight="15" x14ac:dyDescent="0.25"/>
  <cols>
    <col min="3" max="3" width="11.5703125" style="17" customWidth="1"/>
    <col min="4" max="4" width="17.42578125" style="17" customWidth="1"/>
    <col min="5" max="5" width="16.85546875" style="17" customWidth="1"/>
    <col min="6" max="6" width="22.5703125" style="17" customWidth="1"/>
    <col min="7" max="7" width="16.42578125" style="17" customWidth="1"/>
    <col min="8" max="13" width="9.140625" style="17"/>
    <col min="15" max="15" width="10.85546875" customWidth="1"/>
    <col min="16" max="16" width="19.140625" style="17" customWidth="1"/>
    <col min="17" max="17" width="16.140625" style="17" customWidth="1"/>
    <col min="18" max="18" width="21.140625" style="17" customWidth="1"/>
    <col min="19" max="19" width="15.85546875" style="17" customWidth="1"/>
    <col min="20" max="25" width="9.140625" style="17"/>
  </cols>
  <sheetData>
    <row r="4" spans="3:25" x14ac:dyDescent="0.25">
      <c r="C4" s="36" t="s">
        <v>1643</v>
      </c>
      <c r="D4" s="103"/>
      <c r="E4" s="103"/>
      <c r="O4" s="36" t="s">
        <v>69</v>
      </c>
    </row>
    <row r="5" spans="3:25" x14ac:dyDescent="0.25">
      <c r="C5" s="105"/>
      <c r="D5" s="105"/>
      <c r="E5" s="105"/>
      <c r="F5" s="105"/>
      <c r="O5" s="17"/>
    </row>
    <row r="6" spans="3:25" x14ac:dyDescent="0.25">
      <c r="D6" s="18" t="s">
        <v>1</v>
      </c>
      <c r="E6" s="18" t="s">
        <v>53</v>
      </c>
      <c r="F6" s="18" t="s">
        <v>287</v>
      </c>
      <c r="G6" s="18" t="s">
        <v>288</v>
      </c>
      <c r="H6" s="18" t="s">
        <v>55</v>
      </c>
      <c r="I6" s="18" t="s">
        <v>4</v>
      </c>
      <c r="J6" s="18" t="s">
        <v>56</v>
      </c>
      <c r="K6" s="18" t="s">
        <v>57</v>
      </c>
      <c r="L6" s="18" t="s">
        <v>58</v>
      </c>
      <c r="O6" s="17"/>
      <c r="P6" s="18" t="s">
        <v>1</v>
      </c>
      <c r="Q6" s="18" t="s">
        <v>53</v>
      </c>
      <c r="R6" s="18" t="s">
        <v>287</v>
      </c>
      <c r="S6" s="18" t="s">
        <v>54</v>
      </c>
      <c r="T6" s="18" t="s">
        <v>288</v>
      </c>
      <c r="U6" s="18" t="s">
        <v>55</v>
      </c>
      <c r="V6" s="18" t="s">
        <v>4</v>
      </c>
      <c r="W6" s="18" t="s">
        <v>56</v>
      </c>
      <c r="X6" s="18" t="s">
        <v>57</v>
      </c>
      <c r="Y6" s="18" t="s">
        <v>58</v>
      </c>
    </row>
    <row r="7" spans="3:25" x14ac:dyDescent="0.25">
      <c r="C7" s="18" t="s">
        <v>50</v>
      </c>
      <c r="D7" s="17">
        <v>6</v>
      </c>
      <c r="E7" s="17">
        <v>4</v>
      </c>
      <c r="F7" s="17">
        <v>1</v>
      </c>
      <c r="G7" s="17">
        <v>0</v>
      </c>
      <c r="H7" s="17">
        <v>1</v>
      </c>
      <c r="I7" s="17">
        <f>E7*3+F7*2+G7</f>
        <v>14</v>
      </c>
      <c r="J7" s="17">
        <v>41</v>
      </c>
      <c r="K7" s="17">
        <v>32</v>
      </c>
      <c r="L7" s="17">
        <f>J7-K7</f>
        <v>9</v>
      </c>
      <c r="O7" s="18" t="s">
        <v>50</v>
      </c>
      <c r="P7" s="17">
        <f>D161+D150+D139+D128+D117+D106+D95+D84+D73+D62+D51+D40+D29+D18+D7</f>
        <v>279</v>
      </c>
      <c r="Q7" s="17">
        <f>E161+E150+E139+E128+E117+E106+E95+E84+E73+E62+E51+E40+E29+E18+E7</f>
        <v>152</v>
      </c>
      <c r="R7" s="17">
        <f>F95+F62+F51+F40+F29+F18+F7</f>
        <v>7</v>
      </c>
      <c r="S7" s="17">
        <f>F161+F150+F139+F128+F117+F106+F84+F73+G62+G51+G40</f>
        <v>8</v>
      </c>
      <c r="T7" s="17">
        <f>G95+H62+H51+H40+G29+G18+G7</f>
        <v>5</v>
      </c>
      <c r="U7" s="17">
        <f>G161+G150+G139+G128+G117+G106+H95+G84+G73+I62+I51+I40+H29+H18+H7</f>
        <v>107</v>
      </c>
      <c r="V7" s="17">
        <f>3*Q7+R7*2+S7+T7</f>
        <v>483</v>
      </c>
      <c r="W7" s="17">
        <f>I161+I150+I139+I128+I117+I106+J95+I84+I73+K62+K51+K40+J29+J18+J7</f>
        <v>1637</v>
      </c>
      <c r="X7" s="17">
        <f>J161+J150+J139+J128+J117+J106+K95+J84+J73+L62+L51+L40+K29+K18+K7</f>
        <v>1367</v>
      </c>
      <c r="Y7" s="17">
        <f>W7-X7</f>
        <v>270</v>
      </c>
    </row>
    <row r="8" spans="3:25" x14ac:dyDescent="0.25">
      <c r="D8" s="18" t="s">
        <v>61</v>
      </c>
      <c r="E8" s="18" t="s">
        <v>68</v>
      </c>
      <c r="F8" s="18" t="s">
        <v>63</v>
      </c>
      <c r="G8" s="18" t="s">
        <v>64</v>
      </c>
      <c r="O8" s="17"/>
      <c r="P8" s="18" t="s">
        <v>61</v>
      </c>
      <c r="Q8" s="18" t="s">
        <v>68</v>
      </c>
      <c r="R8" s="18" t="s">
        <v>63</v>
      </c>
      <c r="S8" s="18" t="s">
        <v>64</v>
      </c>
    </row>
    <row r="9" spans="3:25" x14ac:dyDescent="0.25">
      <c r="C9" s="18" t="s">
        <v>51</v>
      </c>
      <c r="D9" s="17">
        <v>3</v>
      </c>
      <c r="E9" s="17">
        <v>1</v>
      </c>
      <c r="F9" s="25">
        <f>E9*100/D9</f>
        <v>33.333333333333336</v>
      </c>
      <c r="G9" s="17">
        <v>0</v>
      </c>
      <c r="O9" s="18" t="s">
        <v>51</v>
      </c>
      <c r="P9" s="17">
        <f>D163+D152+D141+D130+D119+D108+D97+D86+D75+D64+D53+D42+D31+D20+D9</f>
        <v>360</v>
      </c>
      <c r="Q9" s="17">
        <f>E163+E152+E141+E130+E119+E108+E97+E86+E75+E64+E53+E42+E31+E20+E9</f>
        <v>105</v>
      </c>
      <c r="R9" s="25">
        <f>Q9*100/P9</f>
        <v>29.166666666666668</v>
      </c>
      <c r="S9" s="17">
        <f>G163+G152+G141+G130+G119+G108+G97+G86+G75+G64+G53+G42+G31+G20+G9</f>
        <v>35</v>
      </c>
    </row>
    <row r="10" spans="3:25" x14ac:dyDescent="0.25">
      <c r="D10" s="18" t="s">
        <v>65</v>
      </c>
      <c r="E10" s="18" t="s">
        <v>64</v>
      </c>
      <c r="F10" s="18" t="s">
        <v>66</v>
      </c>
      <c r="G10" s="18" t="s">
        <v>67</v>
      </c>
      <c r="O10" s="17"/>
      <c r="P10" s="18" t="s">
        <v>65</v>
      </c>
      <c r="Q10" s="18" t="s">
        <v>64</v>
      </c>
      <c r="R10" s="18" t="s">
        <v>66</v>
      </c>
      <c r="S10" s="18" t="s">
        <v>67</v>
      </c>
    </row>
    <row r="11" spans="3:25" x14ac:dyDescent="0.25">
      <c r="C11" s="18" t="s">
        <v>52</v>
      </c>
      <c r="D11" s="17">
        <v>11</v>
      </c>
      <c r="E11" s="17">
        <v>4</v>
      </c>
      <c r="F11" s="25">
        <f>100-(E11*100/D11)</f>
        <v>63.636363636363633</v>
      </c>
      <c r="G11" s="17">
        <v>3</v>
      </c>
      <c r="O11" s="18" t="s">
        <v>52</v>
      </c>
      <c r="P11" s="17">
        <f>D165+D154+D143+D132+D121+D110+D99+D88+D77+D66+D55+D44+D33+D22+D11</f>
        <v>422</v>
      </c>
      <c r="Q11" s="17">
        <f>E165+E154+E143+E132+E121+E110+E99+E88+E77+E66+E55+E44+E33+E22+E11</f>
        <v>115</v>
      </c>
      <c r="R11" s="25">
        <f>100-(Q11*100/P11)</f>
        <v>72.748815165876778</v>
      </c>
      <c r="S11" s="17">
        <f>G165+G154+G143+G132+G121+G110+G99+G88+G77+G66+G55+G44+G33+G22+G11</f>
        <v>57</v>
      </c>
    </row>
    <row r="13" spans="3:25" x14ac:dyDescent="0.25">
      <c r="O13" s="106" t="s">
        <v>585</v>
      </c>
      <c r="P13" s="106"/>
      <c r="Q13" s="106"/>
      <c r="R13" s="106"/>
      <c r="S13" s="106"/>
    </row>
    <row r="14" spans="3:25" x14ac:dyDescent="0.25">
      <c r="O14" s="106" t="s">
        <v>70</v>
      </c>
      <c r="P14" s="106"/>
      <c r="Q14" s="106"/>
      <c r="R14" s="106"/>
      <c r="S14" s="106"/>
    </row>
    <row r="15" spans="3:25" x14ac:dyDescent="0.25">
      <c r="C15" s="36" t="s">
        <v>1389</v>
      </c>
      <c r="D15" s="103"/>
      <c r="E15" s="103"/>
      <c r="O15" s="106" t="s">
        <v>71</v>
      </c>
      <c r="P15" s="106"/>
      <c r="Q15" s="106"/>
      <c r="R15" s="106"/>
      <c r="S15" s="106"/>
    </row>
    <row r="16" spans="3:25" x14ac:dyDescent="0.25">
      <c r="C16" s="105"/>
      <c r="D16" s="105"/>
      <c r="E16" s="105"/>
      <c r="F16" s="105"/>
      <c r="O16" s="106" t="s">
        <v>73</v>
      </c>
      <c r="P16" s="106"/>
      <c r="Q16" s="106"/>
      <c r="R16" s="106"/>
      <c r="S16" s="106"/>
    </row>
    <row r="17" spans="3:19" x14ac:dyDescent="0.25">
      <c r="D17" s="18" t="s">
        <v>1</v>
      </c>
      <c r="E17" s="18" t="s">
        <v>53</v>
      </c>
      <c r="F17" s="18" t="s">
        <v>287</v>
      </c>
      <c r="G17" s="18" t="s">
        <v>288</v>
      </c>
      <c r="H17" s="18" t="s">
        <v>55</v>
      </c>
      <c r="I17" s="18" t="s">
        <v>4</v>
      </c>
      <c r="J17" s="18" t="s">
        <v>56</v>
      </c>
      <c r="K17" s="18" t="s">
        <v>57</v>
      </c>
      <c r="L17" s="18" t="s">
        <v>58</v>
      </c>
      <c r="O17" s="106" t="s">
        <v>96</v>
      </c>
      <c r="P17" s="106"/>
      <c r="Q17" s="106"/>
      <c r="R17" s="106"/>
      <c r="S17" s="106"/>
    </row>
    <row r="18" spans="3:19" x14ac:dyDescent="0.25">
      <c r="C18" s="18" t="s">
        <v>50</v>
      </c>
      <c r="D18" s="17">
        <v>24</v>
      </c>
      <c r="E18" s="17">
        <v>3</v>
      </c>
      <c r="F18" s="17">
        <v>2</v>
      </c>
      <c r="G18" s="17">
        <v>0</v>
      </c>
      <c r="H18" s="17">
        <v>19</v>
      </c>
      <c r="I18" s="17">
        <f>E18*3+F18*2+G18</f>
        <v>13</v>
      </c>
      <c r="J18" s="17">
        <v>99</v>
      </c>
      <c r="K18" s="17">
        <v>190</v>
      </c>
      <c r="L18" s="17">
        <f>J18-K18</f>
        <v>-91</v>
      </c>
      <c r="O18" s="106" t="s">
        <v>217</v>
      </c>
      <c r="P18" s="106"/>
      <c r="Q18" s="106"/>
      <c r="R18" s="106"/>
      <c r="S18" s="106"/>
    </row>
    <row r="19" spans="3:19" x14ac:dyDescent="0.25">
      <c r="D19" s="18" t="s">
        <v>61</v>
      </c>
      <c r="E19" s="18" t="s">
        <v>68</v>
      </c>
      <c r="F19" s="18" t="s">
        <v>63</v>
      </c>
      <c r="G19" s="18" t="s">
        <v>64</v>
      </c>
      <c r="O19" s="106" t="s">
        <v>237</v>
      </c>
      <c r="P19" s="106"/>
      <c r="Q19" s="106"/>
      <c r="R19" s="106"/>
      <c r="S19" s="106"/>
    </row>
    <row r="20" spans="3:19" x14ac:dyDescent="0.25">
      <c r="C20" s="18" t="s">
        <v>51</v>
      </c>
      <c r="D20" s="17">
        <v>22</v>
      </c>
      <c r="E20" s="17">
        <v>6</v>
      </c>
      <c r="F20" s="25">
        <f>E20*100/D20</f>
        <v>27.272727272727273</v>
      </c>
      <c r="G20" s="17">
        <v>4</v>
      </c>
      <c r="O20" s="106" t="s">
        <v>261</v>
      </c>
      <c r="P20" s="106"/>
      <c r="Q20" s="106"/>
      <c r="R20" s="106"/>
      <c r="S20" s="106"/>
    </row>
    <row r="21" spans="3:19" x14ac:dyDescent="0.25">
      <c r="D21" s="18" t="s">
        <v>65</v>
      </c>
      <c r="E21" s="18" t="s">
        <v>64</v>
      </c>
      <c r="F21" s="18" t="s">
        <v>66</v>
      </c>
      <c r="G21" s="18" t="s">
        <v>67</v>
      </c>
      <c r="O21" s="106" t="s">
        <v>289</v>
      </c>
      <c r="P21" s="106"/>
      <c r="Q21" s="106"/>
      <c r="R21" s="106"/>
      <c r="S21" s="106"/>
    </row>
    <row r="22" spans="3:19" x14ac:dyDescent="0.25">
      <c r="C22" s="18" t="s">
        <v>52</v>
      </c>
      <c r="D22" s="17">
        <v>42</v>
      </c>
      <c r="E22" s="17">
        <v>16</v>
      </c>
      <c r="F22" s="25">
        <f>100-(E22*100/D22)</f>
        <v>61.904761904761905</v>
      </c>
      <c r="G22" s="17">
        <v>4</v>
      </c>
      <c r="O22" s="106" t="s">
        <v>342</v>
      </c>
      <c r="P22" s="106"/>
      <c r="Q22" s="106"/>
      <c r="R22" s="106"/>
      <c r="S22" s="106"/>
    </row>
    <row r="23" spans="3:19" x14ac:dyDescent="0.25">
      <c r="O23" s="106" t="s">
        <v>375</v>
      </c>
      <c r="P23" s="106"/>
      <c r="Q23" s="106"/>
      <c r="R23" s="106"/>
      <c r="S23" s="106"/>
    </row>
    <row r="24" spans="3:19" x14ac:dyDescent="0.25">
      <c r="O24" s="106" t="s">
        <v>440</v>
      </c>
      <c r="P24" s="106"/>
      <c r="Q24" s="106"/>
      <c r="R24" s="106"/>
      <c r="S24" s="106"/>
    </row>
    <row r="25" spans="3:19" x14ac:dyDescent="0.25">
      <c r="O25" s="106" t="s">
        <v>748</v>
      </c>
      <c r="P25" s="106"/>
      <c r="Q25" s="106"/>
      <c r="R25" s="106"/>
      <c r="S25" s="106"/>
    </row>
    <row r="26" spans="3:19" x14ac:dyDescent="0.25">
      <c r="C26" s="36" t="s">
        <v>1154</v>
      </c>
      <c r="D26" s="104" t="s">
        <v>1372</v>
      </c>
      <c r="E26" s="104"/>
      <c r="O26" s="107" t="s">
        <v>1081</v>
      </c>
      <c r="P26" s="107"/>
      <c r="Q26" s="107"/>
      <c r="R26" s="107"/>
      <c r="S26" s="107"/>
    </row>
    <row r="27" spans="3:19" x14ac:dyDescent="0.25">
      <c r="C27" s="105" t="s">
        <v>1204</v>
      </c>
      <c r="D27" s="105"/>
      <c r="E27" s="105"/>
      <c r="F27" s="105"/>
      <c r="O27" s="105" t="s">
        <v>1213</v>
      </c>
      <c r="P27" s="105"/>
      <c r="Q27" s="105"/>
      <c r="R27" s="105"/>
      <c r="S27" s="105"/>
    </row>
    <row r="28" spans="3:19" x14ac:dyDescent="0.25">
      <c r="D28" s="18" t="s">
        <v>1</v>
      </c>
      <c r="E28" s="18" t="s">
        <v>53</v>
      </c>
      <c r="F28" s="18" t="s">
        <v>287</v>
      </c>
      <c r="G28" s="18" t="s">
        <v>288</v>
      </c>
      <c r="H28" s="18" t="s">
        <v>55</v>
      </c>
      <c r="I28" s="18" t="s">
        <v>4</v>
      </c>
      <c r="J28" s="18" t="s">
        <v>56</v>
      </c>
      <c r="K28" s="18" t="s">
        <v>57</v>
      </c>
      <c r="L28" s="18" t="s">
        <v>58</v>
      </c>
      <c r="O28" s="105" t="s">
        <v>1475</v>
      </c>
      <c r="P28" s="105"/>
      <c r="Q28" s="105"/>
      <c r="R28" s="105"/>
      <c r="S28" s="105"/>
    </row>
    <row r="29" spans="3:19" x14ac:dyDescent="0.25">
      <c r="C29" s="18" t="s">
        <v>50</v>
      </c>
      <c r="D29" s="17">
        <v>24</v>
      </c>
      <c r="E29" s="17">
        <v>18</v>
      </c>
      <c r="F29" s="17">
        <v>0</v>
      </c>
      <c r="G29" s="17">
        <v>2</v>
      </c>
      <c r="H29" s="17">
        <v>4</v>
      </c>
      <c r="I29" s="17">
        <f>E29*3+F29*2+G29</f>
        <v>56</v>
      </c>
      <c r="J29" s="17">
        <v>149</v>
      </c>
      <c r="K29" s="17">
        <v>95</v>
      </c>
      <c r="L29" s="17">
        <f>J29-K29</f>
        <v>54</v>
      </c>
      <c r="O29" s="105" t="s">
        <v>1673</v>
      </c>
      <c r="P29" s="105"/>
      <c r="Q29" s="105"/>
      <c r="R29" s="105"/>
      <c r="S29" s="105"/>
    </row>
    <row r="30" spans="3:19" x14ac:dyDescent="0.25">
      <c r="D30" s="18" t="s">
        <v>61</v>
      </c>
      <c r="E30" s="18" t="s">
        <v>68</v>
      </c>
      <c r="F30" s="18" t="s">
        <v>63</v>
      </c>
      <c r="G30" s="18" t="s">
        <v>64</v>
      </c>
      <c r="O30" s="105" t="s">
        <v>1767</v>
      </c>
      <c r="P30" s="105"/>
      <c r="Q30" s="105"/>
      <c r="R30" s="105"/>
      <c r="S30" s="105"/>
    </row>
    <row r="31" spans="3:19" x14ac:dyDescent="0.25">
      <c r="C31" s="18" t="s">
        <v>51</v>
      </c>
      <c r="D31" s="17">
        <v>34</v>
      </c>
      <c r="E31" s="17">
        <v>5</v>
      </c>
      <c r="F31" s="25">
        <f>E31*100/D31</f>
        <v>14.705882352941176</v>
      </c>
      <c r="G31" s="17">
        <v>5</v>
      </c>
    </row>
    <row r="32" spans="3:19" x14ac:dyDescent="0.25">
      <c r="D32" s="18" t="s">
        <v>65</v>
      </c>
      <c r="E32" s="18" t="s">
        <v>64</v>
      </c>
      <c r="F32" s="18" t="s">
        <v>66</v>
      </c>
      <c r="G32" s="18" t="s">
        <v>67</v>
      </c>
    </row>
    <row r="33" spans="3:13" x14ac:dyDescent="0.25">
      <c r="C33" s="18" t="s">
        <v>52</v>
      </c>
      <c r="D33" s="17">
        <v>33</v>
      </c>
      <c r="E33" s="17">
        <v>5</v>
      </c>
      <c r="F33" s="25">
        <f>100-E33*100/D33</f>
        <v>84.848484848484844</v>
      </c>
      <c r="G33" s="17">
        <v>5</v>
      </c>
    </row>
    <row r="37" spans="3:13" x14ac:dyDescent="0.25">
      <c r="C37" s="36" t="s">
        <v>473</v>
      </c>
      <c r="D37" s="103" t="s">
        <v>590</v>
      </c>
      <c r="E37" s="103"/>
    </row>
    <row r="38" spans="3:13" x14ac:dyDescent="0.25">
      <c r="C38" s="105" t="s">
        <v>1142</v>
      </c>
      <c r="D38" s="105"/>
      <c r="E38" s="105"/>
      <c r="F38" s="105"/>
    </row>
    <row r="39" spans="3:13" x14ac:dyDescent="0.25">
      <c r="D39" s="18" t="s">
        <v>1</v>
      </c>
      <c r="E39" s="18" t="s">
        <v>53</v>
      </c>
      <c r="F39" s="18" t="s">
        <v>287</v>
      </c>
      <c r="G39" s="18" t="s">
        <v>54</v>
      </c>
      <c r="H39" s="18" t="s">
        <v>288</v>
      </c>
      <c r="I39" s="18" t="s">
        <v>55</v>
      </c>
      <c r="J39" s="18" t="s">
        <v>4</v>
      </c>
      <c r="K39" s="18" t="s">
        <v>56</v>
      </c>
      <c r="L39" s="18" t="s">
        <v>57</v>
      </c>
      <c r="M39" s="18" t="s">
        <v>58</v>
      </c>
    </row>
    <row r="40" spans="3:13" x14ac:dyDescent="0.25">
      <c r="C40" s="18" t="s">
        <v>50</v>
      </c>
      <c r="D40" s="17">
        <v>23</v>
      </c>
      <c r="E40" s="17">
        <v>11</v>
      </c>
      <c r="F40" s="17">
        <v>3</v>
      </c>
      <c r="G40" s="17">
        <v>0</v>
      </c>
      <c r="H40" s="17">
        <v>2</v>
      </c>
      <c r="I40" s="17">
        <v>7</v>
      </c>
      <c r="J40" s="17">
        <f>E40*3+F40*2+G40+H40</f>
        <v>41</v>
      </c>
      <c r="K40" s="17">
        <v>155</v>
      </c>
      <c r="L40" s="17">
        <v>130</v>
      </c>
      <c r="M40" s="17">
        <f>K40-L40</f>
        <v>25</v>
      </c>
    </row>
    <row r="41" spans="3:13" x14ac:dyDescent="0.25">
      <c r="D41" s="18" t="s">
        <v>61</v>
      </c>
      <c r="E41" s="18" t="s">
        <v>68</v>
      </c>
      <c r="F41" s="18" t="s">
        <v>63</v>
      </c>
      <c r="G41" s="18" t="s">
        <v>64</v>
      </c>
    </row>
    <row r="42" spans="3:13" x14ac:dyDescent="0.25">
      <c r="C42" s="18" t="s">
        <v>51</v>
      </c>
      <c r="D42" s="17">
        <v>33</v>
      </c>
      <c r="E42" s="17">
        <v>9</v>
      </c>
      <c r="F42" s="25">
        <f>E42*100/D42</f>
        <v>27.272727272727273</v>
      </c>
      <c r="G42" s="17">
        <v>4</v>
      </c>
    </row>
    <row r="43" spans="3:13" x14ac:dyDescent="0.25">
      <c r="D43" s="18" t="s">
        <v>65</v>
      </c>
      <c r="E43" s="18" t="s">
        <v>64</v>
      </c>
      <c r="F43" s="18" t="s">
        <v>66</v>
      </c>
      <c r="G43" s="18" t="s">
        <v>67</v>
      </c>
    </row>
    <row r="44" spans="3:13" x14ac:dyDescent="0.25">
      <c r="C44" s="18" t="s">
        <v>52</v>
      </c>
      <c r="D44" s="17">
        <v>36</v>
      </c>
      <c r="E44" s="17">
        <v>13</v>
      </c>
      <c r="F44" s="25">
        <f>100-E44*100/D44</f>
        <v>63.888888888888886</v>
      </c>
      <c r="G44" s="17">
        <v>2</v>
      </c>
    </row>
    <row r="48" spans="3:13" x14ac:dyDescent="0.25">
      <c r="C48" s="36" t="s">
        <v>403</v>
      </c>
      <c r="D48" s="104" t="s">
        <v>591</v>
      </c>
      <c r="E48" s="104"/>
    </row>
    <row r="50" spans="3:13" x14ac:dyDescent="0.25">
      <c r="D50" s="18" t="s">
        <v>1</v>
      </c>
      <c r="E50" s="18" t="s">
        <v>53</v>
      </c>
      <c r="F50" s="18" t="s">
        <v>287</v>
      </c>
      <c r="G50" s="18" t="s">
        <v>54</v>
      </c>
      <c r="H50" s="18" t="s">
        <v>288</v>
      </c>
      <c r="I50" s="18" t="s">
        <v>55</v>
      </c>
      <c r="J50" s="18" t="s">
        <v>4</v>
      </c>
      <c r="K50" s="18" t="s">
        <v>56</v>
      </c>
      <c r="L50" s="18" t="s">
        <v>57</v>
      </c>
      <c r="M50" s="18" t="s">
        <v>58</v>
      </c>
    </row>
    <row r="51" spans="3:13" x14ac:dyDescent="0.25">
      <c r="C51" s="18" t="s">
        <v>50</v>
      </c>
      <c r="D51" s="17">
        <v>20</v>
      </c>
      <c r="E51" s="17">
        <v>20</v>
      </c>
      <c r="F51" s="17">
        <v>0</v>
      </c>
      <c r="G51" s="17">
        <v>0</v>
      </c>
      <c r="H51" s="17">
        <v>0</v>
      </c>
      <c r="I51" s="17">
        <v>0</v>
      </c>
      <c r="J51" s="17">
        <f>E51*3+F51*2+G51+H51</f>
        <v>60</v>
      </c>
      <c r="K51" s="17">
        <v>147</v>
      </c>
      <c r="L51" s="17">
        <v>45</v>
      </c>
      <c r="M51" s="17">
        <f>K51-L51</f>
        <v>102</v>
      </c>
    </row>
    <row r="52" spans="3:13" x14ac:dyDescent="0.25">
      <c r="D52" s="18" t="s">
        <v>61</v>
      </c>
      <c r="E52" s="18" t="s">
        <v>68</v>
      </c>
      <c r="F52" s="18" t="s">
        <v>63</v>
      </c>
      <c r="G52" s="18" t="s">
        <v>64</v>
      </c>
    </row>
    <row r="53" spans="3:13" x14ac:dyDescent="0.25">
      <c r="C53" s="18" t="s">
        <v>51</v>
      </c>
      <c r="D53" s="17">
        <v>28</v>
      </c>
      <c r="E53" s="17">
        <v>11</v>
      </c>
      <c r="F53" s="25">
        <f>E53*100/D53</f>
        <v>39.285714285714285</v>
      </c>
      <c r="G53" s="17">
        <v>1</v>
      </c>
    </row>
    <row r="54" spans="3:13" x14ac:dyDescent="0.25">
      <c r="D54" s="18" t="s">
        <v>65</v>
      </c>
      <c r="E54" s="18" t="s">
        <v>64</v>
      </c>
      <c r="F54" s="18" t="s">
        <v>66</v>
      </c>
      <c r="G54" s="18" t="s">
        <v>67</v>
      </c>
    </row>
    <row r="55" spans="3:13" x14ac:dyDescent="0.25">
      <c r="C55" s="18" t="s">
        <v>52</v>
      </c>
      <c r="D55" s="17">
        <v>19</v>
      </c>
      <c r="E55" s="17">
        <v>7</v>
      </c>
      <c r="F55" s="25">
        <f>100-E55*100/D55</f>
        <v>63.157894736842103</v>
      </c>
      <c r="G55" s="17">
        <v>4</v>
      </c>
    </row>
    <row r="59" spans="3:13" x14ac:dyDescent="0.25">
      <c r="C59" s="36" t="s">
        <v>378</v>
      </c>
      <c r="D59" s="103" t="s">
        <v>595</v>
      </c>
      <c r="E59" s="103"/>
    </row>
    <row r="61" spans="3:13" x14ac:dyDescent="0.25">
      <c r="D61" s="18" t="s">
        <v>1</v>
      </c>
      <c r="E61" s="18" t="s">
        <v>53</v>
      </c>
      <c r="F61" s="18" t="s">
        <v>287</v>
      </c>
      <c r="G61" s="18" t="s">
        <v>54</v>
      </c>
      <c r="H61" s="18" t="s">
        <v>288</v>
      </c>
      <c r="I61" s="18" t="s">
        <v>55</v>
      </c>
      <c r="J61" s="18" t="s">
        <v>4</v>
      </c>
      <c r="K61" s="18" t="s">
        <v>56</v>
      </c>
      <c r="L61" s="18" t="s">
        <v>57</v>
      </c>
      <c r="M61" s="18" t="s">
        <v>58</v>
      </c>
    </row>
    <row r="62" spans="3:13" x14ac:dyDescent="0.25">
      <c r="C62" s="18" t="s">
        <v>50</v>
      </c>
      <c r="D62" s="17">
        <v>4</v>
      </c>
      <c r="E62" s="17">
        <v>3</v>
      </c>
      <c r="F62" s="17">
        <v>0</v>
      </c>
      <c r="G62" s="17">
        <v>0</v>
      </c>
      <c r="H62" s="17">
        <v>0</v>
      </c>
      <c r="I62" s="17">
        <v>1</v>
      </c>
      <c r="J62" s="17">
        <f>E62*3+F62*2+G62+H62</f>
        <v>9</v>
      </c>
      <c r="K62" s="17">
        <v>26</v>
      </c>
      <c r="L62" s="17">
        <v>15</v>
      </c>
      <c r="M62" s="17">
        <f>K62-L62</f>
        <v>11</v>
      </c>
    </row>
    <row r="63" spans="3:13" x14ac:dyDescent="0.25">
      <c r="D63" s="18" t="s">
        <v>61</v>
      </c>
      <c r="E63" s="18" t="s">
        <v>68</v>
      </c>
      <c r="F63" s="18" t="s">
        <v>63</v>
      </c>
      <c r="G63" s="18" t="s">
        <v>64</v>
      </c>
    </row>
    <row r="64" spans="3:13" x14ac:dyDescent="0.25">
      <c r="C64" s="18" t="s">
        <v>51</v>
      </c>
      <c r="D64" s="17">
        <v>2</v>
      </c>
      <c r="E64" s="17">
        <v>0</v>
      </c>
      <c r="F64" s="25">
        <f>E64*100/D64</f>
        <v>0</v>
      </c>
      <c r="G64" s="17">
        <v>0</v>
      </c>
    </row>
    <row r="65" spans="3:11" x14ac:dyDescent="0.25">
      <c r="D65" s="18" t="s">
        <v>65</v>
      </c>
      <c r="E65" s="18" t="s">
        <v>64</v>
      </c>
      <c r="F65" s="18" t="s">
        <v>66</v>
      </c>
      <c r="G65" s="18" t="s">
        <v>67</v>
      </c>
    </row>
    <row r="66" spans="3:11" x14ac:dyDescent="0.25">
      <c r="C66" s="18" t="s">
        <v>52</v>
      </c>
      <c r="D66" s="17">
        <v>1</v>
      </c>
      <c r="E66" s="17">
        <v>0</v>
      </c>
      <c r="F66" s="25">
        <f>100-E66*100/D66</f>
        <v>100</v>
      </c>
      <c r="G66" s="17">
        <v>1</v>
      </c>
    </row>
    <row r="70" spans="3:11" x14ac:dyDescent="0.25">
      <c r="C70" s="36" t="s">
        <v>349</v>
      </c>
      <c r="D70" s="103" t="s">
        <v>595</v>
      </c>
      <c r="E70" s="103"/>
    </row>
    <row r="72" spans="3:11" x14ac:dyDescent="0.25">
      <c r="D72" s="18" t="s">
        <v>1</v>
      </c>
      <c r="E72" s="18" t="s">
        <v>53</v>
      </c>
      <c r="F72" s="18" t="s">
        <v>54</v>
      </c>
      <c r="G72" s="18" t="s">
        <v>55</v>
      </c>
      <c r="H72" s="18" t="s">
        <v>4</v>
      </c>
      <c r="I72" s="18" t="s">
        <v>56</v>
      </c>
      <c r="J72" s="18" t="s">
        <v>57</v>
      </c>
      <c r="K72" s="18" t="s">
        <v>58</v>
      </c>
    </row>
    <row r="73" spans="3:11" x14ac:dyDescent="0.25">
      <c r="C73" s="18" t="s">
        <v>50</v>
      </c>
      <c r="D73" s="17">
        <v>14</v>
      </c>
      <c r="E73" s="17">
        <v>10</v>
      </c>
      <c r="F73" s="17">
        <v>0</v>
      </c>
      <c r="G73" s="17">
        <v>4</v>
      </c>
      <c r="H73" s="17">
        <f>E73*3+F73</f>
        <v>30</v>
      </c>
      <c r="I73" s="17">
        <v>99</v>
      </c>
      <c r="J73" s="17">
        <v>50</v>
      </c>
      <c r="K73" s="17">
        <f>I73-J73</f>
        <v>49</v>
      </c>
    </row>
    <row r="74" spans="3:11" x14ac:dyDescent="0.25">
      <c r="D74" s="18" t="s">
        <v>61</v>
      </c>
      <c r="E74" s="18" t="s">
        <v>68</v>
      </c>
      <c r="F74" s="18" t="s">
        <v>63</v>
      </c>
      <c r="G74" s="18" t="s">
        <v>64</v>
      </c>
    </row>
    <row r="75" spans="3:11" x14ac:dyDescent="0.25">
      <c r="C75" s="18" t="s">
        <v>51</v>
      </c>
      <c r="D75" s="17">
        <v>27</v>
      </c>
      <c r="E75" s="17">
        <v>12</v>
      </c>
      <c r="F75" s="25">
        <f>E75*100/D75</f>
        <v>44.444444444444443</v>
      </c>
      <c r="G75" s="17">
        <v>1</v>
      </c>
    </row>
    <row r="76" spans="3:11" x14ac:dyDescent="0.25">
      <c r="D76" s="18" t="s">
        <v>65</v>
      </c>
      <c r="E76" s="18" t="s">
        <v>64</v>
      </c>
      <c r="F76" s="18" t="s">
        <v>66</v>
      </c>
      <c r="G76" s="18" t="s">
        <v>67</v>
      </c>
    </row>
    <row r="77" spans="3:11" x14ac:dyDescent="0.25">
      <c r="C77" s="18" t="s">
        <v>52</v>
      </c>
      <c r="D77" s="17">
        <v>8</v>
      </c>
      <c r="E77" s="17">
        <v>3</v>
      </c>
      <c r="F77" s="25">
        <f>100-E77*100/D77</f>
        <v>62.5</v>
      </c>
      <c r="G77" s="17">
        <v>0</v>
      </c>
    </row>
    <row r="81" spans="3:12" x14ac:dyDescent="0.25">
      <c r="C81" s="36" t="s">
        <v>319</v>
      </c>
      <c r="D81" s="103" t="s">
        <v>594</v>
      </c>
      <c r="E81" s="103"/>
    </row>
    <row r="83" spans="3:12" x14ac:dyDescent="0.25">
      <c r="D83" s="18" t="s">
        <v>1</v>
      </c>
      <c r="E83" s="18" t="s">
        <v>53</v>
      </c>
      <c r="F83" s="18" t="s">
        <v>54</v>
      </c>
      <c r="G83" s="18" t="s">
        <v>55</v>
      </c>
      <c r="H83" s="18" t="s">
        <v>4</v>
      </c>
      <c r="I83" s="18" t="s">
        <v>56</v>
      </c>
      <c r="J83" s="18" t="s">
        <v>57</v>
      </c>
      <c r="K83" s="18" t="s">
        <v>58</v>
      </c>
    </row>
    <row r="84" spans="3:12" x14ac:dyDescent="0.25">
      <c r="C84" s="18" t="s">
        <v>50</v>
      </c>
      <c r="D84" s="17">
        <v>20</v>
      </c>
      <c r="E84" s="17">
        <v>9</v>
      </c>
      <c r="F84" s="17">
        <v>0</v>
      </c>
      <c r="G84" s="17">
        <v>11</v>
      </c>
      <c r="H84" s="17">
        <f>E84*3+F84</f>
        <v>27</v>
      </c>
      <c r="I84" s="17">
        <v>105</v>
      </c>
      <c r="J84" s="17">
        <v>85</v>
      </c>
      <c r="K84" s="17">
        <f>I84-J84</f>
        <v>20</v>
      </c>
    </row>
    <row r="85" spans="3:12" x14ac:dyDescent="0.25">
      <c r="D85" s="18" t="s">
        <v>61</v>
      </c>
      <c r="E85" s="18" t="s">
        <v>68</v>
      </c>
      <c r="F85" s="18" t="s">
        <v>63</v>
      </c>
      <c r="G85" s="18" t="s">
        <v>64</v>
      </c>
    </row>
    <row r="86" spans="3:12" x14ac:dyDescent="0.25">
      <c r="C86" s="18" t="s">
        <v>51</v>
      </c>
      <c r="D86" s="17">
        <v>25</v>
      </c>
      <c r="E86" s="17">
        <v>11</v>
      </c>
      <c r="F86" s="25">
        <f>E86*100/D86</f>
        <v>44</v>
      </c>
      <c r="G86" s="17">
        <v>2</v>
      </c>
    </row>
    <row r="87" spans="3:12" x14ac:dyDescent="0.25">
      <c r="D87" s="18" t="s">
        <v>65</v>
      </c>
      <c r="E87" s="18" t="s">
        <v>64</v>
      </c>
      <c r="F87" s="18" t="s">
        <v>66</v>
      </c>
      <c r="G87" s="18" t="s">
        <v>67</v>
      </c>
    </row>
    <row r="88" spans="3:12" x14ac:dyDescent="0.25">
      <c r="C88" s="18" t="s">
        <v>52</v>
      </c>
      <c r="D88" s="17">
        <v>34</v>
      </c>
      <c r="E88" s="17">
        <v>9</v>
      </c>
      <c r="F88" s="25">
        <f>100-E88*100/D88</f>
        <v>73.529411764705884</v>
      </c>
      <c r="G88" s="17">
        <v>2</v>
      </c>
    </row>
    <row r="92" spans="3:12" x14ac:dyDescent="0.25">
      <c r="C92" s="36" t="s">
        <v>220</v>
      </c>
      <c r="D92" s="102" t="s">
        <v>593</v>
      </c>
      <c r="E92" s="102"/>
    </row>
    <row r="94" spans="3:12" x14ac:dyDescent="0.25">
      <c r="D94" s="18" t="s">
        <v>1</v>
      </c>
      <c r="E94" s="18" t="s">
        <v>53</v>
      </c>
      <c r="F94" s="18" t="s">
        <v>287</v>
      </c>
      <c r="G94" s="18" t="s">
        <v>288</v>
      </c>
      <c r="H94" s="18" t="s">
        <v>55</v>
      </c>
      <c r="I94" s="18" t="s">
        <v>4</v>
      </c>
      <c r="J94" s="18" t="s">
        <v>56</v>
      </c>
      <c r="K94" s="18" t="s">
        <v>57</v>
      </c>
      <c r="L94" s="18" t="s">
        <v>58</v>
      </c>
    </row>
    <row r="95" spans="3:12" x14ac:dyDescent="0.25">
      <c r="C95" s="18" t="s">
        <v>50</v>
      </c>
      <c r="D95" s="17">
        <v>24</v>
      </c>
      <c r="E95" s="17">
        <v>7</v>
      </c>
      <c r="F95" s="17">
        <v>1</v>
      </c>
      <c r="G95" s="17">
        <v>1</v>
      </c>
      <c r="H95" s="17">
        <v>15</v>
      </c>
      <c r="I95" s="17">
        <f>E95*3+F95*2+G95</f>
        <v>24</v>
      </c>
      <c r="J95" s="17">
        <v>134</v>
      </c>
      <c r="K95" s="17">
        <v>163</v>
      </c>
      <c r="L95" s="17">
        <f>J95-K95</f>
        <v>-29</v>
      </c>
    </row>
    <row r="96" spans="3:12" x14ac:dyDescent="0.25">
      <c r="D96" s="18" t="s">
        <v>61</v>
      </c>
      <c r="E96" s="18" t="s">
        <v>68</v>
      </c>
      <c r="F96" s="18" t="s">
        <v>63</v>
      </c>
      <c r="G96" s="18" t="s">
        <v>64</v>
      </c>
    </row>
    <row r="97" spans="3:11" x14ac:dyDescent="0.25">
      <c r="C97" s="18" t="s">
        <v>51</v>
      </c>
      <c r="D97" s="17">
        <v>34</v>
      </c>
      <c r="E97" s="17">
        <v>7</v>
      </c>
      <c r="F97" s="25">
        <f>E97*100/D97</f>
        <v>20.588235294117649</v>
      </c>
      <c r="G97" s="17">
        <v>5</v>
      </c>
    </row>
    <row r="98" spans="3:11" x14ac:dyDescent="0.25">
      <c r="D98" s="18" t="s">
        <v>65</v>
      </c>
      <c r="E98" s="18" t="s">
        <v>64</v>
      </c>
      <c r="F98" s="18" t="s">
        <v>66</v>
      </c>
      <c r="G98" s="18" t="s">
        <v>67</v>
      </c>
    </row>
    <row r="99" spans="3:11" x14ac:dyDescent="0.25">
      <c r="C99" s="18" t="s">
        <v>52</v>
      </c>
      <c r="D99" s="17">
        <v>48</v>
      </c>
      <c r="E99" s="17">
        <v>14</v>
      </c>
      <c r="F99" s="25">
        <f>100-(E99*100/D99)</f>
        <v>70.833333333333329</v>
      </c>
      <c r="G99" s="17">
        <v>7</v>
      </c>
    </row>
    <row r="103" spans="3:11" x14ac:dyDescent="0.25">
      <c r="C103" s="36" t="s">
        <v>81</v>
      </c>
      <c r="D103" s="103" t="s">
        <v>592</v>
      </c>
      <c r="E103" s="103"/>
    </row>
    <row r="105" spans="3:11" x14ac:dyDescent="0.25">
      <c r="D105" s="18" t="s">
        <v>1</v>
      </c>
      <c r="E105" s="18" t="s">
        <v>53</v>
      </c>
      <c r="F105" s="18" t="s">
        <v>54</v>
      </c>
      <c r="G105" s="18" t="s">
        <v>55</v>
      </c>
      <c r="H105" s="18" t="s">
        <v>4</v>
      </c>
      <c r="I105" s="18" t="s">
        <v>56</v>
      </c>
      <c r="J105" s="18" t="s">
        <v>57</v>
      </c>
      <c r="K105" s="18" t="s">
        <v>58</v>
      </c>
    </row>
    <row r="106" spans="3:11" x14ac:dyDescent="0.25">
      <c r="C106" s="18" t="s">
        <v>50</v>
      </c>
      <c r="D106" s="17">
        <v>24</v>
      </c>
      <c r="E106" s="17">
        <v>11</v>
      </c>
      <c r="F106" s="17">
        <v>2</v>
      </c>
      <c r="G106" s="17">
        <v>11</v>
      </c>
      <c r="H106" s="17">
        <f>3*E106+F106</f>
        <v>35</v>
      </c>
      <c r="I106" s="17">
        <v>166</v>
      </c>
      <c r="J106" s="17">
        <v>161</v>
      </c>
      <c r="K106" s="17">
        <f>I106-J106</f>
        <v>5</v>
      </c>
    </row>
    <row r="107" spans="3:11" x14ac:dyDescent="0.25">
      <c r="D107" s="18" t="s">
        <v>61</v>
      </c>
      <c r="E107" s="18" t="s">
        <v>68</v>
      </c>
      <c r="F107" s="18" t="s">
        <v>63</v>
      </c>
      <c r="G107" s="18" t="s">
        <v>64</v>
      </c>
    </row>
    <row r="108" spans="3:11" x14ac:dyDescent="0.25">
      <c r="C108" s="18" t="s">
        <v>51</v>
      </c>
      <c r="D108" s="17">
        <v>31</v>
      </c>
      <c r="E108" s="17">
        <v>9</v>
      </c>
      <c r="F108" s="25">
        <f>E108*100/D108</f>
        <v>29.032258064516128</v>
      </c>
      <c r="G108" s="17">
        <v>2</v>
      </c>
    </row>
    <row r="109" spans="3:11" x14ac:dyDescent="0.25">
      <c r="D109" s="18" t="s">
        <v>65</v>
      </c>
      <c r="E109" s="18" t="s">
        <v>64</v>
      </c>
      <c r="F109" s="18" t="s">
        <v>66</v>
      </c>
      <c r="G109" s="18" t="s">
        <v>67</v>
      </c>
    </row>
    <row r="110" spans="3:11" x14ac:dyDescent="0.25">
      <c r="C110" s="18" t="s">
        <v>52</v>
      </c>
      <c r="D110" s="17">
        <v>58</v>
      </c>
      <c r="E110" s="17">
        <v>15</v>
      </c>
      <c r="F110" s="25">
        <f>100*(D110-E110)/D110</f>
        <v>74.137931034482762</v>
      </c>
      <c r="G110" s="17">
        <v>11</v>
      </c>
    </row>
    <row r="114" spans="3:11" x14ac:dyDescent="0.25">
      <c r="C114" s="36" t="s">
        <v>80</v>
      </c>
      <c r="D114" s="104" t="s">
        <v>591</v>
      </c>
      <c r="E114" s="104"/>
    </row>
    <row r="116" spans="3:11" x14ac:dyDescent="0.25">
      <c r="D116" s="18" t="s">
        <v>1</v>
      </c>
      <c r="E116" s="18" t="s">
        <v>53</v>
      </c>
      <c r="F116" s="18" t="s">
        <v>54</v>
      </c>
      <c r="G116" s="18" t="s">
        <v>55</v>
      </c>
      <c r="H116" s="18" t="s">
        <v>4</v>
      </c>
      <c r="I116" s="18" t="s">
        <v>56</v>
      </c>
      <c r="J116" s="18" t="s">
        <v>57</v>
      </c>
      <c r="K116" s="18" t="s">
        <v>58</v>
      </c>
    </row>
    <row r="117" spans="3:11" x14ac:dyDescent="0.25">
      <c r="C117" s="18" t="s">
        <v>50</v>
      </c>
      <c r="D117" s="17">
        <v>20</v>
      </c>
      <c r="E117" s="17">
        <v>15</v>
      </c>
      <c r="F117" s="17">
        <v>3</v>
      </c>
      <c r="G117" s="17">
        <v>2</v>
      </c>
      <c r="H117" s="17">
        <f>(3*E117)+F117</f>
        <v>48</v>
      </c>
      <c r="I117" s="17">
        <v>127</v>
      </c>
      <c r="J117" s="17">
        <v>69</v>
      </c>
      <c r="K117" s="17">
        <f>I117-J117</f>
        <v>58</v>
      </c>
    </row>
    <row r="118" spans="3:11" x14ac:dyDescent="0.25">
      <c r="D118" s="18" t="s">
        <v>61</v>
      </c>
      <c r="E118" s="18" t="s">
        <v>68</v>
      </c>
      <c r="F118" s="18" t="s">
        <v>63</v>
      </c>
      <c r="G118" s="18" t="s">
        <v>64</v>
      </c>
    </row>
    <row r="119" spans="3:11" x14ac:dyDescent="0.25">
      <c r="C119" s="18" t="s">
        <v>51</v>
      </c>
      <c r="D119" s="17">
        <v>19</v>
      </c>
      <c r="E119" s="17">
        <v>8</v>
      </c>
      <c r="F119" s="25">
        <f>100*E119/D119</f>
        <v>42.10526315789474</v>
      </c>
      <c r="G119" s="17">
        <v>3</v>
      </c>
    </row>
    <row r="120" spans="3:11" x14ac:dyDescent="0.25">
      <c r="D120" s="18" t="s">
        <v>65</v>
      </c>
      <c r="E120" s="18" t="s">
        <v>64</v>
      </c>
      <c r="F120" s="18" t="s">
        <v>66</v>
      </c>
      <c r="G120" s="18" t="s">
        <v>67</v>
      </c>
    </row>
    <row r="121" spans="3:11" x14ac:dyDescent="0.25">
      <c r="C121" s="18" t="s">
        <v>52</v>
      </c>
      <c r="D121" s="17">
        <v>25</v>
      </c>
      <c r="E121" s="17">
        <v>6</v>
      </c>
      <c r="F121" s="25">
        <f>100*(D121-E121)/D121</f>
        <v>76</v>
      </c>
      <c r="G121" s="17">
        <v>6</v>
      </c>
    </row>
    <row r="125" spans="3:11" x14ac:dyDescent="0.25">
      <c r="C125" s="36" t="s">
        <v>40</v>
      </c>
      <c r="D125" s="103" t="s">
        <v>590</v>
      </c>
      <c r="E125" s="103"/>
    </row>
    <row r="127" spans="3:11" x14ac:dyDescent="0.25">
      <c r="D127" s="18" t="s">
        <v>1</v>
      </c>
      <c r="E127" s="18" t="s">
        <v>53</v>
      </c>
      <c r="F127" s="18" t="s">
        <v>54</v>
      </c>
      <c r="G127" s="18" t="s">
        <v>55</v>
      </c>
      <c r="H127" s="18" t="s">
        <v>4</v>
      </c>
      <c r="I127" s="18" t="s">
        <v>56</v>
      </c>
      <c r="J127" s="18" t="s">
        <v>57</v>
      </c>
      <c r="K127" s="18" t="s">
        <v>58</v>
      </c>
    </row>
    <row r="128" spans="3:11" x14ac:dyDescent="0.25">
      <c r="C128" s="18" t="s">
        <v>50</v>
      </c>
      <c r="D128" s="17">
        <v>20</v>
      </c>
      <c r="E128" s="17">
        <v>14</v>
      </c>
      <c r="F128" s="17">
        <v>0</v>
      </c>
      <c r="G128" s="17">
        <v>6</v>
      </c>
      <c r="H128" s="17">
        <f>(3*E128)+(1*F128)</f>
        <v>42</v>
      </c>
      <c r="I128" s="17">
        <v>113</v>
      </c>
      <c r="J128" s="17">
        <v>71</v>
      </c>
      <c r="K128" s="17">
        <f>I128-J128</f>
        <v>42</v>
      </c>
    </row>
    <row r="129" spans="3:11" x14ac:dyDescent="0.25">
      <c r="D129" s="18" t="s">
        <v>61</v>
      </c>
      <c r="E129" s="18" t="s">
        <v>68</v>
      </c>
      <c r="F129" s="18" t="s">
        <v>63</v>
      </c>
      <c r="G129" s="18" t="s">
        <v>64</v>
      </c>
    </row>
    <row r="130" spans="3:11" x14ac:dyDescent="0.25">
      <c r="C130" s="18" t="s">
        <v>51</v>
      </c>
      <c r="D130" s="17">
        <v>33</v>
      </c>
      <c r="E130" s="17">
        <v>8</v>
      </c>
      <c r="F130" s="25">
        <f>100*E130/D130</f>
        <v>24.242424242424242</v>
      </c>
      <c r="G130" s="17">
        <v>1</v>
      </c>
    </row>
    <row r="131" spans="3:11" x14ac:dyDescent="0.25">
      <c r="D131" s="18" t="s">
        <v>65</v>
      </c>
      <c r="E131" s="18" t="s">
        <v>64</v>
      </c>
      <c r="F131" s="18" t="s">
        <v>66</v>
      </c>
      <c r="G131" s="18" t="s">
        <v>67</v>
      </c>
    </row>
    <row r="132" spans="3:11" x14ac:dyDescent="0.25">
      <c r="C132" s="18" t="s">
        <v>52</v>
      </c>
      <c r="D132" s="17">
        <v>18</v>
      </c>
      <c r="E132" s="17">
        <v>1</v>
      </c>
      <c r="F132" s="25">
        <f>100*(D132-E132)/D132</f>
        <v>94.444444444444443</v>
      </c>
      <c r="G132" s="17">
        <v>3</v>
      </c>
    </row>
    <row r="136" spans="3:11" x14ac:dyDescent="0.25">
      <c r="C136" s="36" t="s">
        <v>60</v>
      </c>
      <c r="D136" s="104" t="s">
        <v>589</v>
      </c>
      <c r="E136" s="104"/>
    </row>
    <row r="138" spans="3:11" x14ac:dyDescent="0.25">
      <c r="D138" s="18" t="s">
        <v>1</v>
      </c>
      <c r="E138" s="18" t="s">
        <v>53</v>
      </c>
      <c r="F138" s="18" t="s">
        <v>54</v>
      </c>
      <c r="G138" s="18" t="s">
        <v>55</v>
      </c>
      <c r="H138" s="18" t="s">
        <v>4</v>
      </c>
      <c r="I138" s="18" t="s">
        <v>56</v>
      </c>
      <c r="J138" s="18" t="s">
        <v>57</v>
      </c>
      <c r="K138" s="18" t="s">
        <v>58</v>
      </c>
    </row>
    <row r="139" spans="3:11" x14ac:dyDescent="0.25">
      <c r="C139" s="18" t="s">
        <v>50</v>
      </c>
      <c r="D139" s="17">
        <v>18</v>
      </c>
      <c r="E139" s="17">
        <v>12</v>
      </c>
      <c r="F139" s="17">
        <v>1</v>
      </c>
      <c r="G139" s="17">
        <v>5</v>
      </c>
      <c r="H139" s="17">
        <v>37</v>
      </c>
      <c r="I139" s="17">
        <v>106</v>
      </c>
      <c r="J139" s="17">
        <v>68</v>
      </c>
      <c r="K139" s="17">
        <v>38</v>
      </c>
    </row>
    <row r="140" spans="3:11" x14ac:dyDescent="0.25">
      <c r="D140" s="18" t="s">
        <v>61</v>
      </c>
      <c r="E140" s="18" t="s">
        <v>68</v>
      </c>
      <c r="F140" s="18" t="s">
        <v>63</v>
      </c>
      <c r="G140" s="18" t="s">
        <v>64</v>
      </c>
    </row>
    <row r="141" spans="3:11" x14ac:dyDescent="0.25">
      <c r="C141" s="18" t="s">
        <v>51</v>
      </c>
      <c r="D141" s="17">
        <v>20</v>
      </c>
      <c r="E141" s="17">
        <v>3</v>
      </c>
      <c r="F141" s="25">
        <f>100*E141/D141</f>
        <v>15</v>
      </c>
      <c r="G141" s="17">
        <v>0</v>
      </c>
    </row>
    <row r="142" spans="3:11" x14ac:dyDescent="0.25">
      <c r="D142" s="18" t="s">
        <v>65</v>
      </c>
      <c r="E142" s="18" t="s">
        <v>64</v>
      </c>
      <c r="F142" s="18" t="s">
        <v>66</v>
      </c>
      <c r="G142" s="18" t="s">
        <v>67</v>
      </c>
    </row>
    <row r="143" spans="3:11" x14ac:dyDescent="0.25">
      <c r="C143" s="18" t="s">
        <v>52</v>
      </c>
      <c r="D143" s="17">
        <v>29</v>
      </c>
      <c r="E143" s="17">
        <v>4</v>
      </c>
      <c r="F143" s="25">
        <f>100*(D143-E143)/D143</f>
        <v>86.206896551724142</v>
      </c>
      <c r="G143" s="17">
        <v>7</v>
      </c>
    </row>
    <row r="147" spans="3:11" x14ac:dyDescent="0.25">
      <c r="C147" s="36" t="s">
        <v>59</v>
      </c>
      <c r="D147" s="104" t="s">
        <v>588</v>
      </c>
      <c r="E147" s="104"/>
    </row>
    <row r="149" spans="3:11" x14ac:dyDescent="0.25">
      <c r="D149" s="18" t="s">
        <v>1</v>
      </c>
      <c r="E149" s="18" t="s">
        <v>53</v>
      </c>
      <c r="F149" s="18" t="s">
        <v>54</v>
      </c>
      <c r="G149" s="18" t="s">
        <v>55</v>
      </c>
      <c r="H149" s="18" t="s">
        <v>4</v>
      </c>
      <c r="I149" s="18" t="s">
        <v>56</v>
      </c>
      <c r="J149" s="18" t="s">
        <v>57</v>
      </c>
      <c r="K149" s="18" t="s">
        <v>58</v>
      </c>
    </row>
    <row r="150" spans="3:11" x14ac:dyDescent="0.25">
      <c r="C150" s="18" t="s">
        <v>50</v>
      </c>
      <c r="D150" s="17">
        <v>20</v>
      </c>
      <c r="E150" s="17">
        <v>14</v>
      </c>
      <c r="F150" s="17">
        <v>0</v>
      </c>
      <c r="G150" s="17">
        <v>6</v>
      </c>
      <c r="H150" s="17">
        <v>42</v>
      </c>
      <c r="I150" s="17">
        <v>116</v>
      </c>
      <c r="J150" s="17">
        <v>59</v>
      </c>
      <c r="K150" s="17">
        <v>57</v>
      </c>
    </row>
    <row r="151" spans="3:11" x14ac:dyDescent="0.25">
      <c r="D151" s="18" t="s">
        <v>61</v>
      </c>
      <c r="E151" s="18" t="s">
        <v>68</v>
      </c>
      <c r="F151" s="18" t="s">
        <v>63</v>
      </c>
      <c r="G151" s="18" t="s">
        <v>64</v>
      </c>
    </row>
    <row r="152" spans="3:11" x14ac:dyDescent="0.25">
      <c r="C152" s="18" t="s">
        <v>51</v>
      </c>
      <c r="D152" s="17">
        <v>28</v>
      </c>
      <c r="E152" s="17">
        <v>9</v>
      </c>
      <c r="F152" s="25">
        <f>100*E152/D152</f>
        <v>32.142857142857146</v>
      </c>
      <c r="G152" s="17">
        <v>3</v>
      </c>
    </row>
    <row r="153" spans="3:11" x14ac:dyDescent="0.25">
      <c r="D153" s="18" t="s">
        <v>65</v>
      </c>
      <c r="E153" s="18" t="s">
        <v>64</v>
      </c>
      <c r="F153" s="18" t="s">
        <v>66</v>
      </c>
      <c r="G153" s="18" t="s">
        <v>67</v>
      </c>
    </row>
    <row r="154" spans="3:11" x14ac:dyDescent="0.25">
      <c r="C154" s="18" t="s">
        <v>52</v>
      </c>
      <c r="D154" s="17">
        <v>28</v>
      </c>
      <c r="E154" s="17">
        <v>4</v>
      </c>
      <c r="F154" s="25">
        <f>100*(D154-E154)/D154</f>
        <v>85.714285714285708</v>
      </c>
      <c r="G154" s="17">
        <v>2</v>
      </c>
    </row>
    <row r="158" spans="3:11" x14ac:dyDescent="0.25">
      <c r="C158" s="36" t="s">
        <v>49</v>
      </c>
      <c r="D158" s="102" t="s">
        <v>587</v>
      </c>
      <c r="E158" s="102"/>
    </row>
    <row r="160" spans="3:11" x14ac:dyDescent="0.25">
      <c r="D160" s="18" t="s">
        <v>1</v>
      </c>
      <c r="E160" s="18" t="s">
        <v>53</v>
      </c>
      <c r="F160" s="18" t="s">
        <v>54</v>
      </c>
      <c r="G160" s="18" t="s">
        <v>55</v>
      </c>
      <c r="H160" s="18" t="s">
        <v>4</v>
      </c>
      <c r="I160" s="18" t="s">
        <v>56</v>
      </c>
      <c r="J160" s="18" t="s">
        <v>57</v>
      </c>
      <c r="K160" s="18" t="s">
        <v>58</v>
      </c>
    </row>
    <row r="161" spans="3:11" x14ac:dyDescent="0.25">
      <c r="C161" s="18" t="s">
        <v>50</v>
      </c>
      <c r="D161" s="17">
        <v>18</v>
      </c>
      <c r="E161" s="17">
        <v>1</v>
      </c>
      <c r="F161" s="17">
        <v>2</v>
      </c>
      <c r="G161" s="17">
        <v>15</v>
      </c>
      <c r="H161" s="17">
        <v>5</v>
      </c>
      <c r="I161" s="17">
        <v>54</v>
      </c>
      <c r="J161" s="17">
        <v>134</v>
      </c>
      <c r="K161" s="17">
        <v>-80</v>
      </c>
    </row>
    <row r="162" spans="3:11" x14ac:dyDescent="0.25">
      <c r="D162" s="18" t="s">
        <v>61</v>
      </c>
      <c r="E162" s="18" t="s">
        <v>62</v>
      </c>
      <c r="F162" s="18" t="s">
        <v>63</v>
      </c>
      <c r="G162" s="18" t="s">
        <v>64</v>
      </c>
    </row>
    <row r="163" spans="3:11" x14ac:dyDescent="0.25">
      <c r="C163" s="18" t="s">
        <v>51</v>
      </c>
      <c r="D163" s="17">
        <v>21</v>
      </c>
      <c r="E163" s="17">
        <v>6</v>
      </c>
      <c r="F163" s="25">
        <f>100*E163/D163</f>
        <v>28.571428571428573</v>
      </c>
      <c r="G163" s="17">
        <v>4</v>
      </c>
    </row>
    <row r="164" spans="3:11" x14ac:dyDescent="0.25">
      <c r="D164" s="18" t="s">
        <v>65</v>
      </c>
      <c r="E164" s="18" t="s">
        <v>64</v>
      </c>
      <c r="F164" s="18" t="s">
        <v>66</v>
      </c>
      <c r="G164" s="18" t="s">
        <v>67</v>
      </c>
    </row>
    <row r="165" spans="3:11" x14ac:dyDescent="0.25">
      <c r="C165" s="18" t="s">
        <v>52</v>
      </c>
      <c r="D165" s="17">
        <v>32</v>
      </c>
      <c r="E165" s="17">
        <v>14</v>
      </c>
      <c r="F165" s="17">
        <f>100-(100*E165/D165)</f>
        <v>56.25</v>
      </c>
      <c r="G165" s="17">
        <v>0</v>
      </c>
    </row>
  </sheetData>
  <mergeCells count="37">
    <mergeCell ref="D4:E4"/>
    <mergeCell ref="C5:F5"/>
    <mergeCell ref="O14:S14"/>
    <mergeCell ref="O16:S16"/>
    <mergeCell ref="O26:S26"/>
    <mergeCell ref="O17:S17"/>
    <mergeCell ref="D15:E15"/>
    <mergeCell ref="C16:F16"/>
    <mergeCell ref="O13:S13"/>
    <mergeCell ref="O18:S18"/>
    <mergeCell ref="O19:S19"/>
    <mergeCell ref="O20:S20"/>
    <mergeCell ref="O21:S21"/>
    <mergeCell ref="O22:S22"/>
    <mergeCell ref="O15:S15"/>
    <mergeCell ref="O28:S28"/>
    <mergeCell ref="D26:E26"/>
    <mergeCell ref="C27:F27"/>
    <mergeCell ref="O23:S23"/>
    <mergeCell ref="O24:S24"/>
    <mergeCell ref="O25:S25"/>
    <mergeCell ref="O27:S27"/>
    <mergeCell ref="C38:F38"/>
    <mergeCell ref="O29:S29"/>
    <mergeCell ref="D48:E48"/>
    <mergeCell ref="D147:E147"/>
    <mergeCell ref="D37:E37"/>
    <mergeCell ref="O30:S30"/>
    <mergeCell ref="D158:E158"/>
    <mergeCell ref="D59:E59"/>
    <mergeCell ref="D70:E70"/>
    <mergeCell ref="D81:E81"/>
    <mergeCell ref="D92:E92"/>
    <mergeCell ref="D103:E103"/>
    <mergeCell ref="D114:E114"/>
    <mergeCell ref="D125:E125"/>
    <mergeCell ref="D136:E136"/>
  </mergeCells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3:Y154"/>
  <sheetViews>
    <sheetView zoomScale="80" zoomScaleNormal="80" workbookViewId="0">
      <selection activeCell="Z31" sqref="Z31"/>
    </sheetView>
  </sheetViews>
  <sheetFormatPr defaultRowHeight="15" x14ac:dyDescent="0.25"/>
  <cols>
    <col min="3" max="3" width="10.85546875" style="17" bestFit="1" customWidth="1"/>
    <col min="4" max="4" width="18.5703125" style="17" customWidth="1"/>
    <col min="5" max="5" width="16.7109375" style="17" customWidth="1"/>
    <col min="6" max="6" width="22.42578125" style="17" customWidth="1"/>
    <col min="7" max="7" width="17.140625" style="17" customWidth="1"/>
    <col min="8" max="13" width="9.140625" style="17"/>
    <col min="14" max="14" width="11.42578125" customWidth="1"/>
    <col min="15" max="15" width="10.7109375" customWidth="1"/>
    <col min="16" max="16" width="17.5703125" style="17" customWidth="1"/>
    <col min="17" max="17" width="17.140625" style="17" customWidth="1"/>
    <col min="18" max="18" width="20.7109375" style="17" customWidth="1"/>
    <col min="19" max="19" width="17.28515625" style="17" customWidth="1"/>
    <col min="20" max="25" width="9.140625" style="17"/>
  </cols>
  <sheetData>
    <row r="3" spans="3:25" x14ac:dyDescent="0.25">
      <c r="O3" s="17"/>
    </row>
    <row r="4" spans="3:25" x14ac:dyDescent="0.25">
      <c r="C4" s="36" t="s">
        <v>1643</v>
      </c>
      <c r="D4" s="103"/>
      <c r="E4" s="103"/>
      <c r="O4" s="36" t="s">
        <v>69</v>
      </c>
    </row>
    <row r="5" spans="3:25" x14ac:dyDescent="0.25">
      <c r="C5" s="103"/>
      <c r="D5" s="103"/>
      <c r="E5" s="103"/>
      <c r="F5" s="103"/>
      <c r="G5" s="103"/>
      <c r="O5" s="17"/>
    </row>
    <row r="6" spans="3:25" x14ac:dyDescent="0.25">
      <c r="D6" s="18" t="s">
        <v>1</v>
      </c>
      <c r="E6" s="18" t="s">
        <v>53</v>
      </c>
      <c r="F6" s="18" t="s">
        <v>287</v>
      </c>
      <c r="G6" s="18" t="s">
        <v>288</v>
      </c>
      <c r="H6" s="18" t="s">
        <v>55</v>
      </c>
      <c r="I6" s="18" t="s">
        <v>4</v>
      </c>
      <c r="J6" s="18" t="s">
        <v>56</v>
      </c>
      <c r="K6" s="18" t="s">
        <v>57</v>
      </c>
      <c r="L6" s="18" t="s">
        <v>58</v>
      </c>
      <c r="O6" s="17"/>
      <c r="P6" s="18" t="s">
        <v>1</v>
      </c>
      <c r="Q6" s="18" t="s">
        <v>53</v>
      </c>
      <c r="R6" s="18" t="s">
        <v>287</v>
      </c>
      <c r="S6" s="18" t="s">
        <v>54</v>
      </c>
      <c r="T6" s="18" t="s">
        <v>288</v>
      </c>
      <c r="U6" s="18" t="s">
        <v>55</v>
      </c>
      <c r="V6" s="18" t="s">
        <v>4</v>
      </c>
      <c r="W6" s="18" t="s">
        <v>56</v>
      </c>
      <c r="X6" s="18" t="s">
        <v>57</v>
      </c>
      <c r="Y6" s="18" t="s">
        <v>58</v>
      </c>
    </row>
    <row r="7" spans="3:25" x14ac:dyDescent="0.25">
      <c r="C7" s="18" t="s">
        <v>50</v>
      </c>
      <c r="D7" s="17">
        <v>6</v>
      </c>
      <c r="E7" s="17">
        <v>4</v>
      </c>
      <c r="F7" s="17">
        <v>0</v>
      </c>
      <c r="G7" s="17">
        <v>0</v>
      </c>
      <c r="H7" s="17">
        <v>2</v>
      </c>
      <c r="I7" s="17">
        <f>E7*3+F7*2+G7</f>
        <v>12</v>
      </c>
      <c r="J7" s="17">
        <v>26</v>
      </c>
      <c r="K7" s="17">
        <v>20</v>
      </c>
      <c r="L7" s="17">
        <f>J7-K7</f>
        <v>6</v>
      </c>
      <c r="O7" s="18" t="s">
        <v>50</v>
      </c>
      <c r="P7" s="17">
        <f>D150+D139+D128+D117+D106+D95+D84+D73+D62+D51+D40+D29+D18+D7</f>
        <v>248</v>
      </c>
      <c r="Q7" s="17">
        <f>E150+E139+E128+E117+E106+E95+E84+E73+E62+E51+E40+E29+E18+E7</f>
        <v>95</v>
      </c>
      <c r="R7" s="17">
        <f>F62+F51+F40+F29+F18+F7</f>
        <v>3</v>
      </c>
      <c r="S7" s="17">
        <f>F150+F139+F128+F117+F106+F95+F84+F73+G62+G51+G40</f>
        <v>16</v>
      </c>
      <c r="T7" s="17">
        <f>H62+H51+H40+G29+G18+G7</f>
        <v>7</v>
      </c>
      <c r="U7" s="17">
        <f>G150+G139+G128+G117+G106+G95+G84+G73+I62+I51+I40+H29+H18+H7</f>
        <v>127</v>
      </c>
      <c r="V7" s="17">
        <f>(3*Q7)+(2*R7)+S7+T7</f>
        <v>314</v>
      </c>
      <c r="W7" s="17">
        <f>I150+I139+I128+I117+I106+I95+I84+I73+K62+K51+K40+J29+J18+J7</f>
        <v>972</v>
      </c>
      <c r="X7" s="17">
        <f>J150+J139+J128+J117+J106+J95+J84+J73+L62+L51+L40+K29+K18+K7</f>
        <v>1218</v>
      </c>
      <c r="Y7" s="17">
        <f>W7-X7</f>
        <v>-246</v>
      </c>
    </row>
    <row r="8" spans="3:25" x14ac:dyDescent="0.25">
      <c r="D8" s="18" t="s">
        <v>61</v>
      </c>
      <c r="E8" s="18" t="s">
        <v>68</v>
      </c>
      <c r="F8" s="18" t="s">
        <v>63</v>
      </c>
      <c r="G8" s="18" t="s">
        <v>64</v>
      </c>
      <c r="O8" s="17"/>
      <c r="P8" s="18" t="s">
        <v>61</v>
      </c>
      <c r="Q8" s="18" t="s">
        <v>68</v>
      </c>
      <c r="R8" s="18" t="s">
        <v>63</v>
      </c>
      <c r="S8" s="18" t="s">
        <v>64</v>
      </c>
    </row>
    <row r="9" spans="3:25" x14ac:dyDescent="0.25">
      <c r="C9" s="18" t="s">
        <v>51</v>
      </c>
      <c r="D9" s="17">
        <v>6</v>
      </c>
      <c r="E9" s="17">
        <v>0</v>
      </c>
      <c r="F9" s="25">
        <f>E9*100/D9</f>
        <v>0</v>
      </c>
      <c r="G9" s="17">
        <v>0</v>
      </c>
      <c r="O9" s="18" t="s">
        <v>51</v>
      </c>
      <c r="P9" s="17">
        <f>D152+D141+D130+D119+D108+D97+D86+D75+D64+D53+D42+D31+D20+D9</f>
        <v>278</v>
      </c>
      <c r="Q9" s="17">
        <f>E152+E141+E130+E119+E108+E97+E86+E75+E64+E53+E42+E31+E20+E9</f>
        <v>69</v>
      </c>
      <c r="R9" s="25">
        <f>Q9*100/P9</f>
        <v>24.820143884892087</v>
      </c>
      <c r="S9" s="17">
        <f>G152+G141+G130+G119+G108+G97+G86+G75+G64+G53+G42+G31+G20+G9</f>
        <v>26</v>
      </c>
    </row>
    <row r="10" spans="3:25" x14ac:dyDescent="0.25">
      <c r="D10" s="18" t="s">
        <v>65</v>
      </c>
      <c r="E10" s="18" t="s">
        <v>64</v>
      </c>
      <c r="F10" s="18" t="s">
        <v>66</v>
      </c>
      <c r="G10" s="18" t="s">
        <v>67</v>
      </c>
      <c r="O10" s="17"/>
      <c r="P10" s="18" t="s">
        <v>65</v>
      </c>
      <c r="Q10" s="18" t="s">
        <v>64</v>
      </c>
      <c r="R10" s="18" t="s">
        <v>66</v>
      </c>
      <c r="S10" s="18" t="s">
        <v>67</v>
      </c>
    </row>
    <row r="11" spans="3:25" x14ac:dyDescent="0.25">
      <c r="C11" s="18" t="s">
        <v>52</v>
      </c>
      <c r="D11" s="17">
        <v>6</v>
      </c>
      <c r="E11" s="17">
        <v>2</v>
      </c>
      <c r="F11" s="25">
        <f>100-E11*100/D11</f>
        <v>66.666666666666657</v>
      </c>
      <c r="G11" s="17">
        <v>1</v>
      </c>
      <c r="O11" s="18" t="s">
        <v>52</v>
      </c>
      <c r="P11" s="17">
        <f>D154+D143+D132+D121+D110+D99+D88+D77+D66+D55+D44+D33+D22+D11</f>
        <v>266</v>
      </c>
      <c r="Q11" s="17">
        <f>E154+E143+E132+E121+E110+E99+E88+E77+E66+E55+E44+E33+E22+E11</f>
        <v>82</v>
      </c>
      <c r="R11" s="25">
        <f>100-(Q11*100/P11)</f>
        <v>69.172932330827066</v>
      </c>
      <c r="S11" s="17">
        <f>G154+G143+G132+G121+G110+G99+G88+G77+G66+G55+G44+G33+G22+G11</f>
        <v>25</v>
      </c>
    </row>
    <row r="13" spans="3:25" x14ac:dyDescent="0.25">
      <c r="O13" s="106" t="s">
        <v>586</v>
      </c>
      <c r="P13" s="106"/>
      <c r="Q13" s="106"/>
      <c r="R13" s="106"/>
      <c r="S13" s="106"/>
    </row>
    <row r="14" spans="3:25" x14ac:dyDescent="0.25">
      <c r="O14" s="106" t="s">
        <v>72</v>
      </c>
      <c r="P14" s="106"/>
      <c r="Q14" s="106"/>
      <c r="R14" s="106"/>
      <c r="S14" s="106"/>
    </row>
    <row r="15" spans="3:25" x14ac:dyDescent="0.25">
      <c r="C15" s="36" t="s">
        <v>1389</v>
      </c>
      <c r="D15" s="103"/>
      <c r="E15" s="103"/>
      <c r="O15" s="106" t="s">
        <v>79</v>
      </c>
      <c r="P15" s="106"/>
      <c r="Q15" s="106"/>
      <c r="R15" s="106"/>
      <c r="S15" s="106"/>
    </row>
    <row r="16" spans="3:25" x14ac:dyDescent="0.25">
      <c r="C16" s="103"/>
      <c r="D16" s="103"/>
      <c r="E16" s="103"/>
      <c r="F16" s="103"/>
      <c r="G16" s="103"/>
      <c r="O16" s="106" t="s">
        <v>213</v>
      </c>
      <c r="P16" s="106"/>
      <c r="Q16" s="106"/>
      <c r="R16" s="106"/>
      <c r="S16" s="106"/>
    </row>
    <row r="17" spans="3:19" x14ac:dyDescent="0.25">
      <c r="D17" s="18" t="s">
        <v>1</v>
      </c>
      <c r="E17" s="18" t="s">
        <v>53</v>
      </c>
      <c r="F17" s="18" t="s">
        <v>287</v>
      </c>
      <c r="G17" s="18" t="s">
        <v>288</v>
      </c>
      <c r="H17" s="18" t="s">
        <v>55</v>
      </c>
      <c r="I17" s="18" t="s">
        <v>4</v>
      </c>
      <c r="J17" s="18" t="s">
        <v>56</v>
      </c>
      <c r="K17" s="18" t="s">
        <v>57</v>
      </c>
      <c r="L17" s="18" t="s">
        <v>58</v>
      </c>
      <c r="O17" s="106" t="s">
        <v>259</v>
      </c>
      <c r="P17" s="106"/>
      <c r="Q17" s="106"/>
      <c r="R17" s="106"/>
      <c r="S17" s="106"/>
    </row>
    <row r="18" spans="3:19" x14ac:dyDescent="0.25">
      <c r="C18" s="18" t="s">
        <v>50</v>
      </c>
      <c r="D18" s="17">
        <v>20</v>
      </c>
      <c r="E18" s="17">
        <v>5</v>
      </c>
      <c r="F18" s="17">
        <v>0</v>
      </c>
      <c r="G18" s="17">
        <v>2</v>
      </c>
      <c r="H18" s="17">
        <v>13</v>
      </c>
      <c r="I18" s="17">
        <f>E18*3+F18*2+G18</f>
        <v>17</v>
      </c>
      <c r="J18" s="17">
        <v>57</v>
      </c>
      <c r="K18" s="17">
        <v>127</v>
      </c>
      <c r="L18" s="17">
        <f>J18-K18</f>
        <v>-70</v>
      </c>
      <c r="O18" s="106" t="s">
        <v>325</v>
      </c>
      <c r="P18" s="106"/>
      <c r="Q18" s="106"/>
      <c r="R18" s="106"/>
      <c r="S18" s="106"/>
    </row>
    <row r="19" spans="3:19" x14ac:dyDescent="0.25">
      <c r="D19" s="18" t="s">
        <v>61</v>
      </c>
      <c r="E19" s="18" t="s">
        <v>68</v>
      </c>
      <c r="F19" s="18" t="s">
        <v>63</v>
      </c>
      <c r="G19" s="18" t="s">
        <v>64</v>
      </c>
      <c r="O19" s="106" t="s">
        <v>382</v>
      </c>
      <c r="P19" s="106"/>
      <c r="Q19" s="106"/>
      <c r="R19" s="106"/>
      <c r="S19" s="106"/>
    </row>
    <row r="20" spans="3:19" x14ac:dyDescent="0.25">
      <c r="C20" s="18" t="s">
        <v>51</v>
      </c>
      <c r="D20" s="17">
        <v>21</v>
      </c>
      <c r="E20" s="17">
        <v>5</v>
      </c>
      <c r="F20" s="25">
        <f>E20*100/D20</f>
        <v>23.80952380952381</v>
      </c>
      <c r="G20" s="17">
        <v>5</v>
      </c>
      <c r="O20" s="106" t="s">
        <v>767</v>
      </c>
      <c r="P20" s="106"/>
      <c r="Q20" s="106"/>
      <c r="R20" s="106"/>
      <c r="S20" s="106"/>
    </row>
    <row r="21" spans="3:19" x14ac:dyDescent="0.25">
      <c r="D21" s="18" t="s">
        <v>65</v>
      </c>
      <c r="E21" s="18" t="s">
        <v>64</v>
      </c>
      <c r="F21" s="18" t="s">
        <v>66</v>
      </c>
      <c r="G21" s="18" t="s">
        <v>67</v>
      </c>
      <c r="O21" s="107" t="s">
        <v>1143</v>
      </c>
      <c r="P21" s="107"/>
      <c r="Q21" s="107"/>
      <c r="R21" s="107"/>
      <c r="S21" s="107"/>
    </row>
    <row r="22" spans="3:19" x14ac:dyDescent="0.25">
      <c r="C22" s="18" t="s">
        <v>52</v>
      </c>
      <c r="D22" s="17">
        <v>15</v>
      </c>
      <c r="E22" s="17">
        <v>6</v>
      </c>
      <c r="F22" s="25">
        <f>100-E22*100/D22</f>
        <v>60</v>
      </c>
      <c r="G22" s="17">
        <v>1</v>
      </c>
      <c r="O22" s="105" t="s">
        <v>1489</v>
      </c>
      <c r="P22" s="105"/>
      <c r="Q22" s="105"/>
      <c r="R22" s="105"/>
      <c r="S22" s="105"/>
    </row>
    <row r="23" spans="3:19" x14ac:dyDescent="0.25">
      <c r="O23" s="105" t="s">
        <v>1507</v>
      </c>
      <c r="P23" s="105"/>
      <c r="Q23" s="105"/>
      <c r="R23" s="105"/>
      <c r="S23" s="105"/>
    </row>
    <row r="26" spans="3:19" x14ac:dyDescent="0.25">
      <c r="C26" s="36" t="s">
        <v>1154</v>
      </c>
      <c r="D26" s="103" t="s">
        <v>598</v>
      </c>
      <c r="E26" s="103"/>
    </row>
    <row r="27" spans="3:19" x14ac:dyDescent="0.25">
      <c r="C27" s="103" t="s">
        <v>1247</v>
      </c>
      <c r="D27" s="103"/>
      <c r="E27" s="103"/>
      <c r="F27" s="103"/>
      <c r="G27" s="103"/>
    </row>
    <row r="28" spans="3:19" x14ac:dyDescent="0.25">
      <c r="D28" s="18" t="s">
        <v>1</v>
      </c>
      <c r="E28" s="18" t="s">
        <v>53</v>
      </c>
      <c r="F28" s="18" t="s">
        <v>287</v>
      </c>
      <c r="G28" s="18" t="s">
        <v>288</v>
      </c>
      <c r="H28" s="18" t="s">
        <v>55</v>
      </c>
      <c r="I28" s="18" t="s">
        <v>4</v>
      </c>
      <c r="J28" s="18" t="s">
        <v>56</v>
      </c>
      <c r="K28" s="18" t="s">
        <v>57</v>
      </c>
      <c r="L28" s="18" t="s">
        <v>58</v>
      </c>
    </row>
    <row r="29" spans="3:19" x14ac:dyDescent="0.25">
      <c r="C29" s="18" t="s">
        <v>50</v>
      </c>
      <c r="D29" s="17">
        <v>20</v>
      </c>
      <c r="E29" s="17">
        <v>9</v>
      </c>
      <c r="F29" s="17">
        <v>1</v>
      </c>
      <c r="G29" s="17">
        <v>1</v>
      </c>
      <c r="H29" s="17">
        <v>9</v>
      </c>
      <c r="I29" s="17">
        <f>E29*3+F29*2+G29</f>
        <v>30</v>
      </c>
      <c r="J29" s="17">
        <v>84</v>
      </c>
      <c r="K29" s="17">
        <v>104</v>
      </c>
      <c r="L29" s="17">
        <f>J29-K29</f>
        <v>-20</v>
      </c>
    </row>
    <row r="30" spans="3:19" x14ac:dyDescent="0.25">
      <c r="D30" s="18" t="s">
        <v>61</v>
      </c>
      <c r="E30" s="18" t="s">
        <v>68</v>
      </c>
      <c r="F30" s="18" t="s">
        <v>63</v>
      </c>
      <c r="G30" s="18" t="s">
        <v>64</v>
      </c>
    </row>
    <row r="31" spans="3:19" x14ac:dyDescent="0.25">
      <c r="C31" s="18" t="s">
        <v>51</v>
      </c>
      <c r="D31" s="17">
        <v>20</v>
      </c>
      <c r="E31" s="17">
        <v>9</v>
      </c>
      <c r="F31" s="25">
        <f>E31*100/D31</f>
        <v>45</v>
      </c>
      <c r="G31" s="17">
        <v>3</v>
      </c>
    </row>
    <row r="32" spans="3:19" x14ac:dyDescent="0.25">
      <c r="D32" s="18" t="s">
        <v>65</v>
      </c>
      <c r="E32" s="18" t="s">
        <v>64</v>
      </c>
      <c r="F32" s="18" t="s">
        <v>66</v>
      </c>
      <c r="G32" s="18" t="s">
        <v>67</v>
      </c>
    </row>
    <row r="33" spans="3:13" x14ac:dyDescent="0.25">
      <c r="C33" s="18" t="s">
        <v>52</v>
      </c>
      <c r="D33" s="17">
        <v>19</v>
      </c>
      <c r="E33" s="17">
        <v>5</v>
      </c>
      <c r="F33" s="25">
        <f>100-E33*100/D33</f>
        <v>73.684210526315795</v>
      </c>
      <c r="G33" s="17">
        <v>2</v>
      </c>
    </row>
    <row r="37" spans="3:13" x14ac:dyDescent="0.25">
      <c r="C37" s="36" t="s">
        <v>473</v>
      </c>
      <c r="D37" s="103" t="s">
        <v>1155</v>
      </c>
      <c r="E37" s="103"/>
    </row>
    <row r="39" spans="3:13" x14ac:dyDescent="0.25">
      <c r="D39" s="18" t="s">
        <v>1</v>
      </c>
      <c r="E39" s="18" t="s">
        <v>53</v>
      </c>
      <c r="F39" s="18" t="s">
        <v>287</v>
      </c>
      <c r="G39" s="18" t="s">
        <v>54</v>
      </c>
      <c r="H39" s="18" t="s">
        <v>288</v>
      </c>
      <c r="I39" s="18" t="s">
        <v>55</v>
      </c>
      <c r="J39" s="18" t="s">
        <v>4</v>
      </c>
      <c r="K39" s="18" t="s">
        <v>56</v>
      </c>
      <c r="L39" s="18" t="s">
        <v>57</v>
      </c>
      <c r="M39" s="18" t="s">
        <v>58</v>
      </c>
    </row>
    <row r="40" spans="3:13" x14ac:dyDescent="0.25">
      <c r="C40" s="18" t="s">
        <v>50</v>
      </c>
      <c r="D40" s="17">
        <v>20</v>
      </c>
      <c r="E40" s="17">
        <v>12</v>
      </c>
      <c r="F40" s="17">
        <v>1</v>
      </c>
      <c r="G40" s="17">
        <v>0</v>
      </c>
      <c r="H40" s="17">
        <v>3</v>
      </c>
      <c r="I40" s="17">
        <v>4</v>
      </c>
      <c r="J40" s="17">
        <f>E40*3+F40*2+G40+H40</f>
        <v>41</v>
      </c>
      <c r="K40" s="17">
        <v>106</v>
      </c>
      <c r="L40" s="17">
        <v>66</v>
      </c>
      <c r="M40" s="17">
        <f>K40-L40</f>
        <v>40</v>
      </c>
    </row>
    <row r="41" spans="3:13" x14ac:dyDescent="0.25">
      <c r="D41" s="18" t="s">
        <v>61</v>
      </c>
      <c r="E41" s="18" t="s">
        <v>68</v>
      </c>
      <c r="F41" s="18" t="s">
        <v>63</v>
      </c>
      <c r="G41" s="18" t="s">
        <v>64</v>
      </c>
    </row>
    <row r="42" spans="3:13" x14ac:dyDescent="0.25">
      <c r="C42" s="18" t="s">
        <v>51</v>
      </c>
      <c r="D42" s="17">
        <v>31</v>
      </c>
      <c r="E42" s="17">
        <v>12</v>
      </c>
      <c r="F42" s="25">
        <f>E42*100/D42</f>
        <v>38.70967741935484</v>
      </c>
      <c r="G42" s="17">
        <v>2</v>
      </c>
    </row>
    <row r="43" spans="3:13" x14ac:dyDescent="0.25">
      <c r="D43" s="18" t="s">
        <v>65</v>
      </c>
      <c r="E43" s="18" t="s">
        <v>64</v>
      </c>
      <c r="F43" s="18" t="s">
        <v>66</v>
      </c>
      <c r="G43" s="18" t="s">
        <v>67</v>
      </c>
    </row>
    <row r="44" spans="3:13" x14ac:dyDescent="0.25">
      <c r="C44" s="18" t="s">
        <v>52</v>
      </c>
      <c r="D44" s="17">
        <v>16</v>
      </c>
      <c r="E44" s="17">
        <v>6</v>
      </c>
      <c r="F44" s="25">
        <f>100-E44*100/D44</f>
        <v>62.5</v>
      </c>
      <c r="G44" s="17">
        <v>1</v>
      </c>
    </row>
    <row r="48" spans="3:13" x14ac:dyDescent="0.25">
      <c r="C48" s="36" t="s">
        <v>403</v>
      </c>
      <c r="D48" s="104" t="s">
        <v>600</v>
      </c>
      <c r="E48" s="104"/>
    </row>
    <row r="50" spans="3:13" x14ac:dyDescent="0.25">
      <c r="D50" s="18" t="s">
        <v>1</v>
      </c>
      <c r="E50" s="18" t="s">
        <v>53</v>
      </c>
      <c r="F50" s="18" t="s">
        <v>287</v>
      </c>
      <c r="G50" s="18" t="s">
        <v>54</v>
      </c>
      <c r="H50" s="18" t="s">
        <v>288</v>
      </c>
      <c r="I50" s="18" t="s">
        <v>55</v>
      </c>
      <c r="J50" s="18" t="s">
        <v>4</v>
      </c>
      <c r="K50" s="18" t="s">
        <v>56</v>
      </c>
      <c r="L50" s="18" t="s">
        <v>57</v>
      </c>
      <c r="M50" s="18" t="s">
        <v>58</v>
      </c>
    </row>
    <row r="51" spans="3:13" x14ac:dyDescent="0.25">
      <c r="C51" s="18" t="s">
        <v>50</v>
      </c>
      <c r="D51" s="17">
        <v>20</v>
      </c>
      <c r="E51" s="17">
        <v>8</v>
      </c>
      <c r="F51" s="17">
        <v>1</v>
      </c>
      <c r="G51" s="17">
        <v>0</v>
      </c>
      <c r="H51" s="17">
        <v>0</v>
      </c>
      <c r="I51" s="17">
        <v>11</v>
      </c>
      <c r="J51" s="17">
        <f>E51*3+F51*2+G51+H51</f>
        <v>26</v>
      </c>
      <c r="K51" s="17">
        <v>67</v>
      </c>
      <c r="L51" s="17">
        <v>69</v>
      </c>
      <c r="M51" s="17">
        <f>K51-L51</f>
        <v>-2</v>
      </c>
    </row>
    <row r="52" spans="3:13" x14ac:dyDescent="0.25">
      <c r="D52" s="18" t="s">
        <v>61</v>
      </c>
      <c r="E52" s="18" t="s">
        <v>68</v>
      </c>
      <c r="F52" s="18" t="s">
        <v>63</v>
      </c>
      <c r="G52" s="18" t="s">
        <v>64</v>
      </c>
    </row>
    <row r="53" spans="3:13" x14ac:dyDescent="0.25">
      <c r="C53" s="18" t="s">
        <v>51</v>
      </c>
      <c r="D53" s="17">
        <v>21</v>
      </c>
      <c r="E53" s="17">
        <v>3</v>
      </c>
      <c r="F53" s="25">
        <f>E53*100/D53</f>
        <v>14.285714285714286</v>
      </c>
      <c r="G53" s="17">
        <v>1</v>
      </c>
    </row>
    <row r="54" spans="3:13" x14ac:dyDescent="0.25">
      <c r="D54" s="18" t="s">
        <v>65</v>
      </c>
      <c r="E54" s="18" t="s">
        <v>64</v>
      </c>
      <c r="F54" s="18" t="s">
        <v>66</v>
      </c>
      <c r="G54" s="18" t="s">
        <v>67</v>
      </c>
    </row>
    <row r="55" spans="3:13" x14ac:dyDescent="0.25">
      <c r="C55" s="18" t="s">
        <v>52</v>
      </c>
      <c r="D55" s="17">
        <v>20</v>
      </c>
      <c r="E55" s="17">
        <v>6</v>
      </c>
      <c r="F55" s="25">
        <f>100-E55*100/D55</f>
        <v>70</v>
      </c>
      <c r="G55" s="17">
        <v>2</v>
      </c>
    </row>
    <row r="59" spans="3:13" x14ac:dyDescent="0.25">
      <c r="C59" s="36" t="s">
        <v>378</v>
      </c>
      <c r="D59" s="103" t="s">
        <v>718</v>
      </c>
      <c r="E59" s="103"/>
    </row>
    <row r="61" spans="3:13" x14ac:dyDescent="0.25">
      <c r="D61" s="18" t="s">
        <v>1</v>
      </c>
      <c r="E61" s="18" t="s">
        <v>53</v>
      </c>
      <c r="F61" s="18" t="s">
        <v>287</v>
      </c>
      <c r="G61" s="18" t="s">
        <v>54</v>
      </c>
      <c r="H61" s="18" t="s">
        <v>288</v>
      </c>
      <c r="I61" s="18" t="s">
        <v>55</v>
      </c>
      <c r="J61" s="18" t="s">
        <v>4</v>
      </c>
      <c r="K61" s="18" t="s">
        <v>56</v>
      </c>
      <c r="L61" s="18" t="s">
        <v>57</v>
      </c>
      <c r="M61" s="18" t="s">
        <v>58</v>
      </c>
    </row>
    <row r="62" spans="3:13" x14ac:dyDescent="0.25">
      <c r="C62" s="18" t="s">
        <v>50</v>
      </c>
      <c r="D62" s="17">
        <v>4</v>
      </c>
      <c r="E62" s="17">
        <v>1</v>
      </c>
      <c r="F62" s="17">
        <v>0</v>
      </c>
      <c r="G62" s="17">
        <v>0</v>
      </c>
      <c r="H62" s="17">
        <v>1</v>
      </c>
      <c r="I62" s="17">
        <v>2</v>
      </c>
      <c r="J62" s="17">
        <f>(3*E62)+(2*F62)+G62+H62</f>
        <v>4</v>
      </c>
      <c r="K62" s="17">
        <v>17</v>
      </c>
      <c r="L62" s="17">
        <v>21</v>
      </c>
      <c r="M62" s="17">
        <f>K62-L62</f>
        <v>-4</v>
      </c>
    </row>
    <row r="63" spans="3:13" x14ac:dyDescent="0.25">
      <c r="D63" s="18" t="s">
        <v>61</v>
      </c>
      <c r="E63" s="18" t="s">
        <v>68</v>
      </c>
      <c r="F63" s="18" t="s">
        <v>63</v>
      </c>
      <c r="G63" s="18" t="s">
        <v>64</v>
      </c>
    </row>
    <row r="64" spans="3:13" x14ac:dyDescent="0.25">
      <c r="C64" s="18" t="s">
        <v>51</v>
      </c>
      <c r="D64" s="17">
        <v>3</v>
      </c>
      <c r="E64" s="17">
        <v>1</v>
      </c>
      <c r="F64" s="25">
        <f>E64*100/D64</f>
        <v>33.333333333333336</v>
      </c>
      <c r="G64" s="17">
        <v>0</v>
      </c>
    </row>
    <row r="65" spans="3:11" x14ac:dyDescent="0.25">
      <c r="D65" s="18" t="s">
        <v>65</v>
      </c>
      <c r="E65" s="18" t="s">
        <v>64</v>
      </c>
      <c r="F65" s="18" t="s">
        <v>66</v>
      </c>
      <c r="G65" s="18" t="s">
        <v>67</v>
      </c>
    </row>
    <row r="66" spans="3:11" x14ac:dyDescent="0.25">
      <c r="C66" s="18" t="s">
        <v>52</v>
      </c>
      <c r="D66" s="17">
        <v>6</v>
      </c>
      <c r="E66" s="17">
        <v>1</v>
      </c>
      <c r="F66" s="25">
        <f>100-100*E66/D66</f>
        <v>83.333333333333329</v>
      </c>
      <c r="G66" s="17">
        <v>0</v>
      </c>
    </row>
    <row r="70" spans="3:11" x14ac:dyDescent="0.25">
      <c r="C70" s="36" t="s">
        <v>349</v>
      </c>
      <c r="D70" s="104" t="s">
        <v>719</v>
      </c>
      <c r="E70" s="104"/>
      <c r="F70" s="104"/>
    </row>
    <row r="72" spans="3:11" x14ac:dyDescent="0.25">
      <c r="D72" s="18" t="s">
        <v>1</v>
      </c>
      <c r="E72" s="18" t="s">
        <v>53</v>
      </c>
      <c r="F72" s="18" t="s">
        <v>54</v>
      </c>
      <c r="G72" s="18" t="s">
        <v>55</v>
      </c>
      <c r="H72" s="18" t="s">
        <v>4</v>
      </c>
      <c r="I72" s="18" t="s">
        <v>56</v>
      </c>
      <c r="J72" s="18" t="s">
        <v>57</v>
      </c>
      <c r="K72" s="18" t="s">
        <v>58</v>
      </c>
    </row>
    <row r="73" spans="3:11" x14ac:dyDescent="0.25">
      <c r="C73" s="18" t="s">
        <v>50</v>
      </c>
      <c r="D73" s="17">
        <v>16</v>
      </c>
      <c r="E73" s="17">
        <v>10</v>
      </c>
      <c r="F73" s="17">
        <v>1</v>
      </c>
      <c r="G73" s="17">
        <v>5</v>
      </c>
      <c r="H73" s="17">
        <f>E73*3+F73</f>
        <v>31</v>
      </c>
      <c r="I73" s="17">
        <v>81</v>
      </c>
      <c r="J73" s="17">
        <v>47</v>
      </c>
      <c r="K73" s="17">
        <f>I73-J73</f>
        <v>34</v>
      </c>
    </row>
    <row r="74" spans="3:11" x14ac:dyDescent="0.25">
      <c r="D74" s="18" t="s">
        <v>61</v>
      </c>
      <c r="E74" s="18" t="s">
        <v>68</v>
      </c>
      <c r="F74" s="18" t="s">
        <v>63</v>
      </c>
      <c r="G74" s="18" t="s">
        <v>64</v>
      </c>
    </row>
    <row r="75" spans="3:11" x14ac:dyDescent="0.25">
      <c r="C75" s="18" t="s">
        <v>51</v>
      </c>
      <c r="D75" s="17">
        <v>16</v>
      </c>
      <c r="E75" s="17">
        <v>4</v>
      </c>
      <c r="F75" s="25">
        <f>E75*100/D75</f>
        <v>25</v>
      </c>
      <c r="G75" s="17">
        <v>2</v>
      </c>
    </row>
    <row r="76" spans="3:11" x14ac:dyDescent="0.25">
      <c r="D76" s="18" t="s">
        <v>65</v>
      </c>
      <c r="E76" s="18" t="s">
        <v>64</v>
      </c>
      <c r="F76" s="18" t="s">
        <v>66</v>
      </c>
      <c r="G76" s="18" t="s">
        <v>67</v>
      </c>
    </row>
    <row r="77" spans="3:11" x14ac:dyDescent="0.25">
      <c r="C77" s="18" t="s">
        <v>52</v>
      </c>
      <c r="D77" s="17">
        <v>16</v>
      </c>
      <c r="E77" s="17">
        <v>6</v>
      </c>
      <c r="F77" s="25">
        <f>100-100*E77/D77</f>
        <v>62.5</v>
      </c>
      <c r="G77" s="17">
        <v>1</v>
      </c>
    </row>
    <row r="81" spans="3:11" x14ac:dyDescent="0.25">
      <c r="C81" s="36" t="s">
        <v>319</v>
      </c>
      <c r="D81" s="103" t="s">
        <v>599</v>
      </c>
      <c r="E81" s="103"/>
    </row>
    <row r="83" spans="3:11" x14ac:dyDescent="0.25">
      <c r="D83" s="18" t="s">
        <v>1</v>
      </c>
      <c r="E83" s="18" t="s">
        <v>53</v>
      </c>
      <c r="F83" s="18" t="s">
        <v>54</v>
      </c>
      <c r="G83" s="18" t="s">
        <v>55</v>
      </c>
      <c r="H83" s="18" t="s">
        <v>4</v>
      </c>
      <c r="I83" s="18" t="s">
        <v>56</v>
      </c>
      <c r="J83" s="18" t="s">
        <v>57</v>
      </c>
      <c r="K83" s="18" t="s">
        <v>58</v>
      </c>
    </row>
    <row r="84" spans="3:11" x14ac:dyDescent="0.25">
      <c r="C84" s="18" t="s">
        <v>50</v>
      </c>
      <c r="D84" s="17">
        <v>24</v>
      </c>
      <c r="E84" s="17">
        <v>9</v>
      </c>
      <c r="F84" s="17">
        <v>0</v>
      </c>
      <c r="G84" s="17">
        <v>15</v>
      </c>
      <c r="H84" s="17">
        <f>3*E84+F84</f>
        <v>27</v>
      </c>
      <c r="I84" s="17">
        <v>97</v>
      </c>
      <c r="J84" s="17">
        <v>131</v>
      </c>
      <c r="K84" s="17">
        <f>I84-J84</f>
        <v>-34</v>
      </c>
    </row>
    <row r="85" spans="3:11" x14ac:dyDescent="0.25">
      <c r="D85" s="18" t="s">
        <v>61</v>
      </c>
      <c r="E85" s="18" t="s">
        <v>68</v>
      </c>
      <c r="F85" s="18" t="s">
        <v>63</v>
      </c>
      <c r="G85" s="18" t="s">
        <v>64</v>
      </c>
    </row>
    <row r="86" spans="3:11" x14ac:dyDescent="0.25">
      <c r="C86" s="18" t="s">
        <v>51</v>
      </c>
      <c r="D86" s="17">
        <v>27</v>
      </c>
      <c r="E86" s="17">
        <v>3</v>
      </c>
      <c r="F86" s="25">
        <f>E86*100/D86</f>
        <v>11.111111111111111</v>
      </c>
      <c r="G86" s="17">
        <v>3</v>
      </c>
    </row>
    <row r="87" spans="3:11" x14ac:dyDescent="0.25">
      <c r="D87" s="18" t="s">
        <v>65</v>
      </c>
      <c r="E87" s="18" t="s">
        <v>64</v>
      </c>
      <c r="F87" s="18" t="s">
        <v>66</v>
      </c>
      <c r="G87" s="18" t="s">
        <v>67</v>
      </c>
    </row>
    <row r="88" spans="3:11" x14ac:dyDescent="0.25">
      <c r="C88" s="18" t="s">
        <v>52</v>
      </c>
      <c r="D88" s="17">
        <v>21</v>
      </c>
      <c r="E88" s="17">
        <v>6</v>
      </c>
      <c r="F88" s="25">
        <f>100-E88*100/D88</f>
        <v>71.428571428571431</v>
      </c>
      <c r="G88" s="17">
        <v>1</v>
      </c>
    </row>
    <row r="92" spans="3:11" x14ac:dyDescent="0.25">
      <c r="C92" s="36" t="s">
        <v>220</v>
      </c>
      <c r="D92" s="102" t="s">
        <v>587</v>
      </c>
      <c r="E92" s="102"/>
    </row>
    <row r="94" spans="3:11" x14ac:dyDescent="0.25">
      <c r="D94" s="18" t="s">
        <v>1</v>
      </c>
      <c r="E94" s="18" t="s">
        <v>53</v>
      </c>
      <c r="F94" s="18" t="s">
        <v>54</v>
      </c>
      <c r="G94" s="18" t="s">
        <v>55</v>
      </c>
      <c r="H94" s="18" t="s">
        <v>4</v>
      </c>
      <c r="I94" s="18" t="s">
        <v>56</v>
      </c>
      <c r="J94" s="18" t="s">
        <v>57</v>
      </c>
      <c r="K94" s="18" t="s">
        <v>58</v>
      </c>
    </row>
    <row r="95" spans="3:11" x14ac:dyDescent="0.25">
      <c r="C95" s="18" t="s">
        <v>50</v>
      </c>
      <c r="D95" s="17">
        <v>20</v>
      </c>
      <c r="E95" s="17">
        <v>3</v>
      </c>
      <c r="F95" s="17">
        <v>1</v>
      </c>
      <c r="G95" s="17">
        <v>16</v>
      </c>
      <c r="H95" s="17">
        <f>E95*3+F95*1</f>
        <v>10</v>
      </c>
      <c r="I95" s="17">
        <v>40</v>
      </c>
      <c r="J95" s="17">
        <v>121</v>
      </c>
      <c r="K95" s="17">
        <f>I95-J95</f>
        <v>-81</v>
      </c>
    </row>
    <row r="96" spans="3:11" x14ac:dyDescent="0.25">
      <c r="D96" s="18" t="s">
        <v>61</v>
      </c>
      <c r="E96" s="18" t="s">
        <v>68</v>
      </c>
      <c r="F96" s="18" t="s">
        <v>63</v>
      </c>
      <c r="G96" s="18" t="s">
        <v>64</v>
      </c>
    </row>
    <row r="97" spans="3:11" x14ac:dyDescent="0.25">
      <c r="C97" s="18" t="s">
        <v>51</v>
      </c>
      <c r="D97" s="17">
        <v>15</v>
      </c>
      <c r="E97" s="17">
        <v>4</v>
      </c>
      <c r="F97" s="25">
        <f>E97*100/D97</f>
        <v>26.666666666666668</v>
      </c>
      <c r="G97" s="17">
        <v>0</v>
      </c>
    </row>
    <row r="98" spans="3:11" x14ac:dyDescent="0.25">
      <c r="D98" s="18" t="s">
        <v>65</v>
      </c>
      <c r="E98" s="18" t="s">
        <v>64</v>
      </c>
      <c r="F98" s="18" t="s">
        <v>66</v>
      </c>
      <c r="G98" s="18" t="s">
        <v>67</v>
      </c>
    </row>
    <row r="99" spans="3:11" x14ac:dyDescent="0.25">
      <c r="C99" s="18" t="s">
        <v>52</v>
      </c>
      <c r="D99" s="17">
        <v>21</v>
      </c>
      <c r="E99" s="17">
        <v>8</v>
      </c>
      <c r="F99" s="25">
        <f>100-(100*E99/D99)</f>
        <v>61.904761904761905</v>
      </c>
      <c r="G99" s="17">
        <v>1</v>
      </c>
    </row>
    <row r="103" spans="3:11" x14ac:dyDescent="0.25">
      <c r="C103" s="36" t="s">
        <v>81</v>
      </c>
      <c r="D103" s="103" t="s">
        <v>597</v>
      </c>
      <c r="E103" s="103"/>
    </row>
    <row r="105" spans="3:11" x14ac:dyDescent="0.25">
      <c r="D105" s="18" t="s">
        <v>1</v>
      </c>
      <c r="E105" s="18" t="s">
        <v>53</v>
      </c>
      <c r="F105" s="18" t="s">
        <v>54</v>
      </c>
      <c r="G105" s="18" t="s">
        <v>55</v>
      </c>
      <c r="H105" s="18" t="s">
        <v>4</v>
      </c>
      <c r="I105" s="18" t="s">
        <v>56</v>
      </c>
      <c r="J105" s="18" t="s">
        <v>57</v>
      </c>
      <c r="K105" s="18" t="s">
        <v>58</v>
      </c>
    </row>
    <row r="106" spans="3:11" x14ac:dyDescent="0.25">
      <c r="C106" s="18" t="s">
        <v>50</v>
      </c>
      <c r="D106" s="17">
        <v>20</v>
      </c>
      <c r="E106" s="17">
        <v>1</v>
      </c>
      <c r="F106" s="17">
        <v>5</v>
      </c>
      <c r="G106" s="17">
        <v>14</v>
      </c>
      <c r="H106" s="17">
        <f>E106*3+F106</f>
        <v>8</v>
      </c>
      <c r="I106" s="17">
        <v>62</v>
      </c>
      <c r="J106" s="17">
        <v>115</v>
      </c>
      <c r="K106" s="17">
        <f>I106-J106</f>
        <v>-53</v>
      </c>
    </row>
    <row r="107" spans="3:11" x14ac:dyDescent="0.25">
      <c r="D107" s="18" t="s">
        <v>61</v>
      </c>
      <c r="E107" s="18" t="s">
        <v>68</v>
      </c>
      <c r="F107" s="18" t="s">
        <v>63</v>
      </c>
      <c r="G107" s="18" t="s">
        <v>64</v>
      </c>
    </row>
    <row r="108" spans="3:11" x14ac:dyDescent="0.25">
      <c r="C108" s="18" t="s">
        <v>51</v>
      </c>
      <c r="D108" s="17">
        <v>16</v>
      </c>
      <c r="E108" s="17">
        <v>3</v>
      </c>
      <c r="F108" s="25">
        <f>100*E108/D108</f>
        <v>18.75</v>
      </c>
      <c r="G108" s="17">
        <v>3</v>
      </c>
    </row>
    <row r="109" spans="3:11" x14ac:dyDescent="0.25">
      <c r="D109" s="18" t="s">
        <v>65</v>
      </c>
      <c r="E109" s="18" t="s">
        <v>64</v>
      </c>
      <c r="F109" s="18" t="s">
        <v>66</v>
      </c>
      <c r="G109" s="18" t="s">
        <v>67</v>
      </c>
    </row>
    <row r="110" spans="3:11" x14ac:dyDescent="0.25">
      <c r="C110" s="18" t="s">
        <v>52</v>
      </c>
      <c r="D110" s="17">
        <v>25</v>
      </c>
      <c r="E110" s="17">
        <v>10</v>
      </c>
      <c r="F110" s="25">
        <f>100*(D110-E110)/D110</f>
        <v>60</v>
      </c>
      <c r="G110" s="17">
        <v>2</v>
      </c>
    </row>
    <row r="114" spans="3:11" x14ac:dyDescent="0.25">
      <c r="C114" s="36" t="s">
        <v>80</v>
      </c>
      <c r="D114" s="103" t="s">
        <v>598</v>
      </c>
      <c r="E114" s="103"/>
    </row>
    <row r="116" spans="3:11" x14ac:dyDescent="0.25">
      <c r="D116" s="18" t="s">
        <v>1</v>
      </c>
      <c r="E116" s="18" t="s">
        <v>53</v>
      </c>
      <c r="F116" s="18" t="s">
        <v>54</v>
      </c>
      <c r="G116" s="18" t="s">
        <v>55</v>
      </c>
      <c r="H116" s="18" t="s">
        <v>4</v>
      </c>
      <c r="I116" s="18" t="s">
        <v>56</v>
      </c>
      <c r="J116" s="18" t="s">
        <v>57</v>
      </c>
      <c r="K116" s="18" t="s">
        <v>58</v>
      </c>
    </row>
    <row r="117" spans="3:11" x14ac:dyDescent="0.25">
      <c r="C117" s="18" t="s">
        <v>50</v>
      </c>
      <c r="D117" s="17">
        <v>20</v>
      </c>
      <c r="E117" s="17">
        <v>10</v>
      </c>
      <c r="F117" s="17">
        <v>1</v>
      </c>
      <c r="G117" s="17">
        <v>9</v>
      </c>
      <c r="H117" s="17">
        <f>(3*E117)+F117</f>
        <v>31</v>
      </c>
      <c r="I117" s="17">
        <v>100</v>
      </c>
      <c r="J117" s="17">
        <v>106</v>
      </c>
      <c r="K117" s="17">
        <f>I117-J117</f>
        <v>-6</v>
      </c>
    </row>
    <row r="118" spans="3:11" x14ac:dyDescent="0.25">
      <c r="D118" s="18" t="s">
        <v>61</v>
      </c>
      <c r="E118" s="18" t="s">
        <v>68</v>
      </c>
      <c r="F118" s="18" t="s">
        <v>63</v>
      </c>
      <c r="G118" s="18" t="s">
        <v>64</v>
      </c>
    </row>
    <row r="119" spans="3:11" x14ac:dyDescent="0.25">
      <c r="C119" s="18" t="s">
        <v>51</v>
      </c>
      <c r="D119" s="17">
        <v>14</v>
      </c>
      <c r="E119" s="17">
        <v>5</v>
      </c>
      <c r="F119" s="25">
        <f>100*E119/D119</f>
        <v>35.714285714285715</v>
      </c>
      <c r="G119" s="17">
        <v>0</v>
      </c>
    </row>
    <row r="120" spans="3:11" x14ac:dyDescent="0.25">
      <c r="D120" s="18" t="s">
        <v>65</v>
      </c>
      <c r="E120" s="18" t="s">
        <v>64</v>
      </c>
      <c r="F120" s="18" t="s">
        <v>66</v>
      </c>
      <c r="G120" s="18" t="s">
        <v>67</v>
      </c>
    </row>
    <row r="121" spans="3:11" x14ac:dyDescent="0.25">
      <c r="C121" s="18" t="s">
        <v>52</v>
      </c>
      <c r="D121" s="17">
        <v>14</v>
      </c>
      <c r="E121" s="17">
        <v>3</v>
      </c>
      <c r="F121" s="25">
        <f>100*(D121-E121)/D121</f>
        <v>78.571428571428569</v>
      </c>
      <c r="G121" s="17">
        <v>0</v>
      </c>
    </row>
    <row r="125" spans="3:11" x14ac:dyDescent="0.25">
      <c r="C125" s="36" t="s">
        <v>40</v>
      </c>
      <c r="D125" s="103" t="s">
        <v>597</v>
      </c>
      <c r="E125" s="103"/>
    </row>
    <row r="127" spans="3:11" x14ac:dyDescent="0.25">
      <c r="D127" s="18" t="s">
        <v>1</v>
      </c>
      <c r="E127" s="18" t="s">
        <v>53</v>
      </c>
      <c r="F127" s="18" t="s">
        <v>54</v>
      </c>
      <c r="G127" s="18" t="s">
        <v>55</v>
      </c>
      <c r="H127" s="18" t="s">
        <v>4</v>
      </c>
      <c r="I127" s="18" t="s">
        <v>56</v>
      </c>
      <c r="J127" s="18" t="s">
        <v>57</v>
      </c>
      <c r="K127" s="18" t="s">
        <v>58</v>
      </c>
    </row>
    <row r="128" spans="3:11" x14ac:dyDescent="0.25">
      <c r="C128" s="18" t="s">
        <v>50</v>
      </c>
      <c r="D128" s="17">
        <v>20</v>
      </c>
      <c r="E128" s="17">
        <v>6</v>
      </c>
      <c r="F128" s="17">
        <v>4</v>
      </c>
      <c r="G128" s="17">
        <v>10</v>
      </c>
      <c r="H128" s="17">
        <f>(3*E128)+(1*F128)</f>
        <v>22</v>
      </c>
      <c r="I128" s="17">
        <v>79</v>
      </c>
      <c r="J128" s="17">
        <v>114</v>
      </c>
      <c r="K128" s="17">
        <f>I128-J128</f>
        <v>-35</v>
      </c>
    </row>
    <row r="129" spans="3:11" x14ac:dyDescent="0.25">
      <c r="D129" s="18" t="s">
        <v>61</v>
      </c>
      <c r="E129" s="18" t="s">
        <v>68</v>
      </c>
      <c r="F129" s="18" t="s">
        <v>63</v>
      </c>
      <c r="G129" s="18" t="s">
        <v>64</v>
      </c>
    </row>
    <row r="130" spans="3:11" x14ac:dyDescent="0.25">
      <c r="C130" s="18" t="s">
        <v>51</v>
      </c>
      <c r="D130" s="17">
        <v>28</v>
      </c>
      <c r="E130" s="17">
        <v>10</v>
      </c>
      <c r="F130" s="25">
        <f>100*E130/D130</f>
        <v>35.714285714285715</v>
      </c>
      <c r="G130" s="17">
        <v>0</v>
      </c>
    </row>
    <row r="131" spans="3:11" x14ac:dyDescent="0.25">
      <c r="D131" s="18" t="s">
        <v>65</v>
      </c>
      <c r="E131" s="18" t="s">
        <v>64</v>
      </c>
      <c r="F131" s="18" t="s">
        <v>66</v>
      </c>
      <c r="G131" s="18" t="s">
        <v>67</v>
      </c>
    </row>
    <row r="132" spans="3:11" x14ac:dyDescent="0.25">
      <c r="C132" s="18" t="s">
        <v>52</v>
      </c>
      <c r="D132" s="17">
        <v>18</v>
      </c>
      <c r="E132" s="17">
        <v>6</v>
      </c>
      <c r="F132" s="25">
        <f>100-(100*E132/D132)</f>
        <v>66.666666666666657</v>
      </c>
      <c r="G132" s="17">
        <v>1</v>
      </c>
    </row>
    <row r="136" spans="3:11" x14ac:dyDescent="0.25">
      <c r="C136" s="36" t="s">
        <v>60</v>
      </c>
      <c r="D136" s="104" t="s">
        <v>596</v>
      </c>
      <c r="E136" s="104"/>
    </row>
    <row r="138" spans="3:11" x14ac:dyDescent="0.25">
      <c r="D138" s="18" t="s">
        <v>1</v>
      </c>
      <c r="E138" s="18" t="s">
        <v>53</v>
      </c>
      <c r="F138" s="18" t="s">
        <v>54</v>
      </c>
      <c r="G138" s="18" t="s">
        <v>55</v>
      </c>
      <c r="H138" s="18" t="s">
        <v>4</v>
      </c>
      <c r="I138" s="18" t="s">
        <v>56</v>
      </c>
      <c r="J138" s="18" t="s">
        <v>57</v>
      </c>
      <c r="K138" s="18" t="s">
        <v>58</v>
      </c>
    </row>
    <row r="139" spans="3:11" x14ac:dyDescent="0.25">
      <c r="C139" s="18" t="s">
        <v>50</v>
      </c>
      <c r="D139" s="17">
        <v>18</v>
      </c>
      <c r="E139" s="17">
        <v>8</v>
      </c>
      <c r="F139" s="17">
        <v>3</v>
      </c>
      <c r="G139" s="17">
        <v>7</v>
      </c>
      <c r="H139" s="17">
        <v>27</v>
      </c>
      <c r="I139" s="17">
        <v>80</v>
      </c>
      <c r="J139" s="17">
        <v>87</v>
      </c>
      <c r="K139" s="17">
        <v>-7</v>
      </c>
    </row>
    <row r="140" spans="3:11" x14ac:dyDescent="0.25">
      <c r="D140" s="18" t="s">
        <v>61</v>
      </c>
      <c r="E140" s="18" t="s">
        <v>68</v>
      </c>
      <c r="F140" s="18" t="s">
        <v>63</v>
      </c>
      <c r="G140" s="18" t="s">
        <v>64</v>
      </c>
    </row>
    <row r="141" spans="3:11" x14ac:dyDescent="0.25">
      <c r="C141" s="18" t="s">
        <v>51</v>
      </c>
      <c r="D141" s="17">
        <v>29</v>
      </c>
      <c r="E141" s="17">
        <v>5</v>
      </c>
      <c r="F141" s="25">
        <f>100*E141/D141</f>
        <v>17.241379310344829</v>
      </c>
      <c r="G141" s="17">
        <v>3</v>
      </c>
    </row>
    <row r="142" spans="3:11" x14ac:dyDescent="0.25">
      <c r="D142" s="18" t="s">
        <v>65</v>
      </c>
      <c r="E142" s="18" t="s">
        <v>64</v>
      </c>
      <c r="F142" s="18" t="s">
        <v>66</v>
      </c>
      <c r="G142" s="18" t="s">
        <v>67</v>
      </c>
    </row>
    <row r="143" spans="3:11" x14ac:dyDescent="0.25">
      <c r="C143" s="18" t="s">
        <v>52</v>
      </c>
      <c r="D143" s="17">
        <v>30</v>
      </c>
      <c r="E143" s="17">
        <v>7</v>
      </c>
      <c r="F143" s="25">
        <f>100*(D143-E143)/D143</f>
        <v>76.666666666666671</v>
      </c>
      <c r="G143" s="17">
        <v>7</v>
      </c>
    </row>
    <row r="147" spans="3:11" x14ac:dyDescent="0.25">
      <c r="C147" s="36" t="s">
        <v>59</v>
      </c>
      <c r="D147" s="103" t="s">
        <v>594</v>
      </c>
      <c r="E147" s="103"/>
    </row>
    <row r="149" spans="3:11" x14ac:dyDescent="0.25">
      <c r="D149" s="18" t="s">
        <v>1</v>
      </c>
      <c r="E149" s="18" t="s">
        <v>53</v>
      </c>
      <c r="F149" s="18" t="s">
        <v>54</v>
      </c>
      <c r="G149" s="18" t="s">
        <v>55</v>
      </c>
      <c r="H149" s="18" t="s">
        <v>4</v>
      </c>
      <c r="I149" s="18" t="s">
        <v>56</v>
      </c>
      <c r="J149" s="18" t="s">
        <v>57</v>
      </c>
      <c r="K149" s="18" t="s">
        <v>58</v>
      </c>
    </row>
    <row r="150" spans="3:11" x14ac:dyDescent="0.25">
      <c r="C150" s="18" t="s">
        <v>50</v>
      </c>
      <c r="D150" s="17">
        <v>20</v>
      </c>
      <c r="E150" s="17">
        <v>9</v>
      </c>
      <c r="F150" s="17">
        <v>1</v>
      </c>
      <c r="G150" s="17">
        <v>10</v>
      </c>
      <c r="H150" s="17">
        <v>28</v>
      </c>
      <c r="I150" s="17">
        <v>76</v>
      </c>
      <c r="J150" s="17">
        <v>90</v>
      </c>
      <c r="K150" s="17">
        <v>-14</v>
      </c>
    </row>
    <row r="151" spans="3:11" x14ac:dyDescent="0.25">
      <c r="D151" s="18" t="s">
        <v>61</v>
      </c>
      <c r="E151" s="18" t="s">
        <v>68</v>
      </c>
      <c r="F151" s="18" t="s">
        <v>63</v>
      </c>
      <c r="G151" s="18" t="s">
        <v>64</v>
      </c>
    </row>
    <row r="152" spans="3:11" x14ac:dyDescent="0.25">
      <c r="C152" s="18" t="s">
        <v>51</v>
      </c>
      <c r="D152" s="17">
        <v>31</v>
      </c>
      <c r="E152" s="17">
        <v>5</v>
      </c>
      <c r="F152" s="25">
        <f>100*E152/D152</f>
        <v>16.129032258064516</v>
      </c>
      <c r="G152" s="17">
        <v>4</v>
      </c>
    </row>
    <row r="153" spans="3:11" x14ac:dyDescent="0.25">
      <c r="D153" s="18" t="s">
        <v>65</v>
      </c>
      <c r="E153" s="18" t="s">
        <v>64</v>
      </c>
      <c r="F153" s="18" t="s">
        <v>66</v>
      </c>
      <c r="G153" s="18" t="s">
        <v>67</v>
      </c>
    </row>
    <row r="154" spans="3:11" x14ac:dyDescent="0.25">
      <c r="C154" s="18" t="s">
        <v>52</v>
      </c>
      <c r="D154" s="17">
        <v>39</v>
      </c>
      <c r="E154" s="17">
        <v>10</v>
      </c>
      <c r="F154" s="25">
        <f>100*(D154-E154)/D154</f>
        <v>74.358974358974365</v>
      </c>
      <c r="G154" s="17">
        <v>5</v>
      </c>
    </row>
  </sheetData>
  <mergeCells count="28">
    <mergeCell ref="D4:E4"/>
    <mergeCell ref="C5:G5"/>
    <mergeCell ref="D15:E15"/>
    <mergeCell ref="D136:E136"/>
    <mergeCell ref="D147:E147"/>
    <mergeCell ref="D92:E92"/>
    <mergeCell ref="D81:E81"/>
    <mergeCell ref="D103:E103"/>
    <mergeCell ref="D114:E114"/>
    <mergeCell ref="D125:E125"/>
    <mergeCell ref="C27:G27"/>
    <mergeCell ref="D37:E37"/>
    <mergeCell ref="D48:E48"/>
    <mergeCell ref="D59:E59"/>
    <mergeCell ref="D70:F70"/>
    <mergeCell ref="C16:G16"/>
    <mergeCell ref="D26:E26"/>
    <mergeCell ref="O23:S23"/>
    <mergeCell ref="O13:S13"/>
    <mergeCell ref="O14:S14"/>
    <mergeCell ref="O15:S15"/>
    <mergeCell ref="O16:S16"/>
    <mergeCell ref="O17:S17"/>
    <mergeCell ref="O21:S21"/>
    <mergeCell ref="O18:S18"/>
    <mergeCell ref="O19:S19"/>
    <mergeCell ref="O20:S20"/>
    <mergeCell ref="O22:S22"/>
  </mergeCells>
  <pageMargins left="0.7" right="0.7" top="0.78740157499999996" bottom="0.78740157499999996" header="0.3" footer="0.3"/>
  <pageSetup paperSize="9" orientation="portrait" r:id="rId1"/>
  <ignoredErrors>
    <ignoredError sqref="R9 R11 V7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A043D-D14A-4126-8D62-1E765259A55A}">
  <dimension ref="D2:Z33"/>
  <sheetViews>
    <sheetView zoomScale="90" zoomScaleNormal="90" workbookViewId="0">
      <selection activeCell="U31" sqref="U31"/>
    </sheetView>
  </sheetViews>
  <sheetFormatPr defaultRowHeight="15" x14ac:dyDescent="0.25"/>
  <cols>
    <col min="4" max="4" width="10.140625" style="17" bestFit="1" customWidth="1"/>
    <col min="5" max="5" width="15.85546875" style="17" bestFit="1" customWidth="1"/>
    <col min="6" max="6" width="15.28515625" style="17" bestFit="1" customWidth="1"/>
    <col min="7" max="7" width="19.7109375" style="17" bestFit="1" customWidth="1"/>
    <col min="8" max="8" width="15.28515625" style="17" bestFit="1" customWidth="1"/>
    <col min="9" max="14" width="9.140625" style="17"/>
    <col min="16" max="16" width="10.140625" bestFit="1" customWidth="1"/>
    <col min="17" max="17" width="15.85546875" style="17" bestFit="1" customWidth="1"/>
    <col min="18" max="18" width="15.28515625" style="17" bestFit="1" customWidth="1"/>
    <col min="19" max="19" width="19.7109375" style="17" bestFit="1" customWidth="1"/>
    <col min="20" max="20" width="15.28515625" style="17" bestFit="1" customWidth="1"/>
    <col min="21" max="26" width="9.140625" style="17"/>
  </cols>
  <sheetData>
    <row r="2" spans="4:26" x14ac:dyDescent="0.25">
      <c r="P2" s="17"/>
    </row>
    <row r="3" spans="4:26" x14ac:dyDescent="0.25">
      <c r="P3" s="17"/>
    </row>
    <row r="4" spans="4:26" x14ac:dyDescent="0.25">
      <c r="D4" s="36" t="s">
        <v>1643</v>
      </c>
      <c r="E4" s="103"/>
      <c r="F4" s="103"/>
      <c r="P4" s="36" t="s">
        <v>69</v>
      </c>
    </row>
    <row r="5" spans="4:26" x14ac:dyDescent="0.25">
      <c r="P5" s="17"/>
    </row>
    <row r="6" spans="4:26" x14ac:dyDescent="0.25">
      <c r="E6" s="18" t="s">
        <v>1</v>
      </c>
      <c r="F6" s="18" t="s">
        <v>53</v>
      </c>
      <c r="G6" s="18" t="s">
        <v>287</v>
      </c>
      <c r="H6" s="18" t="s">
        <v>288</v>
      </c>
      <c r="I6" s="18" t="s">
        <v>55</v>
      </c>
      <c r="J6" s="18" t="s">
        <v>4</v>
      </c>
      <c r="K6" s="18" t="s">
        <v>56</v>
      </c>
      <c r="L6" s="18" t="s">
        <v>57</v>
      </c>
      <c r="M6" s="18" t="s">
        <v>58</v>
      </c>
      <c r="P6" s="17"/>
      <c r="Q6" s="18" t="s">
        <v>1</v>
      </c>
      <c r="R6" s="18" t="s">
        <v>53</v>
      </c>
      <c r="S6" s="18" t="s">
        <v>287</v>
      </c>
      <c r="T6" s="18" t="s">
        <v>54</v>
      </c>
      <c r="U6" s="18" t="s">
        <v>288</v>
      </c>
      <c r="V6" s="18" t="s">
        <v>55</v>
      </c>
      <c r="W6" s="18" t="s">
        <v>4</v>
      </c>
      <c r="X6" s="18" t="s">
        <v>56</v>
      </c>
      <c r="Y6" s="18" t="s">
        <v>57</v>
      </c>
      <c r="Z6" s="18" t="s">
        <v>58</v>
      </c>
    </row>
    <row r="7" spans="4:26" x14ac:dyDescent="0.25">
      <c r="D7" s="18" t="s">
        <v>50</v>
      </c>
      <c r="E7" s="17">
        <v>8</v>
      </c>
      <c r="F7" s="17">
        <v>4</v>
      </c>
      <c r="G7" s="17">
        <v>0</v>
      </c>
      <c r="H7" s="17">
        <v>0</v>
      </c>
      <c r="I7" s="17">
        <v>4</v>
      </c>
      <c r="J7" s="17">
        <f>F7*3+G7*2+H7</f>
        <v>12</v>
      </c>
      <c r="K7" s="17">
        <v>22</v>
      </c>
      <c r="L7" s="17">
        <v>23</v>
      </c>
      <c r="M7" s="17">
        <f>K7-L7</f>
        <v>-1</v>
      </c>
      <c r="P7" s="18" t="s">
        <v>50</v>
      </c>
      <c r="Q7" s="17">
        <f>E29+E18+E7</f>
        <v>46</v>
      </c>
      <c r="R7" s="17">
        <f>F29+F18+F7</f>
        <v>19</v>
      </c>
      <c r="S7" s="17">
        <f>G29+G18+G7</f>
        <v>2</v>
      </c>
      <c r="T7" s="17">
        <f>H29</f>
        <v>0</v>
      </c>
      <c r="U7" s="17">
        <f>I29+H18+H7</f>
        <v>1</v>
      </c>
      <c r="V7" s="17">
        <f>J29+I18+I7</f>
        <v>24</v>
      </c>
      <c r="W7" s="17">
        <f>(3*R7)+(2*S7)+T7+U7</f>
        <v>62</v>
      </c>
      <c r="X7" s="17">
        <f>L29+K18+K7</f>
        <v>207</v>
      </c>
      <c r="Y7" s="17">
        <f>M29+L18+L7</f>
        <v>256</v>
      </c>
      <c r="Z7" s="17">
        <f>X7-Y7</f>
        <v>-49</v>
      </c>
    </row>
    <row r="8" spans="4:26" x14ac:dyDescent="0.25">
      <c r="E8" s="18" t="s">
        <v>61</v>
      </c>
      <c r="F8" s="18" t="s">
        <v>68</v>
      </c>
      <c r="G8" s="18" t="s">
        <v>63</v>
      </c>
      <c r="H8" s="18" t="s">
        <v>64</v>
      </c>
      <c r="P8" s="17"/>
      <c r="Q8" s="18" t="s">
        <v>61</v>
      </c>
      <c r="R8" s="18" t="s">
        <v>68</v>
      </c>
      <c r="S8" s="18" t="s">
        <v>63</v>
      </c>
      <c r="T8" s="18" t="s">
        <v>64</v>
      </c>
    </row>
    <row r="9" spans="4:26" x14ac:dyDescent="0.25">
      <c r="D9" s="18" t="s">
        <v>51</v>
      </c>
      <c r="E9" s="17">
        <v>9</v>
      </c>
      <c r="F9" s="17">
        <v>2</v>
      </c>
      <c r="G9" s="25">
        <f>100*F9/E9</f>
        <v>22.222222222222221</v>
      </c>
      <c r="H9" s="17">
        <v>2</v>
      </c>
      <c r="P9" s="18" t="s">
        <v>51</v>
      </c>
      <c r="Q9" s="17">
        <f>E31+E20+E9</f>
        <v>39</v>
      </c>
      <c r="R9" s="17">
        <f>F31+F20+F9</f>
        <v>13</v>
      </c>
      <c r="S9" s="25">
        <f>R9*100/Q9</f>
        <v>33.333333333333336</v>
      </c>
      <c r="T9" s="17">
        <f>H31+H20+H9</f>
        <v>4</v>
      </c>
    </row>
    <row r="10" spans="4:26" x14ac:dyDescent="0.25">
      <c r="E10" s="18" t="s">
        <v>65</v>
      </c>
      <c r="F10" s="18" t="s">
        <v>64</v>
      </c>
      <c r="G10" s="18" t="s">
        <v>66</v>
      </c>
      <c r="H10" s="18" t="s">
        <v>67</v>
      </c>
      <c r="P10" s="17"/>
      <c r="Q10" s="18" t="s">
        <v>65</v>
      </c>
      <c r="R10" s="18" t="s">
        <v>64</v>
      </c>
      <c r="S10" s="18" t="s">
        <v>66</v>
      </c>
      <c r="T10" s="18" t="s">
        <v>67</v>
      </c>
    </row>
    <row r="11" spans="4:26" x14ac:dyDescent="0.25">
      <c r="D11" s="18" t="s">
        <v>52</v>
      </c>
      <c r="E11" s="17">
        <v>11</v>
      </c>
      <c r="F11" s="17">
        <v>2</v>
      </c>
      <c r="G11" s="25">
        <f>100-F11*100/E11</f>
        <v>81.818181818181813</v>
      </c>
      <c r="H11" s="17">
        <v>0</v>
      </c>
      <c r="P11" s="18" t="s">
        <v>52</v>
      </c>
      <c r="Q11" s="17">
        <f>E33+E22+E11</f>
        <v>55</v>
      </c>
      <c r="R11" s="17">
        <f>F33+F22+F11</f>
        <v>14</v>
      </c>
      <c r="S11" s="25">
        <f>100-(R11*100/Q11)</f>
        <v>74.545454545454547</v>
      </c>
      <c r="T11" s="17">
        <f>H33+H22+H11</f>
        <v>6</v>
      </c>
    </row>
    <row r="13" spans="4:26" x14ac:dyDescent="0.25">
      <c r="P13" s="106" t="s">
        <v>752</v>
      </c>
      <c r="Q13" s="106"/>
      <c r="R13" s="106"/>
      <c r="S13" s="106"/>
      <c r="T13" s="106"/>
    </row>
    <row r="14" spans="4:26" x14ac:dyDescent="0.25">
      <c r="P14" s="105" t="s">
        <v>1118</v>
      </c>
      <c r="Q14" s="105"/>
      <c r="R14" s="105"/>
      <c r="S14" s="105"/>
      <c r="T14" s="105"/>
    </row>
    <row r="15" spans="4:26" x14ac:dyDescent="0.25">
      <c r="D15" s="36" t="s">
        <v>1154</v>
      </c>
      <c r="E15" s="103" t="s">
        <v>598</v>
      </c>
      <c r="F15" s="103"/>
      <c r="P15" s="107" t="s">
        <v>1708</v>
      </c>
      <c r="Q15" s="107"/>
      <c r="R15" s="107"/>
      <c r="S15" s="107"/>
      <c r="T15" s="107"/>
    </row>
    <row r="16" spans="4:26" x14ac:dyDescent="0.25">
      <c r="P16" s="107" t="s">
        <v>1709</v>
      </c>
      <c r="Q16" s="107"/>
      <c r="R16" s="107"/>
      <c r="S16" s="107"/>
      <c r="T16" s="107"/>
    </row>
    <row r="17" spans="4:14" x14ac:dyDescent="0.25">
      <c r="E17" s="18" t="s">
        <v>1</v>
      </c>
      <c r="F17" s="18" t="s">
        <v>53</v>
      </c>
      <c r="G17" s="18" t="s">
        <v>287</v>
      </c>
      <c r="H17" s="18" t="s">
        <v>288</v>
      </c>
      <c r="I17" s="18" t="s">
        <v>55</v>
      </c>
      <c r="J17" s="18" t="s">
        <v>4</v>
      </c>
      <c r="K17" s="18" t="s">
        <v>56</v>
      </c>
      <c r="L17" s="18" t="s">
        <v>57</v>
      </c>
      <c r="M17" s="18" t="s">
        <v>58</v>
      </c>
    </row>
    <row r="18" spans="4:14" x14ac:dyDescent="0.25">
      <c r="D18" s="18" t="s">
        <v>50</v>
      </c>
      <c r="E18" s="17">
        <v>18</v>
      </c>
      <c r="F18" s="17">
        <v>6</v>
      </c>
      <c r="G18" s="17">
        <v>2</v>
      </c>
      <c r="H18" s="17">
        <v>1</v>
      </c>
      <c r="I18" s="17">
        <v>9</v>
      </c>
      <c r="J18" s="17">
        <f>F18*3+G18*2+H18</f>
        <v>23</v>
      </c>
      <c r="K18" s="17">
        <v>73</v>
      </c>
      <c r="L18" s="17">
        <v>104</v>
      </c>
      <c r="M18" s="17">
        <f>K18-L18</f>
        <v>-31</v>
      </c>
    </row>
    <row r="19" spans="4:14" x14ac:dyDescent="0.25">
      <c r="E19" s="18" t="s">
        <v>61</v>
      </c>
      <c r="F19" s="18" t="s">
        <v>68</v>
      </c>
      <c r="G19" s="18" t="s">
        <v>63</v>
      </c>
      <c r="H19" s="18" t="s">
        <v>64</v>
      </c>
    </row>
    <row r="20" spans="4:14" x14ac:dyDescent="0.25">
      <c r="D20" s="18" t="s">
        <v>51</v>
      </c>
      <c r="E20" s="17">
        <v>12</v>
      </c>
      <c r="F20" s="17">
        <v>5</v>
      </c>
      <c r="G20" s="25">
        <f>100*F20/E20</f>
        <v>41.666666666666664</v>
      </c>
      <c r="H20" s="17">
        <v>0</v>
      </c>
    </row>
    <row r="21" spans="4:14" x14ac:dyDescent="0.25">
      <c r="E21" s="18" t="s">
        <v>65</v>
      </c>
      <c r="F21" s="18" t="s">
        <v>64</v>
      </c>
      <c r="G21" s="18" t="s">
        <v>66</v>
      </c>
      <c r="H21" s="18" t="s">
        <v>67</v>
      </c>
    </row>
    <row r="22" spans="4:14" x14ac:dyDescent="0.25">
      <c r="D22" s="18" t="s">
        <v>52</v>
      </c>
      <c r="E22" s="17">
        <v>17</v>
      </c>
      <c r="F22" s="17">
        <v>4</v>
      </c>
      <c r="G22" s="25">
        <f>100-F22*100/E22</f>
        <v>76.470588235294116</v>
      </c>
      <c r="H22" s="17">
        <v>1</v>
      </c>
    </row>
    <row r="26" spans="4:14" x14ac:dyDescent="0.25">
      <c r="D26" s="36" t="s">
        <v>473</v>
      </c>
      <c r="E26" s="103" t="s">
        <v>1194</v>
      </c>
      <c r="F26" s="103"/>
    </row>
    <row r="28" spans="4:14" x14ac:dyDescent="0.25">
      <c r="E28" s="18" t="s">
        <v>1</v>
      </c>
      <c r="F28" s="18" t="s">
        <v>53</v>
      </c>
      <c r="G28" s="18" t="s">
        <v>287</v>
      </c>
      <c r="H28" s="18" t="s">
        <v>54</v>
      </c>
      <c r="I28" s="18" t="s">
        <v>288</v>
      </c>
      <c r="J28" s="18" t="s">
        <v>55</v>
      </c>
      <c r="K28" s="18" t="s">
        <v>4</v>
      </c>
      <c r="L28" s="18" t="s">
        <v>56</v>
      </c>
      <c r="M28" s="18" t="s">
        <v>57</v>
      </c>
      <c r="N28" s="18" t="s">
        <v>58</v>
      </c>
    </row>
    <row r="29" spans="4:14" x14ac:dyDescent="0.25">
      <c r="D29" s="18" t="s">
        <v>50</v>
      </c>
      <c r="E29" s="17">
        <v>20</v>
      </c>
      <c r="F29" s="17">
        <v>9</v>
      </c>
      <c r="G29" s="17">
        <v>0</v>
      </c>
      <c r="H29" s="17">
        <v>0</v>
      </c>
      <c r="I29" s="17">
        <v>0</v>
      </c>
      <c r="J29" s="17">
        <v>11</v>
      </c>
      <c r="K29" s="17">
        <f>F29*3+G29*2+H29+I29</f>
        <v>27</v>
      </c>
      <c r="L29" s="17">
        <v>112</v>
      </c>
      <c r="M29" s="17">
        <v>129</v>
      </c>
      <c r="N29" s="17">
        <f>L29-M29</f>
        <v>-17</v>
      </c>
    </row>
    <row r="30" spans="4:14" x14ac:dyDescent="0.25">
      <c r="E30" s="18" t="s">
        <v>61</v>
      </c>
      <c r="F30" s="18" t="s">
        <v>68</v>
      </c>
      <c r="G30" s="18" t="s">
        <v>63</v>
      </c>
      <c r="H30" s="18" t="s">
        <v>64</v>
      </c>
    </row>
    <row r="31" spans="4:14" x14ac:dyDescent="0.25">
      <c r="D31" s="18" t="s">
        <v>51</v>
      </c>
      <c r="E31" s="17">
        <v>18</v>
      </c>
      <c r="F31" s="17">
        <v>6</v>
      </c>
      <c r="G31" s="25">
        <f>F31*100/E31</f>
        <v>33.333333333333336</v>
      </c>
      <c r="H31" s="17">
        <v>2</v>
      </c>
    </row>
    <row r="32" spans="4:14" x14ac:dyDescent="0.25">
      <c r="E32" s="18" t="s">
        <v>65</v>
      </c>
      <c r="F32" s="18" t="s">
        <v>64</v>
      </c>
      <c r="G32" s="18" t="s">
        <v>66</v>
      </c>
      <c r="H32" s="18" t="s">
        <v>67</v>
      </c>
    </row>
    <row r="33" spans="4:8" x14ac:dyDescent="0.25">
      <c r="D33" s="18" t="s">
        <v>52</v>
      </c>
      <c r="E33" s="17">
        <v>27</v>
      </c>
      <c r="F33" s="17">
        <v>8</v>
      </c>
      <c r="G33" s="25">
        <f>100-F33*100/E33</f>
        <v>70.370370370370367</v>
      </c>
      <c r="H33" s="17">
        <v>5</v>
      </c>
    </row>
  </sheetData>
  <mergeCells count="7">
    <mergeCell ref="E4:F4"/>
    <mergeCell ref="P13:T13"/>
    <mergeCell ref="P14:T14"/>
    <mergeCell ref="P15:T15"/>
    <mergeCell ref="E26:F26"/>
    <mergeCell ref="E15:F15"/>
    <mergeCell ref="P16:T16"/>
  </mergeCell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3:M99"/>
  <sheetViews>
    <sheetView workbookViewId="0">
      <selection activeCell="T19" sqref="T19"/>
    </sheetView>
  </sheetViews>
  <sheetFormatPr defaultRowHeight="15" x14ac:dyDescent="0.25"/>
  <cols>
    <col min="3" max="3" width="15.140625" customWidth="1"/>
    <col min="4" max="4" width="10.42578125" style="17" customWidth="1"/>
    <col min="5" max="7" width="9.140625" style="17"/>
    <col min="8" max="8" width="9.140625" style="17" customWidth="1"/>
    <col min="9" max="9" width="10.5703125" style="25" customWidth="1"/>
    <col min="10" max="11" width="9.140625" style="17"/>
    <col min="12" max="12" width="11.140625" style="17" customWidth="1"/>
    <col min="13" max="13" width="13.140625" style="17" customWidth="1"/>
  </cols>
  <sheetData>
    <row r="3" spans="3:13" x14ac:dyDescent="0.25">
      <c r="C3" s="1" t="s">
        <v>84</v>
      </c>
    </row>
    <row r="5" spans="3:13" x14ac:dyDescent="0.25">
      <c r="C5" s="8" t="s">
        <v>0</v>
      </c>
      <c r="D5" s="18" t="s">
        <v>1</v>
      </c>
      <c r="E5" s="18" t="s">
        <v>53</v>
      </c>
      <c r="F5" s="18" t="s">
        <v>85</v>
      </c>
      <c r="G5" s="18" t="s">
        <v>86</v>
      </c>
      <c r="H5" s="18" t="s">
        <v>88</v>
      </c>
      <c r="I5" s="27" t="s">
        <v>89</v>
      </c>
      <c r="J5" s="18" t="s">
        <v>3</v>
      </c>
      <c r="K5" s="18" t="s">
        <v>380</v>
      </c>
      <c r="L5" s="18" t="s">
        <v>95</v>
      </c>
      <c r="M5" s="18" t="s">
        <v>381</v>
      </c>
    </row>
    <row r="6" spans="3:13" x14ac:dyDescent="0.25">
      <c r="C6" t="s">
        <v>75</v>
      </c>
      <c r="D6" s="17">
        <v>239</v>
      </c>
      <c r="E6" s="17">
        <v>140</v>
      </c>
      <c r="F6" s="17">
        <v>12</v>
      </c>
      <c r="G6" s="17">
        <v>9449</v>
      </c>
      <c r="H6" s="17">
        <v>1088</v>
      </c>
      <c r="I6" s="25">
        <f t="shared" ref="I6:I13" si="0">H6/D6</f>
        <v>4.5523012552301259</v>
      </c>
      <c r="J6" s="17">
        <v>9</v>
      </c>
      <c r="K6" s="17">
        <v>53</v>
      </c>
      <c r="L6" s="17">
        <v>21</v>
      </c>
      <c r="M6" s="25">
        <f>100-(L6*100/K6)</f>
        <v>60.377358490566039</v>
      </c>
    </row>
    <row r="7" spans="3:13" x14ac:dyDescent="0.25">
      <c r="C7" t="s">
        <v>435</v>
      </c>
      <c r="D7" s="17">
        <v>13</v>
      </c>
      <c r="E7" s="17">
        <v>9</v>
      </c>
      <c r="F7" s="17">
        <v>1</v>
      </c>
      <c r="G7" s="17">
        <v>567</v>
      </c>
      <c r="H7" s="17">
        <v>77</v>
      </c>
      <c r="I7" s="25">
        <f t="shared" si="0"/>
        <v>5.9230769230769234</v>
      </c>
      <c r="J7" s="17">
        <v>0</v>
      </c>
      <c r="K7" s="17">
        <v>14</v>
      </c>
      <c r="L7" s="17">
        <v>5</v>
      </c>
      <c r="M7" s="25">
        <f>100-(L7*100/K7)</f>
        <v>64.285714285714278</v>
      </c>
    </row>
    <row r="8" spans="3:13" x14ac:dyDescent="0.25">
      <c r="C8" t="s">
        <v>294</v>
      </c>
      <c r="D8" s="17">
        <v>8</v>
      </c>
      <c r="E8" s="17">
        <v>4</v>
      </c>
      <c r="F8" s="17">
        <v>0</v>
      </c>
      <c r="G8" s="17">
        <v>324</v>
      </c>
      <c r="H8" s="17">
        <v>42</v>
      </c>
      <c r="I8" s="25">
        <f t="shared" si="0"/>
        <v>5.25</v>
      </c>
      <c r="J8" s="17">
        <v>0</v>
      </c>
      <c r="K8" s="17">
        <v>5</v>
      </c>
      <c r="L8" s="17">
        <v>4</v>
      </c>
      <c r="M8" s="25">
        <f>100-(L8*100/K8)</f>
        <v>20</v>
      </c>
    </row>
    <row r="9" spans="3:13" x14ac:dyDescent="0.25">
      <c r="C9" t="s">
        <v>1672</v>
      </c>
      <c r="D9" s="17">
        <v>4</v>
      </c>
      <c r="E9" s="17">
        <v>3</v>
      </c>
      <c r="F9" s="17">
        <v>0</v>
      </c>
      <c r="G9" s="17">
        <v>180</v>
      </c>
      <c r="H9" s="17">
        <v>21</v>
      </c>
      <c r="I9" s="25">
        <f t="shared" si="0"/>
        <v>5.25</v>
      </c>
      <c r="J9" s="17">
        <v>0</v>
      </c>
      <c r="K9" s="17">
        <v>3</v>
      </c>
      <c r="L9" s="17">
        <v>0</v>
      </c>
      <c r="M9" s="25">
        <f>100-(L9*100/K9)</f>
        <v>100</v>
      </c>
    </row>
    <row r="10" spans="3:13" x14ac:dyDescent="0.25">
      <c r="C10" t="s">
        <v>87</v>
      </c>
      <c r="D10" s="17">
        <v>8</v>
      </c>
      <c r="E10" s="17">
        <v>2</v>
      </c>
      <c r="F10" s="17">
        <v>0</v>
      </c>
      <c r="G10" s="17">
        <v>324</v>
      </c>
      <c r="H10" s="17">
        <v>41</v>
      </c>
      <c r="I10" s="25">
        <f t="shared" si="0"/>
        <v>5.125</v>
      </c>
      <c r="J10" s="17">
        <v>0</v>
      </c>
      <c r="K10" s="17">
        <v>2</v>
      </c>
      <c r="L10" s="17">
        <v>0</v>
      </c>
      <c r="M10" s="25">
        <f>100-(L10*100/K10)</f>
        <v>100</v>
      </c>
    </row>
    <row r="11" spans="3:13" x14ac:dyDescent="0.25">
      <c r="C11" t="s">
        <v>91</v>
      </c>
      <c r="D11" s="17">
        <v>4</v>
      </c>
      <c r="E11" s="17">
        <v>1</v>
      </c>
      <c r="F11" s="17">
        <v>0</v>
      </c>
      <c r="G11" s="17">
        <v>180</v>
      </c>
      <c r="H11" s="17">
        <v>36</v>
      </c>
      <c r="I11" s="25">
        <f t="shared" si="0"/>
        <v>9</v>
      </c>
      <c r="J11" s="17">
        <v>1</v>
      </c>
      <c r="M11" s="25"/>
    </row>
    <row r="12" spans="3:13" x14ac:dyDescent="0.25">
      <c r="C12" t="s">
        <v>7</v>
      </c>
      <c r="D12" s="17">
        <v>1</v>
      </c>
      <c r="E12" s="17">
        <v>0</v>
      </c>
      <c r="F12" s="17">
        <v>0</v>
      </c>
      <c r="G12" s="17">
        <v>45</v>
      </c>
      <c r="H12" s="17">
        <v>12</v>
      </c>
      <c r="I12" s="25">
        <f t="shared" si="0"/>
        <v>12</v>
      </c>
      <c r="J12" s="17">
        <v>0</v>
      </c>
      <c r="M12" s="25"/>
    </row>
    <row r="13" spans="3:13" x14ac:dyDescent="0.25">
      <c r="C13" t="s">
        <v>1369</v>
      </c>
      <c r="D13" s="17">
        <v>2</v>
      </c>
      <c r="E13" s="17">
        <v>0</v>
      </c>
      <c r="F13" s="17">
        <v>0</v>
      </c>
      <c r="G13" s="17">
        <v>90</v>
      </c>
      <c r="H13" s="17">
        <v>35</v>
      </c>
      <c r="I13" s="25">
        <f t="shared" si="0"/>
        <v>17.5</v>
      </c>
      <c r="J13" s="17">
        <v>0</v>
      </c>
      <c r="M13" s="25"/>
    </row>
    <row r="14" spans="3:13" x14ac:dyDescent="0.25">
      <c r="M14" s="25"/>
    </row>
    <row r="15" spans="3:13" x14ac:dyDescent="0.25">
      <c r="M15" s="25"/>
    </row>
    <row r="16" spans="3:13" x14ac:dyDescent="0.25">
      <c r="C16" s="1" t="s">
        <v>1643</v>
      </c>
      <c r="M16" s="25"/>
    </row>
    <row r="17" spans="3:13" x14ac:dyDescent="0.25">
      <c r="C17" s="8" t="s">
        <v>0</v>
      </c>
      <c r="D17" s="18" t="s">
        <v>1</v>
      </c>
      <c r="E17" s="18" t="s">
        <v>53</v>
      </c>
      <c r="F17" s="18" t="s">
        <v>85</v>
      </c>
      <c r="G17" s="18" t="s">
        <v>86</v>
      </c>
      <c r="H17" s="18" t="s">
        <v>88</v>
      </c>
      <c r="I17" s="27" t="s">
        <v>89</v>
      </c>
      <c r="J17" s="18" t="s">
        <v>3</v>
      </c>
      <c r="K17" s="18" t="s">
        <v>380</v>
      </c>
      <c r="L17" s="18" t="s">
        <v>95</v>
      </c>
      <c r="M17" s="18" t="s">
        <v>381</v>
      </c>
    </row>
    <row r="18" spans="3:13" x14ac:dyDescent="0.25">
      <c r="C18" t="s">
        <v>1672</v>
      </c>
      <c r="D18" s="17">
        <v>4</v>
      </c>
      <c r="E18" s="17">
        <v>3</v>
      </c>
      <c r="F18" s="17">
        <v>0</v>
      </c>
      <c r="G18" s="17">
        <v>180</v>
      </c>
      <c r="H18" s="17">
        <v>21</v>
      </c>
      <c r="I18" s="25">
        <f>H18/D18</f>
        <v>5.25</v>
      </c>
      <c r="J18" s="17">
        <v>0</v>
      </c>
      <c r="K18" s="17">
        <v>3</v>
      </c>
      <c r="L18" s="17">
        <v>0</v>
      </c>
      <c r="M18" s="25">
        <f>100-(L18*100/K18)</f>
        <v>100</v>
      </c>
    </row>
    <row r="19" spans="3:13" x14ac:dyDescent="0.25">
      <c r="C19" t="s">
        <v>75</v>
      </c>
      <c r="D19" s="17">
        <v>2</v>
      </c>
      <c r="E19" s="17">
        <v>2</v>
      </c>
      <c r="F19" s="17">
        <v>0</v>
      </c>
      <c r="G19" s="17">
        <v>90</v>
      </c>
      <c r="H19" s="17">
        <v>11</v>
      </c>
      <c r="I19" s="25">
        <f>H19/D19</f>
        <v>5.5</v>
      </c>
      <c r="M19" s="25"/>
    </row>
    <row r="22" spans="3:13" x14ac:dyDescent="0.25">
      <c r="C22" s="1" t="s">
        <v>1389</v>
      </c>
      <c r="M22" s="25"/>
    </row>
    <row r="23" spans="3:13" x14ac:dyDescent="0.25">
      <c r="C23" s="8" t="s">
        <v>0</v>
      </c>
      <c r="D23" s="18" t="s">
        <v>1</v>
      </c>
      <c r="E23" s="18" t="s">
        <v>53</v>
      </c>
      <c r="F23" s="18" t="s">
        <v>85</v>
      </c>
      <c r="G23" s="18" t="s">
        <v>86</v>
      </c>
      <c r="H23" s="18" t="s">
        <v>88</v>
      </c>
      <c r="I23" s="27" t="s">
        <v>89</v>
      </c>
      <c r="J23" s="18" t="s">
        <v>3</v>
      </c>
      <c r="K23" s="18" t="s">
        <v>380</v>
      </c>
      <c r="L23" s="18" t="s">
        <v>95</v>
      </c>
      <c r="M23" s="18" t="s">
        <v>381</v>
      </c>
    </row>
    <row r="24" spans="3:13" x14ac:dyDescent="0.25">
      <c r="C24" s="5" t="s">
        <v>75</v>
      </c>
      <c r="D24" s="24">
        <v>18</v>
      </c>
      <c r="E24" s="24">
        <v>3</v>
      </c>
      <c r="F24" s="24">
        <v>0</v>
      </c>
      <c r="G24" s="24">
        <v>810</v>
      </c>
      <c r="H24" s="24">
        <v>124</v>
      </c>
      <c r="I24" s="26">
        <f>H24/D24</f>
        <v>6.8888888888888893</v>
      </c>
      <c r="J24" s="24">
        <v>1</v>
      </c>
      <c r="K24" s="24">
        <v>9</v>
      </c>
      <c r="L24" s="24">
        <v>3</v>
      </c>
      <c r="M24" s="26">
        <f>100-L24*100/K24</f>
        <v>66.666666666666657</v>
      </c>
    </row>
    <row r="25" spans="3:13" x14ac:dyDescent="0.25">
      <c r="C25" s="5" t="s">
        <v>435</v>
      </c>
      <c r="D25" s="24">
        <v>4</v>
      </c>
      <c r="E25" s="24">
        <v>2</v>
      </c>
      <c r="F25" s="24">
        <v>0</v>
      </c>
      <c r="G25" s="24">
        <v>180</v>
      </c>
      <c r="H25" s="24">
        <v>30</v>
      </c>
      <c r="I25" s="26">
        <f>H25/D25</f>
        <v>7.5</v>
      </c>
      <c r="J25" s="24">
        <v>0</v>
      </c>
      <c r="K25" s="24">
        <v>5</v>
      </c>
      <c r="L25" s="24">
        <v>2</v>
      </c>
      <c r="M25" s="26">
        <f>100-L25*100/K25</f>
        <v>60</v>
      </c>
    </row>
    <row r="26" spans="3:13" x14ac:dyDescent="0.25">
      <c r="C26" s="5" t="s">
        <v>1369</v>
      </c>
      <c r="D26" s="24">
        <v>2</v>
      </c>
      <c r="E26" s="24">
        <v>0</v>
      </c>
      <c r="F26" s="24">
        <v>0</v>
      </c>
      <c r="G26" s="24">
        <v>90</v>
      </c>
      <c r="H26" s="24">
        <v>35</v>
      </c>
      <c r="I26" s="26">
        <f>H26/D26</f>
        <v>17.5</v>
      </c>
      <c r="J26" s="24">
        <v>0</v>
      </c>
      <c r="K26" s="24"/>
      <c r="L26" s="24"/>
      <c r="M26" s="26"/>
    </row>
    <row r="28" spans="3:13" x14ac:dyDescent="0.25">
      <c r="M28" s="25"/>
    </row>
    <row r="29" spans="3:13" x14ac:dyDescent="0.25">
      <c r="C29" s="1" t="s">
        <v>1154</v>
      </c>
      <c r="M29" s="25"/>
    </row>
    <row r="30" spans="3:13" x14ac:dyDescent="0.25">
      <c r="C30" s="8" t="s">
        <v>0</v>
      </c>
      <c r="D30" s="18" t="s">
        <v>1</v>
      </c>
      <c r="E30" s="18" t="s">
        <v>53</v>
      </c>
      <c r="F30" s="18" t="s">
        <v>85</v>
      </c>
      <c r="G30" s="18" t="s">
        <v>86</v>
      </c>
      <c r="H30" s="18" t="s">
        <v>88</v>
      </c>
      <c r="I30" s="27" t="s">
        <v>89</v>
      </c>
      <c r="J30" s="18" t="s">
        <v>3</v>
      </c>
      <c r="K30" s="18" t="s">
        <v>380</v>
      </c>
      <c r="L30" s="18" t="s">
        <v>95</v>
      </c>
      <c r="M30" s="18" t="s">
        <v>381</v>
      </c>
    </row>
    <row r="31" spans="3:13" x14ac:dyDescent="0.25">
      <c r="C31" s="5" t="s">
        <v>75</v>
      </c>
      <c r="D31" s="24">
        <v>21</v>
      </c>
      <c r="E31" s="24">
        <v>17</v>
      </c>
      <c r="F31" s="24">
        <v>1</v>
      </c>
      <c r="G31" s="24">
        <v>945</v>
      </c>
      <c r="H31" s="24">
        <v>73</v>
      </c>
      <c r="I31" s="26">
        <f>H31/D31</f>
        <v>3.4761904761904763</v>
      </c>
      <c r="J31" s="24">
        <v>1</v>
      </c>
      <c r="K31" s="24">
        <v>9</v>
      </c>
      <c r="L31" s="24">
        <v>6</v>
      </c>
      <c r="M31" s="26">
        <f>100-L31*100/K31</f>
        <v>33.333333333333329</v>
      </c>
    </row>
    <row r="32" spans="3:13" x14ac:dyDescent="0.25">
      <c r="C32" s="5" t="s">
        <v>435</v>
      </c>
      <c r="D32" s="24">
        <v>2</v>
      </c>
      <c r="E32" s="24">
        <v>1</v>
      </c>
      <c r="F32" s="24">
        <v>0</v>
      </c>
      <c r="G32" s="24">
        <v>90</v>
      </c>
      <c r="H32" s="24">
        <v>9</v>
      </c>
      <c r="I32" s="26">
        <f>H32/D32</f>
        <v>4.5</v>
      </c>
      <c r="J32" s="24">
        <v>0</v>
      </c>
      <c r="K32" s="24">
        <v>1</v>
      </c>
      <c r="L32" s="24">
        <v>0</v>
      </c>
      <c r="M32" s="26">
        <f>100-L32*100/K32</f>
        <v>100</v>
      </c>
    </row>
    <row r="33" spans="3:13" x14ac:dyDescent="0.25">
      <c r="C33" s="5" t="s">
        <v>7</v>
      </c>
      <c r="D33" s="24">
        <v>1</v>
      </c>
      <c r="E33" s="24">
        <v>0</v>
      </c>
      <c r="F33" s="24">
        <v>0</v>
      </c>
      <c r="G33" s="24">
        <v>45</v>
      </c>
      <c r="H33" s="24">
        <v>12</v>
      </c>
      <c r="I33" s="26">
        <f>H33/D33</f>
        <v>12</v>
      </c>
      <c r="J33" s="24">
        <v>0</v>
      </c>
      <c r="K33" s="24"/>
      <c r="L33" s="24"/>
      <c r="M33" s="26"/>
    </row>
    <row r="36" spans="3:13" x14ac:dyDescent="0.25">
      <c r="C36" s="1" t="s">
        <v>473</v>
      </c>
      <c r="M36" s="25"/>
    </row>
    <row r="37" spans="3:13" x14ac:dyDescent="0.25">
      <c r="C37" s="8" t="s">
        <v>0</v>
      </c>
      <c r="D37" s="18" t="s">
        <v>1</v>
      </c>
      <c r="E37" s="18" t="s">
        <v>53</v>
      </c>
      <c r="F37" s="18" t="s">
        <v>85</v>
      </c>
      <c r="G37" s="18" t="s">
        <v>86</v>
      </c>
      <c r="H37" s="18" t="s">
        <v>88</v>
      </c>
      <c r="I37" s="27" t="s">
        <v>89</v>
      </c>
      <c r="J37" s="18" t="s">
        <v>3</v>
      </c>
      <c r="K37" s="18" t="s">
        <v>380</v>
      </c>
      <c r="L37" s="18" t="s">
        <v>95</v>
      </c>
      <c r="M37" s="18" t="s">
        <v>381</v>
      </c>
    </row>
    <row r="38" spans="3:13" x14ac:dyDescent="0.25">
      <c r="C38" s="5" t="s">
        <v>75</v>
      </c>
      <c r="D38" s="24">
        <v>18</v>
      </c>
      <c r="E38" s="24">
        <v>10</v>
      </c>
      <c r="F38" s="24">
        <v>0</v>
      </c>
      <c r="G38" s="24">
        <v>810</v>
      </c>
      <c r="H38" s="24">
        <v>96</v>
      </c>
      <c r="I38" s="26">
        <f>H38/D38</f>
        <v>5.333333333333333</v>
      </c>
      <c r="J38" s="24">
        <v>0</v>
      </c>
      <c r="K38" s="24">
        <v>12</v>
      </c>
      <c r="L38" s="24">
        <v>5</v>
      </c>
      <c r="M38" s="26">
        <f>100-L38*100/K38</f>
        <v>58.333333333333336</v>
      </c>
    </row>
    <row r="39" spans="3:13" x14ac:dyDescent="0.25">
      <c r="C39" s="5" t="s">
        <v>435</v>
      </c>
      <c r="D39" s="24">
        <v>5</v>
      </c>
      <c r="E39" s="24">
        <v>4</v>
      </c>
      <c r="F39" s="24">
        <v>0</v>
      </c>
      <c r="G39" s="24">
        <v>225</v>
      </c>
      <c r="H39" s="24">
        <v>34</v>
      </c>
      <c r="I39" s="26">
        <f>H39/D39</f>
        <v>6.8</v>
      </c>
      <c r="J39" s="24">
        <v>0</v>
      </c>
      <c r="K39" s="24">
        <v>7</v>
      </c>
      <c r="L39" s="24">
        <v>2</v>
      </c>
      <c r="M39" s="26">
        <f>100-L39*100/K39</f>
        <v>71.428571428571431</v>
      </c>
    </row>
    <row r="42" spans="3:13" x14ac:dyDescent="0.25">
      <c r="C42" s="1" t="s">
        <v>403</v>
      </c>
      <c r="M42" s="25"/>
    </row>
    <row r="43" spans="3:13" x14ac:dyDescent="0.25">
      <c r="C43" s="8" t="s">
        <v>0</v>
      </c>
      <c r="D43" s="18" t="s">
        <v>1</v>
      </c>
      <c r="E43" s="18" t="s">
        <v>53</v>
      </c>
      <c r="F43" s="18" t="s">
        <v>85</v>
      </c>
      <c r="G43" s="18" t="s">
        <v>86</v>
      </c>
      <c r="H43" s="18" t="s">
        <v>88</v>
      </c>
      <c r="I43" s="27" t="s">
        <v>89</v>
      </c>
      <c r="J43" s="18" t="s">
        <v>3</v>
      </c>
      <c r="K43" s="18" t="s">
        <v>380</v>
      </c>
      <c r="L43" s="18" t="s">
        <v>95</v>
      </c>
      <c r="M43" s="18" t="s">
        <v>381</v>
      </c>
    </row>
    <row r="44" spans="3:13" x14ac:dyDescent="0.25">
      <c r="C44" s="5" t="s">
        <v>75</v>
      </c>
      <c r="D44" s="24">
        <v>18</v>
      </c>
      <c r="E44" s="24">
        <v>18</v>
      </c>
      <c r="F44" s="24">
        <v>3</v>
      </c>
      <c r="G44" s="24">
        <v>648</v>
      </c>
      <c r="H44" s="24">
        <v>41</v>
      </c>
      <c r="I44" s="26">
        <f>H44/D44</f>
        <v>2.2777777777777777</v>
      </c>
      <c r="J44" s="24">
        <v>0</v>
      </c>
      <c r="K44" s="24">
        <v>5</v>
      </c>
      <c r="L44" s="24">
        <v>1</v>
      </c>
      <c r="M44" s="26">
        <f>100-L44*100/K44</f>
        <v>80</v>
      </c>
    </row>
    <row r="45" spans="3:13" x14ac:dyDescent="0.25">
      <c r="C45" s="5" t="s">
        <v>435</v>
      </c>
      <c r="D45" s="24">
        <v>2</v>
      </c>
      <c r="E45" s="24">
        <v>2</v>
      </c>
      <c r="F45" s="24">
        <v>1</v>
      </c>
      <c r="G45" s="24">
        <v>72</v>
      </c>
      <c r="H45" s="24">
        <v>4</v>
      </c>
      <c r="I45" s="26">
        <f>H45/D45</f>
        <v>2</v>
      </c>
      <c r="J45" s="24">
        <v>0</v>
      </c>
      <c r="K45" s="24">
        <v>1</v>
      </c>
      <c r="L45" s="24">
        <v>1</v>
      </c>
      <c r="M45" s="26">
        <f>100-L45*100/K45</f>
        <v>0</v>
      </c>
    </row>
    <row r="48" spans="3:13" x14ac:dyDescent="0.25">
      <c r="C48" s="1" t="s">
        <v>378</v>
      </c>
      <c r="M48" s="25"/>
    </row>
    <row r="49" spans="3:13" x14ac:dyDescent="0.25">
      <c r="C49" s="8" t="s">
        <v>0</v>
      </c>
      <c r="D49" s="18" t="s">
        <v>1</v>
      </c>
      <c r="E49" s="18" t="s">
        <v>53</v>
      </c>
      <c r="F49" s="18" t="s">
        <v>85</v>
      </c>
      <c r="G49" s="18" t="s">
        <v>86</v>
      </c>
      <c r="H49" s="18" t="s">
        <v>88</v>
      </c>
      <c r="I49" s="27" t="s">
        <v>89</v>
      </c>
      <c r="J49" s="18" t="s">
        <v>3</v>
      </c>
      <c r="K49" s="18" t="s">
        <v>380</v>
      </c>
      <c r="L49" s="18" t="s">
        <v>95</v>
      </c>
      <c r="M49" s="18" t="s">
        <v>381</v>
      </c>
    </row>
    <row r="50" spans="3:13" x14ac:dyDescent="0.25">
      <c r="C50" s="5" t="s">
        <v>294</v>
      </c>
      <c r="D50" s="24">
        <v>4</v>
      </c>
      <c r="E50" s="24">
        <v>3</v>
      </c>
      <c r="F50" s="24">
        <v>0</v>
      </c>
      <c r="G50" s="24">
        <v>144</v>
      </c>
      <c r="H50" s="24">
        <v>15</v>
      </c>
      <c r="I50" s="26">
        <f>H50/D50</f>
        <v>3.75</v>
      </c>
      <c r="J50" s="24">
        <v>0</v>
      </c>
      <c r="K50" s="24">
        <v>1</v>
      </c>
      <c r="L50" s="24">
        <v>1</v>
      </c>
      <c r="M50" s="26">
        <f>100-L50*100/K50</f>
        <v>0</v>
      </c>
    </row>
    <row r="51" spans="3:13" x14ac:dyDescent="0.25">
      <c r="M51" s="25"/>
    </row>
    <row r="52" spans="3:13" x14ac:dyDescent="0.25">
      <c r="M52" s="25"/>
    </row>
    <row r="53" spans="3:13" x14ac:dyDescent="0.25">
      <c r="C53" s="1" t="s">
        <v>349</v>
      </c>
      <c r="M53" s="25"/>
    </row>
    <row r="54" spans="3:13" x14ac:dyDescent="0.25">
      <c r="C54" s="8" t="s">
        <v>0</v>
      </c>
      <c r="D54" s="18" t="s">
        <v>1</v>
      </c>
      <c r="E54" s="18" t="s">
        <v>53</v>
      </c>
      <c r="F54" s="18" t="s">
        <v>85</v>
      </c>
      <c r="G54" s="18" t="s">
        <v>86</v>
      </c>
      <c r="H54" s="18" t="s">
        <v>88</v>
      </c>
      <c r="I54" s="27" t="s">
        <v>89</v>
      </c>
      <c r="J54" s="18" t="s">
        <v>3</v>
      </c>
      <c r="K54" s="18" t="s">
        <v>380</v>
      </c>
      <c r="L54" s="18" t="s">
        <v>95</v>
      </c>
      <c r="M54" s="18" t="s">
        <v>381</v>
      </c>
    </row>
    <row r="55" spans="3:13" x14ac:dyDescent="0.25">
      <c r="C55" s="5" t="s">
        <v>75</v>
      </c>
      <c r="D55" s="24">
        <v>14</v>
      </c>
      <c r="E55" s="24">
        <v>10</v>
      </c>
      <c r="F55" s="24">
        <v>0</v>
      </c>
      <c r="G55" s="24">
        <v>504</v>
      </c>
      <c r="H55" s="24">
        <v>50</v>
      </c>
      <c r="I55" s="26">
        <f>H55/D55</f>
        <v>3.5714285714285716</v>
      </c>
      <c r="J55" s="24">
        <v>0</v>
      </c>
      <c r="K55" s="24">
        <v>1</v>
      </c>
      <c r="L55" s="24">
        <v>0</v>
      </c>
      <c r="M55" s="26">
        <f>100-L55*100/K55</f>
        <v>100</v>
      </c>
    </row>
    <row r="56" spans="3:13" x14ac:dyDescent="0.25">
      <c r="M56" s="25"/>
    </row>
    <row r="57" spans="3:13" x14ac:dyDescent="0.25">
      <c r="M57" s="25"/>
    </row>
    <row r="58" spans="3:13" x14ac:dyDescent="0.25">
      <c r="C58" s="1" t="s">
        <v>319</v>
      </c>
      <c r="M58" s="25"/>
    </row>
    <row r="59" spans="3:13" x14ac:dyDescent="0.25">
      <c r="C59" s="8" t="s">
        <v>0</v>
      </c>
      <c r="D59" s="18" t="s">
        <v>1</v>
      </c>
      <c r="E59" s="18" t="s">
        <v>53</v>
      </c>
      <c r="F59" s="18" t="s">
        <v>85</v>
      </c>
      <c r="G59" s="18" t="s">
        <v>86</v>
      </c>
      <c r="H59" s="18" t="s">
        <v>88</v>
      </c>
      <c r="I59" s="27" t="s">
        <v>89</v>
      </c>
      <c r="J59" s="18" t="s">
        <v>3</v>
      </c>
      <c r="K59" s="18" t="s">
        <v>380</v>
      </c>
      <c r="L59" s="18" t="s">
        <v>95</v>
      </c>
      <c r="M59" s="18" t="s">
        <v>381</v>
      </c>
    </row>
    <row r="60" spans="3:13" x14ac:dyDescent="0.25">
      <c r="C60" s="5" t="s">
        <v>75</v>
      </c>
      <c r="D60" s="24">
        <v>20</v>
      </c>
      <c r="E60" s="24">
        <v>9</v>
      </c>
      <c r="F60" s="24">
        <v>1</v>
      </c>
      <c r="G60" s="24">
        <v>720</v>
      </c>
      <c r="H60" s="24">
        <v>83</v>
      </c>
      <c r="I60" s="26">
        <f>H60/D60</f>
        <v>4.1500000000000004</v>
      </c>
      <c r="J60" s="24">
        <v>1</v>
      </c>
      <c r="K60" s="24">
        <v>3</v>
      </c>
      <c r="L60" s="24">
        <v>1</v>
      </c>
      <c r="M60" s="26">
        <f>100-L60*100/K60</f>
        <v>66.666666666666657</v>
      </c>
    </row>
    <row r="61" spans="3:13" x14ac:dyDescent="0.25">
      <c r="M61" s="25"/>
    </row>
    <row r="62" spans="3:13" x14ac:dyDescent="0.25">
      <c r="M62" s="25"/>
    </row>
    <row r="63" spans="3:13" x14ac:dyDescent="0.25">
      <c r="C63" s="1" t="s">
        <v>220</v>
      </c>
    </row>
    <row r="64" spans="3:13" x14ac:dyDescent="0.25">
      <c r="C64" s="8" t="s">
        <v>0</v>
      </c>
      <c r="D64" s="18" t="s">
        <v>1</v>
      </c>
      <c r="E64" s="18" t="s">
        <v>53</v>
      </c>
      <c r="F64" s="18" t="s">
        <v>85</v>
      </c>
      <c r="G64" s="18" t="s">
        <v>86</v>
      </c>
      <c r="H64" s="18" t="s">
        <v>88</v>
      </c>
      <c r="I64" s="27" t="s">
        <v>89</v>
      </c>
      <c r="J64" s="18" t="s">
        <v>3</v>
      </c>
      <c r="K64" s="18" t="s">
        <v>380</v>
      </c>
      <c r="L64" s="18" t="s">
        <v>95</v>
      </c>
      <c r="M64" s="18" t="s">
        <v>381</v>
      </c>
    </row>
    <row r="65" spans="3:13" x14ac:dyDescent="0.25">
      <c r="C65" s="5" t="s">
        <v>75</v>
      </c>
      <c r="D65" s="24">
        <v>20</v>
      </c>
      <c r="E65" s="24">
        <v>7</v>
      </c>
      <c r="F65" s="24">
        <v>0</v>
      </c>
      <c r="G65" s="24">
        <v>900</v>
      </c>
      <c r="H65" s="24">
        <v>136</v>
      </c>
      <c r="I65" s="26">
        <f>H65/D65</f>
        <v>6.8</v>
      </c>
      <c r="J65" s="24">
        <v>3</v>
      </c>
      <c r="K65" s="24">
        <v>3</v>
      </c>
      <c r="L65" s="24">
        <v>0</v>
      </c>
      <c r="M65" s="26">
        <f>100-(L65*100)/K65</f>
        <v>100</v>
      </c>
    </row>
    <row r="66" spans="3:13" x14ac:dyDescent="0.25">
      <c r="C66" s="5" t="s">
        <v>294</v>
      </c>
      <c r="D66" s="24">
        <v>4</v>
      </c>
      <c r="E66" s="24">
        <v>1</v>
      </c>
      <c r="F66" s="24">
        <v>0</v>
      </c>
      <c r="G66" s="24">
        <v>180</v>
      </c>
      <c r="H66" s="24">
        <v>27</v>
      </c>
      <c r="I66" s="26">
        <f>H66/D66</f>
        <v>6.75</v>
      </c>
      <c r="J66" s="24">
        <v>0</v>
      </c>
      <c r="K66" s="24">
        <v>4</v>
      </c>
      <c r="L66" s="24">
        <v>3</v>
      </c>
      <c r="M66" s="26">
        <f>100-(L66*100)/K66</f>
        <v>25</v>
      </c>
    </row>
    <row r="67" spans="3:13" x14ac:dyDescent="0.25">
      <c r="M67" s="25"/>
    </row>
    <row r="69" spans="3:13" x14ac:dyDescent="0.25">
      <c r="C69" s="1" t="s">
        <v>81</v>
      </c>
    </row>
    <row r="70" spans="3:13" x14ac:dyDescent="0.25">
      <c r="C70" s="8" t="s">
        <v>0</v>
      </c>
      <c r="D70" s="18" t="s">
        <v>1</v>
      </c>
      <c r="E70" s="18" t="s">
        <v>53</v>
      </c>
      <c r="F70" s="18" t="s">
        <v>85</v>
      </c>
      <c r="G70" s="18" t="s">
        <v>86</v>
      </c>
      <c r="H70" s="18" t="s">
        <v>88</v>
      </c>
      <c r="I70" s="27" t="s">
        <v>89</v>
      </c>
      <c r="J70" s="18" t="s">
        <v>3</v>
      </c>
      <c r="K70" s="18" t="s">
        <v>380</v>
      </c>
      <c r="L70" s="18" t="s">
        <v>95</v>
      </c>
      <c r="M70" s="18" t="s">
        <v>381</v>
      </c>
    </row>
    <row r="71" spans="3:13" x14ac:dyDescent="0.25">
      <c r="C71" s="5" t="s">
        <v>75</v>
      </c>
      <c r="D71" s="24">
        <v>16</v>
      </c>
      <c r="E71" s="24">
        <v>9</v>
      </c>
      <c r="F71" s="24">
        <v>0</v>
      </c>
      <c r="G71" s="24">
        <v>720</v>
      </c>
      <c r="H71" s="24">
        <v>101</v>
      </c>
      <c r="I71" s="26">
        <f>H71/D71</f>
        <v>6.3125</v>
      </c>
      <c r="J71" s="24">
        <v>0</v>
      </c>
      <c r="K71" s="24">
        <v>5</v>
      </c>
      <c r="L71" s="24">
        <v>0</v>
      </c>
      <c r="M71" s="26">
        <f>100-(L71*100)/K71</f>
        <v>100</v>
      </c>
    </row>
    <row r="72" spans="3:13" x14ac:dyDescent="0.25">
      <c r="C72" s="5" t="s">
        <v>87</v>
      </c>
      <c r="D72" s="24">
        <v>4</v>
      </c>
      <c r="E72" s="24">
        <v>1</v>
      </c>
      <c r="F72" s="24">
        <v>0</v>
      </c>
      <c r="G72" s="24">
        <v>180</v>
      </c>
      <c r="H72" s="24">
        <v>24</v>
      </c>
      <c r="I72" s="26">
        <f>H72/D72</f>
        <v>6</v>
      </c>
      <c r="J72" s="24">
        <v>0</v>
      </c>
      <c r="K72" s="24">
        <v>1</v>
      </c>
      <c r="L72" s="24">
        <v>0</v>
      </c>
      <c r="M72" s="26">
        <f>100-(L72*100)/K72</f>
        <v>100</v>
      </c>
    </row>
    <row r="73" spans="3:13" x14ac:dyDescent="0.25">
      <c r="C73" s="5" t="s">
        <v>91</v>
      </c>
      <c r="D73" s="24">
        <v>4</v>
      </c>
      <c r="E73" s="24">
        <v>1</v>
      </c>
      <c r="F73" s="24">
        <v>0</v>
      </c>
      <c r="G73" s="24">
        <v>180</v>
      </c>
      <c r="H73" s="24">
        <v>36</v>
      </c>
      <c r="I73" s="26">
        <f>H73/D73</f>
        <v>9</v>
      </c>
      <c r="J73" s="24">
        <v>1</v>
      </c>
      <c r="K73" s="24"/>
      <c r="L73" s="24"/>
      <c r="M73" s="24"/>
    </row>
    <row r="76" spans="3:13" x14ac:dyDescent="0.25">
      <c r="C76" s="1" t="s">
        <v>80</v>
      </c>
      <c r="M76" s="25"/>
    </row>
    <row r="77" spans="3:13" x14ac:dyDescent="0.25">
      <c r="C77" s="8" t="s">
        <v>0</v>
      </c>
      <c r="D77" s="18" t="s">
        <v>1</v>
      </c>
      <c r="E77" s="18" t="s">
        <v>53</v>
      </c>
      <c r="F77" s="18" t="s">
        <v>85</v>
      </c>
      <c r="G77" s="18" t="s">
        <v>86</v>
      </c>
      <c r="H77" s="18" t="s">
        <v>88</v>
      </c>
      <c r="I77" s="27" t="s">
        <v>89</v>
      </c>
      <c r="J77" s="18" t="s">
        <v>3</v>
      </c>
      <c r="K77" s="18" t="s">
        <v>380</v>
      </c>
      <c r="L77" s="18" t="s">
        <v>95</v>
      </c>
      <c r="M77" s="18" t="s">
        <v>381</v>
      </c>
    </row>
    <row r="78" spans="3:13" x14ac:dyDescent="0.25">
      <c r="C78" s="5" t="s">
        <v>75</v>
      </c>
      <c r="D78" s="24">
        <v>16</v>
      </c>
      <c r="E78" s="24">
        <v>14</v>
      </c>
      <c r="F78" s="24">
        <v>0</v>
      </c>
      <c r="G78" s="24">
        <v>566</v>
      </c>
      <c r="H78" s="24">
        <v>52</v>
      </c>
      <c r="I78" s="26">
        <f>H78/D78</f>
        <v>3.25</v>
      </c>
      <c r="J78" s="24">
        <v>2</v>
      </c>
      <c r="K78" s="24">
        <v>2</v>
      </c>
      <c r="L78" s="24">
        <v>1</v>
      </c>
      <c r="M78" s="26">
        <f>100-(L78*100/K78)</f>
        <v>50</v>
      </c>
    </row>
    <row r="79" spans="3:13" x14ac:dyDescent="0.25">
      <c r="C79" s="5" t="s">
        <v>87</v>
      </c>
      <c r="D79" s="24">
        <v>4</v>
      </c>
      <c r="E79" s="24">
        <v>1</v>
      </c>
      <c r="F79" s="24">
        <v>0</v>
      </c>
      <c r="G79" s="24">
        <v>144</v>
      </c>
      <c r="H79" s="24">
        <v>17</v>
      </c>
      <c r="I79" s="26">
        <f>H79/D79</f>
        <v>4.25</v>
      </c>
      <c r="J79" s="24">
        <v>0</v>
      </c>
      <c r="K79" s="24">
        <v>1</v>
      </c>
      <c r="L79" s="24">
        <v>0</v>
      </c>
      <c r="M79" s="26">
        <f>100-(L79*100/K79)</f>
        <v>100</v>
      </c>
    </row>
    <row r="82" spans="3:13" x14ac:dyDescent="0.25">
      <c r="C82" s="1" t="s">
        <v>40</v>
      </c>
      <c r="M82" s="25"/>
    </row>
    <row r="83" spans="3:13" x14ac:dyDescent="0.25">
      <c r="C83" s="8" t="s">
        <v>0</v>
      </c>
      <c r="D83" s="18" t="s">
        <v>1</v>
      </c>
      <c r="E83" s="18" t="s">
        <v>53</v>
      </c>
      <c r="F83" s="18" t="s">
        <v>85</v>
      </c>
      <c r="G83" s="18" t="s">
        <v>86</v>
      </c>
      <c r="H83" s="18" t="s">
        <v>88</v>
      </c>
      <c r="I83" s="27" t="s">
        <v>89</v>
      </c>
      <c r="J83" s="18" t="s">
        <v>3</v>
      </c>
      <c r="K83" s="18" t="s">
        <v>380</v>
      </c>
      <c r="L83" s="18" t="s">
        <v>95</v>
      </c>
      <c r="M83" s="18" t="s">
        <v>381</v>
      </c>
    </row>
    <row r="84" spans="3:13" x14ac:dyDescent="0.25">
      <c r="C84" s="5" t="s">
        <v>75</v>
      </c>
      <c r="D84" s="24">
        <v>20</v>
      </c>
      <c r="E84" s="24">
        <v>14</v>
      </c>
      <c r="F84" s="24">
        <v>2</v>
      </c>
      <c r="G84" s="24">
        <v>720</v>
      </c>
      <c r="H84" s="24">
        <v>71</v>
      </c>
      <c r="I84" s="26">
        <f>H84/D84</f>
        <v>3.55</v>
      </c>
      <c r="J84" s="24">
        <v>0</v>
      </c>
      <c r="K84" s="24">
        <v>6</v>
      </c>
      <c r="L84" s="24">
        <v>5</v>
      </c>
      <c r="M84" s="26">
        <f>100-(L84*100/K84)</f>
        <v>16.666666666666671</v>
      </c>
    </row>
    <row r="87" spans="3:13" x14ac:dyDescent="0.25">
      <c r="C87" s="1" t="s">
        <v>60</v>
      </c>
    </row>
    <row r="88" spans="3:13" x14ac:dyDescent="0.25">
      <c r="C88" s="8" t="s">
        <v>0</v>
      </c>
      <c r="D88" s="18" t="s">
        <v>1</v>
      </c>
      <c r="E88" s="18" t="s">
        <v>53</v>
      </c>
      <c r="F88" s="18" t="s">
        <v>85</v>
      </c>
      <c r="G88" s="18" t="s">
        <v>86</v>
      </c>
      <c r="H88" s="18" t="s">
        <v>88</v>
      </c>
      <c r="I88" s="27" t="s">
        <v>89</v>
      </c>
      <c r="J88" s="18" t="s">
        <v>3</v>
      </c>
    </row>
    <row r="89" spans="3:13" x14ac:dyDescent="0.25">
      <c r="C89" s="5" t="s">
        <v>75</v>
      </c>
      <c r="D89" s="24">
        <v>18</v>
      </c>
      <c r="E89" s="24">
        <v>12</v>
      </c>
      <c r="F89" s="24">
        <v>1</v>
      </c>
      <c r="G89" s="24">
        <v>648</v>
      </c>
      <c r="H89" s="24">
        <v>68</v>
      </c>
      <c r="I89" s="26">
        <f>H89/D89</f>
        <v>3.7777777777777777</v>
      </c>
      <c r="J89" s="24">
        <v>0</v>
      </c>
    </row>
    <row r="92" spans="3:13" x14ac:dyDescent="0.25">
      <c r="C92" s="1" t="s">
        <v>59</v>
      </c>
    </row>
    <row r="93" spans="3:13" x14ac:dyDescent="0.25">
      <c r="C93" s="8" t="s">
        <v>0</v>
      </c>
      <c r="D93" s="18" t="s">
        <v>1</v>
      </c>
      <c r="E93" s="18" t="s">
        <v>53</v>
      </c>
      <c r="F93" s="18" t="s">
        <v>85</v>
      </c>
      <c r="G93" s="18" t="s">
        <v>86</v>
      </c>
      <c r="H93" s="18" t="s">
        <v>88</v>
      </c>
      <c r="I93" s="27" t="s">
        <v>89</v>
      </c>
      <c r="J93" s="18" t="s">
        <v>3</v>
      </c>
    </row>
    <row r="94" spans="3:13" x14ac:dyDescent="0.25">
      <c r="C94" s="5" t="s">
        <v>75</v>
      </c>
      <c r="D94" s="24">
        <v>20</v>
      </c>
      <c r="E94" s="24">
        <v>14</v>
      </c>
      <c r="F94" s="24">
        <v>4</v>
      </c>
      <c r="G94" s="24">
        <v>720</v>
      </c>
      <c r="H94" s="24">
        <v>59</v>
      </c>
      <c r="I94" s="26">
        <f>H94/D94</f>
        <v>2.95</v>
      </c>
      <c r="J94" s="24">
        <v>1</v>
      </c>
    </row>
    <row r="97" spans="3:10" x14ac:dyDescent="0.25">
      <c r="C97" s="1" t="s">
        <v>49</v>
      </c>
    </row>
    <row r="98" spans="3:10" x14ac:dyDescent="0.25">
      <c r="C98" s="8" t="s">
        <v>0</v>
      </c>
      <c r="D98" s="18" t="s">
        <v>1</v>
      </c>
      <c r="E98" s="18" t="s">
        <v>53</v>
      </c>
      <c r="F98" s="18" t="s">
        <v>85</v>
      </c>
      <c r="G98" s="18" t="s">
        <v>86</v>
      </c>
      <c r="H98" s="18" t="s">
        <v>88</v>
      </c>
      <c r="I98" s="27" t="s">
        <v>89</v>
      </c>
      <c r="J98" s="18" t="s">
        <v>3</v>
      </c>
    </row>
    <row r="99" spans="3:10" x14ac:dyDescent="0.25">
      <c r="C99" s="5" t="s">
        <v>75</v>
      </c>
      <c r="D99" s="24">
        <v>18</v>
      </c>
      <c r="E99" s="24">
        <v>1</v>
      </c>
      <c r="F99" s="24">
        <v>0</v>
      </c>
      <c r="G99" s="24">
        <v>648</v>
      </c>
      <c r="H99" s="24">
        <v>134</v>
      </c>
      <c r="I99" s="26">
        <f>H99/D99</f>
        <v>7.4444444444444446</v>
      </c>
      <c r="J99" s="24">
        <v>0</v>
      </c>
    </row>
  </sheetData>
  <sortState xmlns:xlrd2="http://schemas.microsoft.com/office/spreadsheetml/2017/richdata2" ref="C6:M13">
    <sortCondition descending="1" ref="E6:E13"/>
    <sortCondition ref="I6:I13"/>
  </sortState>
  <pageMargins left="0.7" right="0.7" top="0.78740157499999996" bottom="0.78740157499999996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C3:M106"/>
  <sheetViews>
    <sheetView workbookViewId="0">
      <selection activeCell="R18" sqref="R18"/>
    </sheetView>
  </sheetViews>
  <sheetFormatPr defaultRowHeight="15" x14ac:dyDescent="0.25"/>
  <cols>
    <col min="3" max="3" width="16" customWidth="1"/>
    <col min="4" max="8" width="9.140625" style="17"/>
    <col min="9" max="9" width="9.140625" style="25"/>
    <col min="10" max="11" width="9.140625" style="17"/>
    <col min="12" max="12" width="10.28515625" style="17" customWidth="1"/>
    <col min="13" max="13" width="13.5703125" style="17" customWidth="1"/>
  </cols>
  <sheetData>
    <row r="3" spans="3:13" x14ac:dyDescent="0.25">
      <c r="C3" s="1" t="s">
        <v>90</v>
      </c>
    </row>
    <row r="5" spans="3:13" x14ac:dyDescent="0.25">
      <c r="C5" s="8" t="s">
        <v>0</v>
      </c>
      <c r="D5" s="18" t="s">
        <v>1</v>
      </c>
      <c r="E5" s="18" t="s">
        <v>53</v>
      </c>
      <c r="F5" s="18" t="s">
        <v>85</v>
      </c>
      <c r="G5" s="18" t="s">
        <v>86</v>
      </c>
      <c r="H5" s="18" t="s">
        <v>88</v>
      </c>
      <c r="I5" s="27" t="s">
        <v>89</v>
      </c>
      <c r="J5" s="18" t="s">
        <v>3</v>
      </c>
      <c r="K5" s="18" t="s">
        <v>380</v>
      </c>
      <c r="L5" s="18" t="s">
        <v>95</v>
      </c>
      <c r="M5" s="18" t="s">
        <v>381</v>
      </c>
    </row>
    <row r="6" spans="3:13" x14ac:dyDescent="0.25">
      <c r="C6" t="s">
        <v>435</v>
      </c>
      <c r="D6" s="17">
        <v>58</v>
      </c>
      <c r="E6" s="17">
        <v>28</v>
      </c>
      <c r="F6" s="17">
        <v>2</v>
      </c>
      <c r="G6" s="17">
        <v>2188</v>
      </c>
      <c r="H6" s="17">
        <v>253</v>
      </c>
      <c r="I6" s="25">
        <f t="shared" ref="I6:I17" si="0">H6/D6</f>
        <v>4.3620689655172411</v>
      </c>
      <c r="J6" s="17">
        <v>2</v>
      </c>
      <c r="K6" s="17">
        <v>39</v>
      </c>
      <c r="L6" s="17">
        <v>16</v>
      </c>
      <c r="M6" s="25">
        <f>100-(L6*100/K6)</f>
        <v>58.974358974358971</v>
      </c>
    </row>
    <row r="7" spans="3:13" x14ac:dyDescent="0.25">
      <c r="C7" t="s">
        <v>75</v>
      </c>
      <c r="D7" s="17">
        <v>41</v>
      </c>
      <c r="E7" s="17">
        <v>20</v>
      </c>
      <c r="F7" s="17">
        <v>1</v>
      </c>
      <c r="G7" s="17">
        <v>1476</v>
      </c>
      <c r="H7" s="17">
        <v>172</v>
      </c>
      <c r="I7" s="25">
        <f t="shared" si="0"/>
        <v>4.1951219512195124</v>
      </c>
      <c r="J7" s="17">
        <v>2</v>
      </c>
      <c r="K7" s="17">
        <v>2</v>
      </c>
      <c r="L7" s="17">
        <v>1</v>
      </c>
      <c r="M7" s="25">
        <f>100-(L7*100/K7)</f>
        <v>50</v>
      </c>
    </row>
    <row r="8" spans="3:13" x14ac:dyDescent="0.25">
      <c r="C8" t="s">
        <v>294</v>
      </c>
      <c r="D8" s="17">
        <v>40</v>
      </c>
      <c r="E8" s="17">
        <v>19</v>
      </c>
      <c r="F8" s="17">
        <v>2</v>
      </c>
      <c r="G8" s="17">
        <v>1440</v>
      </c>
      <c r="H8" s="17">
        <v>183</v>
      </c>
      <c r="I8" s="25">
        <f t="shared" si="0"/>
        <v>4.5750000000000002</v>
      </c>
      <c r="J8" s="17">
        <v>1</v>
      </c>
      <c r="K8" s="17">
        <v>6</v>
      </c>
      <c r="L8" s="17">
        <v>3</v>
      </c>
      <c r="M8" s="25">
        <f>100-(L8*100/K8)</f>
        <v>50</v>
      </c>
    </row>
    <row r="9" spans="3:13" x14ac:dyDescent="0.25">
      <c r="C9" t="s">
        <v>91</v>
      </c>
      <c r="D9" s="17">
        <v>49</v>
      </c>
      <c r="E9" s="17">
        <v>19</v>
      </c>
      <c r="F9" s="17">
        <v>2</v>
      </c>
      <c r="G9" s="17">
        <v>1764</v>
      </c>
      <c r="H9" s="17">
        <v>250</v>
      </c>
      <c r="I9" s="25">
        <f t="shared" si="0"/>
        <v>5.1020408163265305</v>
      </c>
      <c r="J9" s="17">
        <v>3</v>
      </c>
      <c r="K9" s="17">
        <v>1</v>
      </c>
      <c r="L9" s="17">
        <v>0</v>
      </c>
      <c r="M9" s="25">
        <f>100-(L9*100/K9)</f>
        <v>100</v>
      </c>
    </row>
    <row r="10" spans="3:13" x14ac:dyDescent="0.25">
      <c r="C10" t="s">
        <v>1369</v>
      </c>
      <c r="D10" s="17">
        <v>6</v>
      </c>
      <c r="E10" s="17">
        <v>4</v>
      </c>
      <c r="F10" s="17">
        <v>1</v>
      </c>
      <c r="G10" s="17">
        <v>216</v>
      </c>
      <c r="H10" s="17">
        <v>21</v>
      </c>
      <c r="I10" s="25">
        <f t="shared" si="0"/>
        <v>3.5</v>
      </c>
      <c r="J10" s="17">
        <v>0</v>
      </c>
      <c r="M10" s="25"/>
    </row>
    <row r="11" spans="3:13" x14ac:dyDescent="0.25">
      <c r="C11" t="s">
        <v>87</v>
      </c>
      <c r="D11" s="17">
        <v>23</v>
      </c>
      <c r="E11" s="17">
        <v>4</v>
      </c>
      <c r="F11" s="17">
        <v>0</v>
      </c>
      <c r="G11" s="17">
        <v>828</v>
      </c>
      <c r="H11" s="17">
        <v>142</v>
      </c>
      <c r="I11" s="25">
        <f t="shared" si="0"/>
        <v>6.1739130434782608</v>
      </c>
      <c r="J11" s="17">
        <v>0</v>
      </c>
      <c r="K11" s="17">
        <v>2</v>
      </c>
      <c r="L11" s="17">
        <v>2</v>
      </c>
      <c r="M11" s="25">
        <f>100-(L11*100/K11)</f>
        <v>0</v>
      </c>
    </row>
    <row r="12" spans="3:13" x14ac:dyDescent="0.25">
      <c r="C12" t="s">
        <v>1672</v>
      </c>
      <c r="D12" s="17">
        <v>2</v>
      </c>
      <c r="E12" s="17">
        <v>1</v>
      </c>
      <c r="F12" s="17">
        <v>0</v>
      </c>
      <c r="G12" s="17">
        <v>72</v>
      </c>
      <c r="H12" s="17">
        <v>9</v>
      </c>
      <c r="I12" s="25">
        <f t="shared" si="0"/>
        <v>4.5</v>
      </c>
      <c r="M12" s="25"/>
    </row>
    <row r="13" spans="3:13" x14ac:dyDescent="0.25">
      <c r="C13" t="s">
        <v>1478</v>
      </c>
      <c r="D13" s="17">
        <v>8</v>
      </c>
      <c r="E13" s="17">
        <v>1</v>
      </c>
      <c r="F13" s="17">
        <v>0</v>
      </c>
      <c r="G13" s="17">
        <v>276</v>
      </c>
      <c r="H13" s="17">
        <v>53</v>
      </c>
      <c r="I13" s="25">
        <f t="shared" si="0"/>
        <v>6.625</v>
      </c>
      <c r="J13" s="17">
        <v>0</v>
      </c>
      <c r="K13" s="17">
        <v>7</v>
      </c>
      <c r="L13" s="17">
        <v>4</v>
      </c>
      <c r="M13" s="25">
        <f>100-(L13*100/K13)</f>
        <v>42.857142857142854</v>
      </c>
    </row>
    <row r="14" spans="3:13" x14ac:dyDescent="0.25">
      <c r="C14" t="s">
        <v>257</v>
      </c>
      <c r="D14" s="17">
        <v>10</v>
      </c>
      <c r="E14" s="17">
        <v>1</v>
      </c>
      <c r="F14" s="17">
        <v>0</v>
      </c>
      <c r="G14" s="17">
        <v>360</v>
      </c>
      <c r="H14" s="17">
        <v>67</v>
      </c>
      <c r="I14" s="25">
        <f t="shared" si="0"/>
        <v>6.7</v>
      </c>
      <c r="J14" s="17">
        <v>0</v>
      </c>
      <c r="K14" s="17">
        <v>1</v>
      </c>
      <c r="L14" s="17">
        <v>0</v>
      </c>
      <c r="M14" s="25">
        <f>100-(L14*100/K14)</f>
        <v>100</v>
      </c>
    </row>
    <row r="15" spans="3:13" x14ac:dyDescent="0.25">
      <c r="C15" t="s">
        <v>22</v>
      </c>
      <c r="D15" s="17">
        <v>2</v>
      </c>
      <c r="E15" s="17">
        <v>0</v>
      </c>
      <c r="F15" s="17">
        <v>0</v>
      </c>
      <c r="G15" s="17">
        <v>48</v>
      </c>
      <c r="H15" s="17">
        <v>11</v>
      </c>
      <c r="I15" s="25">
        <f t="shared" si="0"/>
        <v>5.5</v>
      </c>
      <c r="J15" s="17">
        <v>0</v>
      </c>
      <c r="M15" s="25"/>
    </row>
    <row r="16" spans="3:13" x14ac:dyDescent="0.25">
      <c r="C16" t="s">
        <v>250</v>
      </c>
      <c r="D16" s="17">
        <v>1</v>
      </c>
      <c r="E16" s="17">
        <v>0</v>
      </c>
      <c r="F16" s="17">
        <v>0</v>
      </c>
      <c r="G16" s="17">
        <v>36</v>
      </c>
      <c r="H16" s="17">
        <v>6</v>
      </c>
      <c r="I16" s="25">
        <f t="shared" si="0"/>
        <v>6</v>
      </c>
      <c r="J16" s="17">
        <v>0</v>
      </c>
      <c r="M16" s="25"/>
    </row>
    <row r="17" spans="3:13" x14ac:dyDescent="0.25">
      <c r="C17" t="s">
        <v>293</v>
      </c>
      <c r="D17" s="17">
        <v>4</v>
      </c>
      <c r="E17" s="17">
        <v>0</v>
      </c>
      <c r="F17" s="17">
        <v>0</v>
      </c>
      <c r="G17" s="17">
        <v>144</v>
      </c>
      <c r="H17" s="17">
        <v>35</v>
      </c>
      <c r="I17" s="25">
        <f t="shared" si="0"/>
        <v>8.75</v>
      </c>
      <c r="J17" s="17">
        <v>0</v>
      </c>
      <c r="M17" s="25"/>
    </row>
    <row r="20" spans="3:13" x14ac:dyDescent="0.25">
      <c r="C20" s="1" t="s">
        <v>1643</v>
      </c>
      <c r="M20" s="25"/>
    </row>
    <row r="21" spans="3:13" x14ac:dyDescent="0.25">
      <c r="C21" s="8" t="s">
        <v>0</v>
      </c>
      <c r="D21" s="18" t="s">
        <v>1</v>
      </c>
      <c r="E21" s="18" t="s">
        <v>53</v>
      </c>
      <c r="F21" s="18" t="s">
        <v>85</v>
      </c>
      <c r="G21" s="18" t="s">
        <v>86</v>
      </c>
      <c r="H21" s="18" t="s">
        <v>88</v>
      </c>
      <c r="I21" s="27" t="s">
        <v>89</v>
      </c>
      <c r="J21" s="18" t="s">
        <v>3</v>
      </c>
      <c r="K21" s="18" t="s">
        <v>380</v>
      </c>
      <c r="L21" s="18" t="s">
        <v>95</v>
      </c>
      <c r="M21" s="18" t="s">
        <v>381</v>
      </c>
    </row>
    <row r="22" spans="3:13" x14ac:dyDescent="0.25">
      <c r="C22" t="s">
        <v>1369</v>
      </c>
      <c r="D22" s="17">
        <v>4</v>
      </c>
      <c r="E22" s="17">
        <v>3</v>
      </c>
      <c r="F22" s="17">
        <v>1</v>
      </c>
      <c r="G22" s="17">
        <v>144</v>
      </c>
      <c r="H22" s="17">
        <v>11</v>
      </c>
      <c r="I22" s="25">
        <f t="shared" ref="I22:I23" si="1">H22/D22</f>
        <v>2.75</v>
      </c>
      <c r="J22" s="17">
        <v>0</v>
      </c>
    </row>
    <row r="23" spans="3:13" x14ac:dyDescent="0.25">
      <c r="C23" t="s">
        <v>1672</v>
      </c>
      <c r="D23" s="17">
        <v>2</v>
      </c>
      <c r="E23" s="17">
        <v>1</v>
      </c>
      <c r="F23" s="17">
        <v>0</v>
      </c>
      <c r="G23" s="17">
        <v>72</v>
      </c>
      <c r="H23" s="17">
        <v>9</v>
      </c>
      <c r="I23" s="25">
        <f t="shared" si="1"/>
        <v>4.5</v>
      </c>
    </row>
    <row r="26" spans="3:13" x14ac:dyDescent="0.25">
      <c r="C26" s="1" t="s">
        <v>1389</v>
      </c>
      <c r="D26"/>
      <c r="E26"/>
      <c r="F26"/>
      <c r="G26"/>
      <c r="H26"/>
      <c r="I26" s="2"/>
      <c r="J26"/>
      <c r="K26"/>
      <c r="L26"/>
      <c r="M26" s="2"/>
    </row>
    <row r="27" spans="3:13" x14ac:dyDescent="0.25">
      <c r="C27" s="50" t="s">
        <v>0</v>
      </c>
      <c r="D27" s="18" t="s">
        <v>1</v>
      </c>
      <c r="E27" s="18" t="s">
        <v>53</v>
      </c>
      <c r="F27" s="18" t="s">
        <v>85</v>
      </c>
      <c r="G27" s="18" t="s">
        <v>86</v>
      </c>
      <c r="H27" s="18" t="s">
        <v>88</v>
      </c>
      <c r="I27" s="27" t="s">
        <v>89</v>
      </c>
      <c r="J27" s="18" t="s">
        <v>3</v>
      </c>
      <c r="K27" s="18" t="s">
        <v>380</v>
      </c>
      <c r="L27" s="18" t="s">
        <v>95</v>
      </c>
      <c r="M27" s="18" t="s">
        <v>381</v>
      </c>
    </row>
    <row r="28" spans="3:13" x14ac:dyDescent="0.25">
      <c r="C28" s="5" t="s">
        <v>435</v>
      </c>
      <c r="D28" s="24">
        <v>10</v>
      </c>
      <c r="E28" s="24">
        <v>3</v>
      </c>
      <c r="F28" s="24">
        <v>0</v>
      </c>
      <c r="G28" s="24">
        <v>360</v>
      </c>
      <c r="H28" s="24">
        <v>59</v>
      </c>
      <c r="I28" s="26">
        <f>H28/D28</f>
        <v>5.9</v>
      </c>
      <c r="J28" s="24">
        <v>1</v>
      </c>
      <c r="K28" s="24">
        <v>6</v>
      </c>
      <c r="L28" s="24">
        <v>2</v>
      </c>
      <c r="M28" s="26">
        <f>100-L28*100/K28</f>
        <v>66.666666666666657</v>
      </c>
    </row>
    <row r="29" spans="3:13" x14ac:dyDescent="0.25">
      <c r="C29" s="5" t="s">
        <v>75</v>
      </c>
      <c r="D29" s="24">
        <v>1</v>
      </c>
      <c r="E29" s="24">
        <v>1</v>
      </c>
      <c r="F29" s="24">
        <v>0</v>
      </c>
      <c r="G29" s="24">
        <v>36</v>
      </c>
      <c r="H29" s="24">
        <v>3</v>
      </c>
      <c r="I29" s="26">
        <f>H29/D29</f>
        <v>3</v>
      </c>
      <c r="J29" s="24">
        <v>0</v>
      </c>
      <c r="K29" s="24"/>
      <c r="L29" s="24"/>
      <c r="M29" s="26"/>
    </row>
    <row r="30" spans="3:13" x14ac:dyDescent="0.25">
      <c r="C30" s="5" t="s">
        <v>1478</v>
      </c>
      <c r="D30" s="24">
        <v>8</v>
      </c>
      <c r="E30" s="24">
        <v>1</v>
      </c>
      <c r="F30" s="24">
        <v>0</v>
      </c>
      <c r="G30" s="24">
        <v>276</v>
      </c>
      <c r="H30" s="24">
        <v>53</v>
      </c>
      <c r="I30" s="26">
        <f>H30/D30</f>
        <v>6.625</v>
      </c>
      <c r="J30" s="24">
        <v>0</v>
      </c>
      <c r="K30" s="24">
        <v>7</v>
      </c>
      <c r="L30" s="24">
        <v>4</v>
      </c>
      <c r="M30" s="26">
        <f>100-L30*100/K30</f>
        <v>42.857142857142854</v>
      </c>
    </row>
    <row r="31" spans="3:13" x14ac:dyDescent="0.25">
      <c r="C31" s="5" t="s">
        <v>22</v>
      </c>
      <c r="D31" s="24">
        <v>1</v>
      </c>
      <c r="E31" s="24">
        <v>0</v>
      </c>
      <c r="F31" s="24">
        <v>0</v>
      </c>
      <c r="G31" s="24">
        <v>12</v>
      </c>
      <c r="H31" s="24">
        <v>7</v>
      </c>
      <c r="I31" s="26">
        <f>H31/D31</f>
        <v>7</v>
      </c>
      <c r="J31" s="24">
        <v>0</v>
      </c>
      <c r="K31" s="24"/>
      <c r="L31" s="24"/>
      <c r="M31" s="26"/>
    </row>
    <row r="34" spans="3:13" x14ac:dyDescent="0.25">
      <c r="C34" s="1" t="s">
        <v>1154</v>
      </c>
      <c r="D34"/>
      <c r="E34"/>
      <c r="F34"/>
      <c r="G34"/>
      <c r="H34"/>
      <c r="I34" s="2"/>
      <c r="J34"/>
      <c r="K34"/>
      <c r="L34"/>
      <c r="M34" s="2"/>
    </row>
    <row r="35" spans="3:13" x14ac:dyDescent="0.25">
      <c r="C35" s="50" t="s">
        <v>0</v>
      </c>
      <c r="D35" s="18" t="s">
        <v>1</v>
      </c>
      <c r="E35" s="18" t="s">
        <v>53</v>
      </c>
      <c r="F35" s="18" t="s">
        <v>85</v>
      </c>
      <c r="G35" s="18" t="s">
        <v>86</v>
      </c>
      <c r="H35" s="18" t="s">
        <v>88</v>
      </c>
      <c r="I35" s="27" t="s">
        <v>89</v>
      </c>
      <c r="J35" s="18" t="s">
        <v>3</v>
      </c>
      <c r="K35" s="18" t="s">
        <v>380</v>
      </c>
      <c r="L35" s="18" t="s">
        <v>95</v>
      </c>
      <c r="M35" s="18" t="s">
        <v>381</v>
      </c>
    </row>
    <row r="36" spans="3:13" x14ac:dyDescent="0.25">
      <c r="C36" s="5" t="s">
        <v>435</v>
      </c>
      <c r="D36" s="24">
        <v>13</v>
      </c>
      <c r="E36" s="24">
        <v>6</v>
      </c>
      <c r="F36" s="24">
        <v>0</v>
      </c>
      <c r="G36" s="24">
        <v>468</v>
      </c>
      <c r="H36" s="24">
        <v>68</v>
      </c>
      <c r="I36" s="26">
        <f>H36/D36</f>
        <v>5.2307692307692308</v>
      </c>
      <c r="J36" s="24">
        <v>0</v>
      </c>
      <c r="K36" s="24">
        <v>11</v>
      </c>
      <c r="L36" s="24">
        <v>4</v>
      </c>
      <c r="M36" s="26">
        <f>100-L36*100/K36</f>
        <v>63.636363636363633</v>
      </c>
    </row>
    <row r="37" spans="3:13" x14ac:dyDescent="0.25">
      <c r="C37" s="5" t="s">
        <v>75</v>
      </c>
      <c r="D37" s="24">
        <v>5</v>
      </c>
      <c r="E37" s="24">
        <v>3</v>
      </c>
      <c r="F37" s="24">
        <v>1</v>
      </c>
      <c r="G37" s="24">
        <v>180</v>
      </c>
      <c r="H37" s="24">
        <v>25</v>
      </c>
      <c r="I37" s="26">
        <f>H37/D37</f>
        <v>5</v>
      </c>
      <c r="J37" s="24">
        <v>1</v>
      </c>
      <c r="K37" s="24">
        <v>2</v>
      </c>
      <c r="L37" s="24">
        <v>1</v>
      </c>
      <c r="M37" s="26">
        <f>100-L37*100/K37</f>
        <v>50</v>
      </c>
    </row>
    <row r="38" spans="3:13" x14ac:dyDescent="0.25">
      <c r="C38" s="5" t="s">
        <v>1369</v>
      </c>
      <c r="D38" s="24">
        <v>2</v>
      </c>
      <c r="E38" s="24">
        <v>1</v>
      </c>
      <c r="F38" s="24">
        <v>0</v>
      </c>
      <c r="G38" s="24">
        <v>72</v>
      </c>
      <c r="H38" s="24">
        <v>10</v>
      </c>
      <c r="I38" s="26">
        <f>H38/D38</f>
        <v>5</v>
      </c>
      <c r="J38" s="24">
        <v>0</v>
      </c>
      <c r="K38" s="24"/>
      <c r="L38" s="24"/>
      <c r="M38" s="26"/>
    </row>
    <row r="41" spans="3:13" x14ac:dyDescent="0.25">
      <c r="C41" s="1" t="s">
        <v>473</v>
      </c>
      <c r="D41"/>
      <c r="E41"/>
      <c r="F41"/>
      <c r="G41"/>
      <c r="H41"/>
      <c r="I41" s="2"/>
      <c r="J41"/>
      <c r="K41"/>
      <c r="L41"/>
      <c r="M41" s="2"/>
    </row>
    <row r="42" spans="3:13" x14ac:dyDescent="0.25">
      <c r="C42" s="50" t="s">
        <v>0</v>
      </c>
      <c r="D42" s="18" t="s">
        <v>1</v>
      </c>
      <c r="E42" s="18" t="s">
        <v>53</v>
      </c>
      <c r="F42" s="18" t="s">
        <v>85</v>
      </c>
      <c r="G42" s="18" t="s">
        <v>86</v>
      </c>
      <c r="H42" s="18" t="s">
        <v>88</v>
      </c>
      <c r="I42" s="27" t="s">
        <v>89</v>
      </c>
      <c r="J42" s="18" t="s">
        <v>3</v>
      </c>
      <c r="K42" s="18" t="s">
        <v>380</v>
      </c>
      <c r="L42" s="18" t="s">
        <v>95</v>
      </c>
      <c r="M42" s="18" t="s">
        <v>381</v>
      </c>
    </row>
    <row r="43" spans="3:13" x14ac:dyDescent="0.25">
      <c r="C43" s="5" t="s">
        <v>435</v>
      </c>
      <c r="D43" s="24">
        <v>20</v>
      </c>
      <c r="E43" s="24">
        <v>13</v>
      </c>
      <c r="F43" s="24">
        <v>2</v>
      </c>
      <c r="G43" s="24">
        <v>720</v>
      </c>
      <c r="H43" s="24">
        <v>66</v>
      </c>
      <c r="I43" s="26">
        <f>H43/D43</f>
        <v>3.3</v>
      </c>
      <c r="J43" s="24">
        <v>0</v>
      </c>
      <c r="K43" s="24">
        <v>20</v>
      </c>
      <c r="L43" s="24">
        <v>9</v>
      </c>
      <c r="M43" s="26">
        <f>100-L43*100/K43</f>
        <v>55</v>
      </c>
    </row>
    <row r="46" spans="3:13" x14ac:dyDescent="0.25">
      <c r="C46" s="1" t="s">
        <v>403</v>
      </c>
      <c r="M46" s="25"/>
    </row>
    <row r="47" spans="3:13" x14ac:dyDescent="0.25">
      <c r="C47" s="8" t="s">
        <v>0</v>
      </c>
      <c r="D47" s="18" t="s">
        <v>1</v>
      </c>
      <c r="E47" s="18" t="s">
        <v>53</v>
      </c>
      <c r="F47" s="18" t="s">
        <v>85</v>
      </c>
      <c r="G47" s="18" t="s">
        <v>86</v>
      </c>
      <c r="H47" s="18" t="s">
        <v>88</v>
      </c>
      <c r="I47" s="27" t="s">
        <v>89</v>
      </c>
      <c r="J47" s="18" t="s">
        <v>3</v>
      </c>
      <c r="K47" s="18" t="s">
        <v>380</v>
      </c>
      <c r="L47" s="18" t="s">
        <v>95</v>
      </c>
      <c r="M47" s="18" t="s">
        <v>381</v>
      </c>
    </row>
    <row r="48" spans="3:13" x14ac:dyDescent="0.25">
      <c r="C48" s="5" t="s">
        <v>435</v>
      </c>
      <c r="D48" s="24">
        <v>17</v>
      </c>
      <c r="E48" s="24">
        <v>6</v>
      </c>
      <c r="F48" s="24">
        <v>0</v>
      </c>
      <c r="G48" s="24">
        <v>612</v>
      </c>
      <c r="H48" s="24">
        <v>77</v>
      </c>
      <c r="I48" s="26">
        <f>H48/D48</f>
        <v>4.5294117647058822</v>
      </c>
      <c r="J48" s="24">
        <v>1</v>
      </c>
      <c r="K48" s="24">
        <v>2</v>
      </c>
      <c r="L48" s="24">
        <v>1</v>
      </c>
      <c r="M48" s="24">
        <f>100-L48*100/K48</f>
        <v>50</v>
      </c>
    </row>
    <row r="49" spans="3:13" x14ac:dyDescent="0.25">
      <c r="C49" s="5" t="s">
        <v>75</v>
      </c>
      <c r="D49" s="24">
        <v>3</v>
      </c>
      <c r="E49" s="24">
        <v>3</v>
      </c>
      <c r="F49" s="24">
        <v>0</v>
      </c>
      <c r="G49" s="24">
        <v>108</v>
      </c>
      <c r="H49" s="24">
        <v>7</v>
      </c>
      <c r="I49" s="26">
        <f>H49/D49</f>
        <v>2.3333333333333335</v>
      </c>
      <c r="J49" s="24">
        <v>1</v>
      </c>
      <c r="K49" s="24"/>
      <c r="L49" s="24"/>
      <c r="M49" s="24"/>
    </row>
    <row r="52" spans="3:13" x14ac:dyDescent="0.25">
      <c r="C52" s="1" t="s">
        <v>378</v>
      </c>
      <c r="M52" s="25"/>
    </row>
    <row r="53" spans="3:13" x14ac:dyDescent="0.25">
      <c r="C53" s="8" t="s">
        <v>0</v>
      </c>
      <c r="D53" s="18" t="s">
        <v>1</v>
      </c>
      <c r="E53" s="18" t="s">
        <v>53</v>
      </c>
      <c r="F53" s="18" t="s">
        <v>85</v>
      </c>
      <c r="G53" s="18" t="s">
        <v>86</v>
      </c>
      <c r="H53" s="18" t="s">
        <v>88</v>
      </c>
      <c r="I53" s="27" t="s">
        <v>89</v>
      </c>
      <c r="J53" s="18" t="s">
        <v>3</v>
      </c>
      <c r="K53" s="18" t="s">
        <v>380</v>
      </c>
      <c r="L53" s="18" t="s">
        <v>95</v>
      </c>
      <c r="M53" s="18" t="s">
        <v>381</v>
      </c>
    </row>
    <row r="54" spans="3:13" x14ac:dyDescent="0.25">
      <c r="C54" s="5" t="s">
        <v>294</v>
      </c>
      <c r="D54" s="24">
        <v>4</v>
      </c>
      <c r="E54" s="24">
        <v>1</v>
      </c>
      <c r="F54" s="24">
        <v>0</v>
      </c>
      <c r="G54" s="24">
        <v>144</v>
      </c>
      <c r="H54" s="24">
        <v>21</v>
      </c>
      <c r="I54" s="26">
        <f>H54/D54</f>
        <v>5.25</v>
      </c>
      <c r="J54" s="24">
        <v>0</v>
      </c>
      <c r="K54" s="24">
        <v>2</v>
      </c>
      <c r="L54" s="24">
        <v>2</v>
      </c>
      <c r="M54" s="24">
        <f>100-100*L54/K54</f>
        <v>0</v>
      </c>
    </row>
    <row r="57" spans="3:13" x14ac:dyDescent="0.25">
      <c r="C57" s="1" t="s">
        <v>349</v>
      </c>
      <c r="M57" s="25"/>
    </row>
    <row r="58" spans="3:13" x14ac:dyDescent="0.25">
      <c r="C58" s="8" t="s">
        <v>0</v>
      </c>
      <c r="D58" s="18" t="s">
        <v>1</v>
      </c>
      <c r="E58" s="18" t="s">
        <v>53</v>
      </c>
      <c r="F58" s="18" t="s">
        <v>85</v>
      </c>
      <c r="G58" s="18" t="s">
        <v>86</v>
      </c>
      <c r="H58" s="18" t="s">
        <v>88</v>
      </c>
      <c r="I58" s="27" t="s">
        <v>89</v>
      </c>
      <c r="J58" s="18" t="s">
        <v>3</v>
      </c>
      <c r="K58" s="18" t="s">
        <v>380</v>
      </c>
      <c r="L58" s="18" t="s">
        <v>95</v>
      </c>
      <c r="M58" s="18" t="s">
        <v>381</v>
      </c>
    </row>
    <row r="59" spans="3:13" x14ac:dyDescent="0.25">
      <c r="C59" s="5" t="s">
        <v>294</v>
      </c>
      <c r="D59" s="24">
        <v>16</v>
      </c>
      <c r="E59" s="24">
        <v>10</v>
      </c>
      <c r="F59" s="24">
        <v>2</v>
      </c>
      <c r="G59" s="24">
        <v>576</v>
      </c>
      <c r="H59" s="24">
        <v>47</v>
      </c>
      <c r="I59" s="26">
        <f>H59/D59</f>
        <v>2.9375</v>
      </c>
      <c r="J59" s="24">
        <v>1</v>
      </c>
      <c r="K59" s="24">
        <v>1</v>
      </c>
      <c r="L59" s="24">
        <v>1</v>
      </c>
      <c r="M59" s="26">
        <f>100-100*L59/K59</f>
        <v>0</v>
      </c>
    </row>
    <row r="60" spans="3:13" x14ac:dyDescent="0.25">
      <c r="M60" s="25"/>
    </row>
    <row r="61" spans="3:13" x14ac:dyDescent="0.25">
      <c r="M61" s="25"/>
    </row>
    <row r="62" spans="3:13" x14ac:dyDescent="0.25">
      <c r="C62" s="1" t="s">
        <v>319</v>
      </c>
    </row>
    <row r="63" spans="3:13" x14ac:dyDescent="0.25">
      <c r="C63" s="8" t="s">
        <v>0</v>
      </c>
      <c r="D63" s="18" t="s">
        <v>1</v>
      </c>
      <c r="E63" s="18" t="s">
        <v>53</v>
      </c>
      <c r="F63" s="18" t="s">
        <v>85</v>
      </c>
      <c r="G63" s="18" t="s">
        <v>86</v>
      </c>
      <c r="H63" s="18" t="s">
        <v>88</v>
      </c>
      <c r="I63" s="27" t="s">
        <v>89</v>
      </c>
      <c r="J63" s="18" t="s">
        <v>3</v>
      </c>
      <c r="K63" s="18" t="s">
        <v>380</v>
      </c>
      <c r="L63" s="18" t="s">
        <v>95</v>
      </c>
      <c r="M63" s="18" t="s">
        <v>381</v>
      </c>
    </row>
    <row r="64" spans="3:13" x14ac:dyDescent="0.25">
      <c r="C64" s="5" t="s">
        <v>294</v>
      </c>
      <c r="D64" s="24">
        <v>20</v>
      </c>
      <c r="E64" s="24">
        <v>8</v>
      </c>
      <c r="F64" s="24">
        <v>0</v>
      </c>
      <c r="G64" s="24">
        <v>720</v>
      </c>
      <c r="H64" s="24">
        <v>115</v>
      </c>
      <c r="I64" s="26">
        <f>H64/D64</f>
        <v>5.75</v>
      </c>
      <c r="J64" s="24">
        <v>0</v>
      </c>
      <c r="K64" s="24">
        <v>3</v>
      </c>
      <c r="L64" s="24">
        <v>0</v>
      </c>
      <c r="M64" s="26">
        <f>100-(100*L64/K64)</f>
        <v>100</v>
      </c>
    </row>
    <row r="65" spans="3:13" x14ac:dyDescent="0.25">
      <c r="C65" s="5" t="s">
        <v>75</v>
      </c>
      <c r="D65" s="24">
        <v>4</v>
      </c>
      <c r="E65" s="24">
        <v>1</v>
      </c>
      <c r="F65" s="24">
        <v>0</v>
      </c>
      <c r="G65" s="24">
        <v>144</v>
      </c>
      <c r="H65" s="24">
        <v>16</v>
      </c>
      <c r="I65" s="26">
        <f>H65/D65</f>
        <v>4</v>
      </c>
      <c r="J65" s="24">
        <v>0</v>
      </c>
      <c r="K65" s="24"/>
      <c r="L65" s="24"/>
      <c r="M65" s="24"/>
    </row>
    <row r="66" spans="3:13" x14ac:dyDescent="0.25">
      <c r="M66" s="25"/>
    </row>
    <row r="67" spans="3:13" x14ac:dyDescent="0.25">
      <c r="M67" s="25"/>
    </row>
    <row r="68" spans="3:13" x14ac:dyDescent="0.25">
      <c r="C68" s="1" t="s">
        <v>220</v>
      </c>
    </row>
    <row r="69" spans="3:13" x14ac:dyDescent="0.25">
      <c r="C69" s="8" t="s">
        <v>0</v>
      </c>
      <c r="D69" s="18" t="s">
        <v>1</v>
      </c>
      <c r="E69" s="18" t="s">
        <v>53</v>
      </c>
      <c r="F69" s="18" t="s">
        <v>85</v>
      </c>
      <c r="G69" s="18" t="s">
        <v>86</v>
      </c>
      <c r="H69" s="18" t="s">
        <v>88</v>
      </c>
      <c r="I69" s="27" t="s">
        <v>89</v>
      </c>
      <c r="J69" s="18" t="s">
        <v>3</v>
      </c>
      <c r="K69" s="18" t="s">
        <v>380</v>
      </c>
      <c r="L69" s="18" t="s">
        <v>95</v>
      </c>
      <c r="M69" s="18" t="s">
        <v>381</v>
      </c>
    </row>
    <row r="70" spans="3:13" x14ac:dyDescent="0.25">
      <c r="C70" s="14" t="s">
        <v>75</v>
      </c>
      <c r="D70" s="28">
        <v>4</v>
      </c>
      <c r="E70" s="28">
        <v>2</v>
      </c>
      <c r="F70" s="28">
        <v>0</v>
      </c>
      <c r="G70" s="28">
        <v>144</v>
      </c>
      <c r="H70" s="28">
        <v>11</v>
      </c>
      <c r="I70" s="29">
        <f>H70/D70</f>
        <v>2.75</v>
      </c>
      <c r="J70" s="28">
        <v>0</v>
      </c>
      <c r="K70" s="28"/>
      <c r="L70" s="28"/>
      <c r="M70" s="28"/>
    </row>
    <row r="71" spans="3:13" x14ac:dyDescent="0.25">
      <c r="C71" s="5" t="s">
        <v>257</v>
      </c>
      <c r="D71" s="24">
        <v>10</v>
      </c>
      <c r="E71" s="24">
        <v>1</v>
      </c>
      <c r="F71" s="24">
        <v>0</v>
      </c>
      <c r="G71" s="24">
        <v>360</v>
      </c>
      <c r="H71" s="24">
        <v>67</v>
      </c>
      <c r="I71" s="26">
        <f>H71/D71</f>
        <v>6.7</v>
      </c>
      <c r="J71" s="24">
        <v>0</v>
      </c>
      <c r="K71" s="24">
        <v>1</v>
      </c>
      <c r="L71" s="24">
        <v>0</v>
      </c>
      <c r="M71" s="26">
        <f>100-(L71*100/K71)</f>
        <v>100</v>
      </c>
    </row>
    <row r="72" spans="3:13" x14ac:dyDescent="0.25">
      <c r="C72" s="5" t="s">
        <v>91</v>
      </c>
      <c r="D72" s="24">
        <v>2</v>
      </c>
      <c r="E72" s="24">
        <v>0</v>
      </c>
      <c r="F72" s="24">
        <v>0</v>
      </c>
      <c r="G72" s="24">
        <v>72</v>
      </c>
      <c r="H72" s="24">
        <v>8</v>
      </c>
      <c r="I72" s="26">
        <f>H72/D72</f>
        <v>4</v>
      </c>
      <c r="J72" s="24">
        <v>0</v>
      </c>
      <c r="K72" s="24"/>
      <c r="L72" s="24"/>
      <c r="M72" s="24"/>
    </row>
    <row r="73" spans="3:13" x14ac:dyDescent="0.25">
      <c r="C73" s="5" t="s">
        <v>293</v>
      </c>
      <c r="D73" s="24">
        <v>4</v>
      </c>
      <c r="E73" s="24">
        <v>0</v>
      </c>
      <c r="F73" s="24">
        <v>0</v>
      </c>
      <c r="G73" s="24">
        <v>144</v>
      </c>
      <c r="H73" s="24">
        <v>35</v>
      </c>
      <c r="I73" s="26">
        <f>H73/D73</f>
        <v>8.75</v>
      </c>
      <c r="J73" s="24">
        <v>0</v>
      </c>
      <c r="K73" s="24"/>
      <c r="L73" s="24"/>
      <c r="M73" s="24"/>
    </row>
    <row r="76" spans="3:13" x14ac:dyDescent="0.25">
      <c r="C76" s="1" t="s">
        <v>81</v>
      </c>
    </row>
    <row r="77" spans="3:13" x14ac:dyDescent="0.25">
      <c r="C77" s="8" t="s">
        <v>0</v>
      </c>
      <c r="D77" s="18" t="s">
        <v>1</v>
      </c>
      <c r="E77" s="18" t="s">
        <v>53</v>
      </c>
      <c r="F77" s="18" t="s">
        <v>85</v>
      </c>
      <c r="G77" s="18" t="s">
        <v>86</v>
      </c>
      <c r="H77" s="18" t="s">
        <v>88</v>
      </c>
      <c r="I77" s="27" t="s">
        <v>89</v>
      </c>
      <c r="J77" s="18" t="s">
        <v>3</v>
      </c>
      <c r="K77" s="18" t="s">
        <v>380</v>
      </c>
      <c r="L77" s="18" t="s">
        <v>95</v>
      </c>
      <c r="M77" s="18" t="s">
        <v>381</v>
      </c>
    </row>
    <row r="78" spans="3:13" x14ac:dyDescent="0.25">
      <c r="C78" s="5" t="s">
        <v>87</v>
      </c>
      <c r="D78" s="24">
        <v>14</v>
      </c>
      <c r="E78" s="24">
        <v>1</v>
      </c>
      <c r="F78" s="24">
        <v>0</v>
      </c>
      <c r="G78" s="24">
        <v>504</v>
      </c>
      <c r="H78" s="24">
        <v>84</v>
      </c>
      <c r="I78" s="26">
        <f>H78/D78</f>
        <v>6</v>
      </c>
      <c r="J78" s="24">
        <v>0</v>
      </c>
      <c r="K78" s="24"/>
      <c r="L78" s="24"/>
      <c r="M78" s="24"/>
    </row>
    <row r="79" spans="3:13" x14ac:dyDescent="0.25">
      <c r="C79" s="5" t="s">
        <v>91</v>
      </c>
      <c r="D79" s="24">
        <v>4</v>
      </c>
      <c r="E79" s="24">
        <v>0</v>
      </c>
      <c r="F79" s="24">
        <v>0</v>
      </c>
      <c r="G79" s="24">
        <v>144</v>
      </c>
      <c r="H79" s="24">
        <v>21</v>
      </c>
      <c r="I79" s="26">
        <f>H79/D79</f>
        <v>5.25</v>
      </c>
      <c r="J79" s="24">
        <v>0</v>
      </c>
      <c r="K79" s="24"/>
      <c r="L79" s="24"/>
      <c r="M79" s="24"/>
    </row>
    <row r="80" spans="3:13" x14ac:dyDescent="0.25">
      <c r="C80" s="5" t="s">
        <v>250</v>
      </c>
      <c r="D80" s="24">
        <v>1</v>
      </c>
      <c r="E80" s="24">
        <v>0</v>
      </c>
      <c r="F80" s="24">
        <v>0</v>
      </c>
      <c r="G80" s="24">
        <v>36</v>
      </c>
      <c r="H80" s="24">
        <v>6</v>
      </c>
      <c r="I80" s="26">
        <f>H80/D80</f>
        <v>6</v>
      </c>
      <c r="J80" s="24">
        <v>0</v>
      </c>
      <c r="K80" s="24"/>
      <c r="L80" s="24"/>
      <c r="M80" s="24"/>
    </row>
    <row r="81" spans="3:13" x14ac:dyDescent="0.25">
      <c r="C81" s="5" t="s">
        <v>22</v>
      </c>
      <c r="D81" s="24">
        <v>1</v>
      </c>
      <c r="E81" s="24">
        <v>0</v>
      </c>
      <c r="F81" s="24">
        <v>0</v>
      </c>
      <c r="G81" s="24">
        <v>36</v>
      </c>
      <c r="H81" s="24">
        <v>4</v>
      </c>
      <c r="I81" s="26">
        <f>H81/D81</f>
        <v>4</v>
      </c>
      <c r="J81" s="24">
        <v>0</v>
      </c>
      <c r="K81" s="24"/>
      <c r="L81" s="24"/>
      <c r="M81" s="24"/>
    </row>
    <row r="84" spans="3:13" x14ac:dyDescent="0.25">
      <c r="C84" s="1" t="s">
        <v>80</v>
      </c>
      <c r="M84" s="25"/>
    </row>
    <row r="85" spans="3:13" x14ac:dyDescent="0.25">
      <c r="C85" s="8" t="s">
        <v>0</v>
      </c>
      <c r="D85" s="18" t="s">
        <v>1</v>
      </c>
      <c r="E85" s="18" t="s">
        <v>53</v>
      </c>
      <c r="F85" s="18" t="s">
        <v>85</v>
      </c>
      <c r="G85" s="18" t="s">
        <v>86</v>
      </c>
      <c r="H85" s="18" t="s">
        <v>88</v>
      </c>
      <c r="I85" s="27" t="s">
        <v>89</v>
      </c>
      <c r="J85" s="18" t="s">
        <v>3</v>
      </c>
      <c r="K85" s="18" t="s">
        <v>380</v>
      </c>
      <c r="L85" s="18" t="s">
        <v>95</v>
      </c>
      <c r="M85" s="18" t="s">
        <v>381</v>
      </c>
    </row>
    <row r="86" spans="3:13" x14ac:dyDescent="0.25">
      <c r="C86" s="5" t="s">
        <v>91</v>
      </c>
      <c r="D86" s="24">
        <v>7</v>
      </c>
      <c r="E86" s="24">
        <v>5</v>
      </c>
      <c r="F86" s="24">
        <v>0</v>
      </c>
      <c r="G86" s="24">
        <v>252</v>
      </c>
      <c r="H86" s="24">
        <v>27</v>
      </c>
      <c r="I86" s="26">
        <f>H86/D86</f>
        <v>3.8571428571428572</v>
      </c>
      <c r="J86" s="24">
        <v>3</v>
      </c>
      <c r="K86" s="24">
        <v>1</v>
      </c>
      <c r="L86" s="24">
        <v>0</v>
      </c>
      <c r="M86" s="26">
        <f>100-(L86*100/K86)</f>
        <v>100</v>
      </c>
    </row>
    <row r="87" spans="3:13" x14ac:dyDescent="0.25">
      <c r="C87" s="5" t="s">
        <v>87</v>
      </c>
      <c r="D87" s="24">
        <v>9</v>
      </c>
      <c r="E87" s="24">
        <v>3</v>
      </c>
      <c r="F87" s="24">
        <v>0</v>
      </c>
      <c r="G87" s="24">
        <v>324</v>
      </c>
      <c r="H87" s="24">
        <v>58</v>
      </c>
      <c r="I87" s="26">
        <f>H87/D87</f>
        <v>6.4444444444444446</v>
      </c>
      <c r="J87" s="24">
        <v>0</v>
      </c>
      <c r="K87" s="24">
        <v>2</v>
      </c>
      <c r="L87" s="24">
        <v>2</v>
      </c>
      <c r="M87" s="26">
        <f>100-(L87*100/K87)</f>
        <v>0</v>
      </c>
    </row>
    <row r="88" spans="3:13" x14ac:dyDescent="0.25">
      <c r="C88" s="5" t="s">
        <v>75</v>
      </c>
      <c r="D88" s="24">
        <v>4</v>
      </c>
      <c r="E88" s="24">
        <v>2</v>
      </c>
      <c r="F88" s="24">
        <v>0</v>
      </c>
      <c r="G88" s="24">
        <v>144</v>
      </c>
      <c r="H88" s="24">
        <v>21</v>
      </c>
      <c r="I88" s="26">
        <f>H88/D88</f>
        <v>5.25</v>
      </c>
      <c r="J88" s="24">
        <v>0</v>
      </c>
      <c r="K88" s="24"/>
      <c r="L88" s="24"/>
      <c r="M88" s="24"/>
    </row>
    <row r="91" spans="3:13" x14ac:dyDescent="0.25">
      <c r="C91" s="1" t="s">
        <v>40</v>
      </c>
      <c r="M91" s="25"/>
    </row>
    <row r="92" spans="3:13" x14ac:dyDescent="0.25">
      <c r="C92" s="8" t="s">
        <v>0</v>
      </c>
      <c r="D92" s="18" t="s">
        <v>1</v>
      </c>
      <c r="E92" s="18" t="s">
        <v>53</v>
      </c>
      <c r="F92" s="18" t="s">
        <v>85</v>
      </c>
      <c r="G92" s="18" t="s">
        <v>86</v>
      </c>
      <c r="H92" s="18" t="s">
        <v>88</v>
      </c>
      <c r="I92" s="27" t="s">
        <v>89</v>
      </c>
      <c r="J92" s="18" t="s">
        <v>3</v>
      </c>
      <c r="K92" s="18" t="s">
        <v>380</v>
      </c>
      <c r="L92" s="18" t="s">
        <v>95</v>
      </c>
      <c r="M92" s="18" t="s">
        <v>381</v>
      </c>
    </row>
    <row r="93" spans="3:13" x14ac:dyDescent="0.25">
      <c r="C93" s="5" t="s">
        <v>75</v>
      </c>
      <c r="D93" s="24">
        <v>9</v>
      </c>
      <c r="E93" s="24">
        <v>3</v>
      </c>
      <c r="F93" s="24">
        <v>0</v>
      </c>
      <c r="G93" s="24">
        <v>324</v>
      </c>
      <c r="H93" s="24">
        <v>45</v>
      </c>
      <c r="I93" s="26">
        <f>H93/D93</f>
        <v>5</v>
      </c>
      <c r="J93" s="24">
        <v>0</v>
      </c>
      <c r="K93" s="24">
        <v>0</v>
      </c>
      <c r="L93" s="24">
        <v>0</v>
      </c>
      <c r="M93" s="26">
        <v>0</v>
      </c>
    </row>
    <row r="94" spans="3:13" x14ac:dyDescent="0.25">
      <c r="C94" s="5" t="s">
        <v>91</v>
      </c>
      <c r="D94" s="24">
        <v>10</v>
      </c>
      <c r="E94" s="24">
        <v>3</v>
      </c>
      <c r="F94" s="24">
        <v>0</v>
      </c>
      <c r="G94" s="24">
        <v>360</v>
      </c>
      <c r="H94" s="24">
        <v>64</v>
      </c>
      <c r="I94" s="26">
        <f>H94/D94</f>
        <v>6.4</v>
      </c>
      <c r="J94" s="24">
        <v>0</v>
      </c>
      <c r="K94" s="24">
        <v>0</v>
      </c>
      <c r="L94" s="24">
        <v>0</v>
      </c>
      <c r="M94" s="26">
        <v>0</v>
      </c>
    </row>
    <row r="97" spans="3:10" x14ac:dyDescent="0.25">
      <c r="C97" s="1" t="s">
        <v>60</v>
      </c>
    </row>
    <row r="98" spans="3:10" x14ac:dyDescent="0.25">
      <c r="C98" s="8" t="s">
        <v>0</v>
      </c>
      <c r="D98" s="18" t="s">
        <v>1</v>
      </c>
      <c r="E98" s="18" t="s">
        <v>53</v>
      </c>
      <c r="F98" s="18" t="s">
        <v>85</v>
      </c>
      <c r="G98" s="18" t="s">
        <v>86</v>
      </c>
      <c r="H98" s="18" t="s">
        <v>88</v>
      </c>
      <c r="I98" s="27" t="s">
        <v>89</v>
      </c>
      <c r="J98" s="18" t="s">
        <v>3</v>
      </c>
    </row>
    <row r="99" spans="3:10" x14ac:dyDescent="0.25">
      <c r="C99" s="5" t="s">
        <v>75</v>
      </c>
      <c r="D99" s="24">
        <v>8</v>
      </c>
      <c r="E99" s="24">
        <v>4</v>
      </c>
      <c r="F99" s="24">
        <v>0</v>
      </c>
      <c r="G99" s="24">
        <v>288</v>
      </c>
      <c r="H99" s="24">
        <v>31</v>
      </c>
      <c r="I99" s="26">
        <f>H99/D99</f>
        <v>3.875</v>
      </c>
      <c r="J99" s="24">
        <v>0</v>
      </c>
    </row>
    <row r="100" spans="3:10" x14ac:dyDescent="0.25">
      <c r="C100" s="5" t="s">
        <v>91</v>
      </c>
      <c r="D100" s="24">
        <v>10</v>
      </c>
      <c r="E100" s="24">
        <v>4</v>
      </c>
      <c r="F100" s="24">
        <v>0</v>
      </c>
      <c r="G100" s="24">
        <v>360</v>
      </c>
      <c r="H100" s="24">
        <v>56</v>
      </c>
      <c r="I100" s="26">
        <f>H100/D100</f>
        <v>5.6</v>
      </c>
      <c r="J100" s="24">
        <v>0</v>
      </c>
    </row>
    <row r="103" spans="3:10" x14ac:dyDescent="0.25">
      <c r="C103" s="1" t="s">
        <v>59</v>
      </c>
    </row>
    <row r="104" spans="3:10" x14ac:dyDescent="0.25">
      <c r="C104" s="8" t="s">
        <v>0</v>
      </c>
      <c r="D104" s="18" t="s">
        <v>1</v>
      </c>
      <c r="E104" s="18" t="s">
        <v>53</v>
      </c>
      <c r="F104" s="18" t="s">
        <v>85</v>
      </c>
      <c r="G104" s="18" t="s">
        <v>86</v>
      </c>
      <c r="H104" s="18" t="s">
        <v>88</v>
      </c>
      <c r="I104" s="27" t="s">
        <v>89</v>
      </c>
      <c r="J104" s="18" t="s">
        <v>3</v>
      </c>
    </row>
    <row r="105" spans="3:10" x14ac:dyDescent="0.25">
      <c r="C105" s="5" t="s">
        <v>91</v>
      </c>
      <c r="D105" s="24">
        <v>16</v>
      </c>
      <c r="E105" s="24">
        <v>7</v>
      </c>
      <c r="F105" s="24">
        <v>2</v>
      </c>
      <c r="G105" s="24">
        <v>576</v>
      </c>
      <c r="H105" s="24">
        <v>74</v>
      </c>
      <c r="I105" s="26">
        <f>H105/D105</f>
        <v>4.625</v>
      </c>
      <c r="J105" s="24">
        <v>0</v>
      </c>
    </row>
    <row r="106" spans="3:10" x14ac:dyDescent="0.25">
      <c r="C106" s="5" t="s">
        <v>75</v>
      </c>
      <c r="D106" s="24">
        <v>4</v>
      </c>
      <c r="E106" s="24">
        <v>2</v>
      </c>
      <c r="F106" s="24">
        <v>0</v>
      </c>
      <c r="G106" s="24">
        <v>144</v>
      </c>
      <c r="H106" s="24">
        <v>16</v>
      </c>
      <c r="I106" s="26">
        <f>H106/D106</f>
        <v>4</v>
      </c>
      <c r="J106" s="24">
        <v>0</v>
      </c>
    </row>
  </sheetData>
  <sortState xmlns:xlrd2="http://schemas.microsoft.com/office/spreadsheetml/2017/richdata2" ref="C6:M17">
    <sortCondition descending="1" ref="E6:E17"/>
    <sortCondition ref="I6:I17"/>
  </sortState>
  <pageMargins left="0.7" right="0.7" top="0.78740157499999996" bottom="0.78740157499999996" header="0.3" footer="0.3"/>
  <pageSetup paperSize="9" orientation="portrait" horizont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44001-B593-4E08-9EC6-C543508B2357}">
  <dimension ref="C3:M28"/>
  <sheetViews>
    <sheetView workbookViewId="0">
      <selection activeCell="T14" sqref="T14"/>
    </sheetView>
  </sheetViews>
  <sheetFormatPr defaultRowHeight="15" x14ac:dyDescent="0.25"/>
  <cols>
    <col min="3" max="3" width="16.5703125" customWidth="1"/>
    <col min="4" max="11" width="9.140625" style="17"/>
    <col min="12" max="12" width="10" style="17" bestFit="1" customWidth="1"/>
    <col min="13" max="13" width="13.7109375" style="17" bestFit="1" customWidth="1"/>
  </cols>
  <sheetData>
    <row r="3" spans="3:13" x14ac:dyDescent="0.25">
      <c r="C3" s="98" t="s">
        <v>489</v>
      </c>
      <c r="D3" s="98"/>
      <c r="I3" s="25"/>
    </row>
    <row r="4" spans="3:13" x14ac:dyDescent="0.25">
      <c r="I4" s="25"/>
    </row>
    <row r="5" spans="3:13" x14ac:dyDescent="0.25">
      <c r="C5" s="8" t="s">
        <v>0</v>
      </c>
      <c r="D5" s="18" t="s">
        <v>1</v>
      </c>
      <c r="E5" s="18" t="s">
        <v>53</v>
      </c>
      <c r="F5" s="18" t="s">
        <v>85</v>
      </c>
      <c r="G5" s="18" t="s">
        <v>86</v>
      </c>
      <c r="H5" s="18" t="s">
        <v>88</v>
      </c>
      <c r="I5" s="27" t="s">
        <v>89</v>
      </c>
      <c r="J5" s="18" t="s">
        <v>3</v>
      </c>
      <c r="K5" s="18" t="s">
        <v>380</v>
      </c>
      <c r="L5" s="18" t="s">
        <v>95</v>
      </c>
      <c r="M5" s="18" t="s">
        <v>381</v>
      </c>
    </row>
    <row r="6" spans="3:13" x14ac:dyDescent="0.25">
      <c r="C6" t="s">
        <v>751</v>
      </c>
      <c r="D6" s="17">
        <v>14</v>
      </c>
      <c r="E6" s="17">
        <v>7</v>
      </c>
      <c r="F6" s="17">
        <v>0</v>
      </c>
      <c r="G6" s="17">
        <v>504</v>
      </c>
      <c r="H6" s="17">
        <v>94</v>
      </c>
      <c r="I6" s="25">
        <f>H6/D6</f>
        <v>6.7142857142857144</v>
      </c>
      <c r="J6" s="17">
        <v>1</v>
      </c>
    </row>
    <row r="7" spans="3:13" x14ac:dyDescent="0.25">
      <c r="C7" t="s">
        <v>1181</v>
      </c>
      <c r="D7" s="17">
        <v>16</v>
      </c>
      <c r="E7" s="17">
        <v>6</v>
      </c>
      <c r="F7" s="17">
        <v>0</v>
      </c>
      <c r="G7" s="17">
        <v>576</v>
      </c>
      <c r="H7" s="17">
        <v>99</v>
      </c>
      <c r="I7" s="25">
        <f>H7/D7</f>
        <v>6.1875</v>
      </c>
      <c r="J7" s="17">
        <v>0</v>
      </c>
      <c r="K7" s="17">
        <v>11</v>
      </c>
      <c r="L7" s="17">
        <v>5</v>
      </c>
      <c r="M7" s="25">
        <f>100-L7*100/K7</f>
        <v>54.545454545454547</v>
      </c>
    </row>
    <row r="8" spans="3:13" x14ac:dyDescent="0.25">
      <c r="C8" t="s">
        <v>1369</v>
      </c>
      <c r="D8" s="17">
        <v>6</v>
      </c>
      <c r="E8" s="17">
        <v>3</v>
      </c>
      <c r="F8" s="17">
        <v>0</v>
      </c>
      <c r="G8" s="17">
        <v>216</v>
      </c>
      <c r="H8" s="17">
        <v>16</v>
      </c>
      <c r="I8" s="25">
        <f>H8/D8</f>
        <v>2.6666666666666665</v>
      </c>
      <c r="J8" s="17">
        <v>0</v>
      </c>
      <c r="M8" s="25"/>
    </row>
    <row r="9" spans="3:13" x14ac:dyDescent="0.25">
      <c r="C9" t="s">
        <v>435</v>
      </c>
      <c r="D9" s="17">
        <v>8</v>
      </c>
      <c r="E9" s="17">
        <v>3</v>
      </c>
      <c r="F9" s="17">
        <v>0</v>
      </c>
      <c r="G9" s="17">
        <v>288</v>
      </c>
      <c r="H9" s="17">
        <v>42</v>
      </c>
      <c r="I9" s="25">
        <f>H9/D9</f>
        <v>5.25</v>
      </c>
      <c r="J9" s="17">
        <v>0</v>
      </c>
      <c r="K9" s="17">
        <v>2</v>
      </c>
      <c r="L9" s="17">
        <v>0</v>
      </c>
      <c r="M9" s="25">
        <f>100-L9*100/K9</f>
        <v>100</v>
      </c>
    </row>
    <row r="10" spans="3:13" x14ac:dyDescent="0.25">
      <c r="C10" t="s">
        <v>75</v>
      </c>
      <c r="D10" s="17">
        <v>2</v>
      </c>
      <c r="E10" s="17">
        <v>2</v>
      </c>
      <c r="F10" s="17">
        <v>0</v>
      </c>
      <c r="G10" s="17">
        <v>72</v>
      </c>
      <c r="H10" s="17">
        <v>5</v>
      </c>
      <c r="I10" s="25">
        <f>H10/D10</f>
        <v>2.5</v>
      </c>
      <c r="J10" s="17">
        <v>1</v>
      </c>
    </row>
    <row r="11" spans="3:13" x14ac:dyDescent="0.25">
      <c r="I11" s="25"/>
      <c r="M11" s="25"/>
    </row>
    <row r="12" spans="3:13" x14ac:dyDescent="0.25">
      <c r="I12" s="25"/>
      <c r="M12" s="25"/>
    </row>
    <row r="13" spans="3:13" x14ac:dyDescent="0.25">
      <c r="C13" s="1" t="s">
        <v>1643</v>
      </c>
      <c r="I13" s="25"/>
      <c r="M13" s="25"/>
    </row>
    <row r="14" spans="3:13" x14ac:dyDescent="0.25">
      <c r="C14" s="8" t="s">
        <v>0</v>
      </c>
      <c r="D14" s="18" t="s">
        <v>1</v>
      </c>
      <c r="E14" s="18" t="s">
        <v>53</v>
      </c>
      <c r="F14" s="18" t="s">
        <v>85</v>
      </c>
      <c r="G14" s="18" t="s">
        <v>86</v>
      </c>
      <c r="H14" s="18" t="s">
        <v>88</v>
      </c>
      <c r="I14" s="27" t="s">
        <v>89</v>
      </c>
      <c r="J14" s="18" t="s">
        <v>3</v>
      </c>
      <c r="K14" s="18" t="s">
        <v>380</v>
      </c>
      <c r="L14" s="18" t="s">
        <v>95</v>
      </c>
      <c r="M14" s="18" t="s">
        <v>381</v>
      </c>
    </row>
    <row r="15" spans="3:13" x14ac:dyDescent="0.25">
      <c r="C15" t="s">
        <v>1369</v>
      </c>
      <c r="D15" s="17">
        <v>6</v>
      </c>
      <c r="E15" s="17">
        <v>3</v>
      </c>
      <c r="F15" s="17">
        <v>0</v>
      </c>
      <c r="G15" s="17">
        <v>216</v>
      </c>
      <c r="H15" s="17">
        <v>16</v>
      </c>
      <c r="I15" s="25">
        <f>H15/D15</f>
        <v>2.6666666666666665</v>
      </c>
      <c r="J15" s="17">
        <v>0</v>
      </c>
    </row>
    <row r="16" spans="3:13" x14ac:dyDescent="0.25">
      <c r="C16" t="s">
        <v>435</v>
      </c>
      <c r="D16" s="17">
        <v>2</v>
      </c>
      <c r="E16" s="17">
        <v>1</v>
      </c>
      <c r="F16" s="17">
        <v>0</v>
      </c>
      <c r="G16" s="17">
        <v>72</v>
      </c>
      <c r="H16" s="17">
        <v>7</v>
      </c>
      <c r="I16" s="25">
        <f>H16/D16</f>
        <v>3.5</v>
      </c>
      <c r="J16" s="17">
        <v>0</v>
      </c>
    </row>
    <row r="19" spans="3:13" x14ac:dyDescent="0.25">
      <c r="C19" s="1" t="s">
        <v>1154</v>
      </c>
      <c r="I19" s="25"/>
      <c r="M19" s="25"/>
    </row>
    <row r="20" spans="3:13" x14ac:dyDescent="0.25">
      <c r="C20" s="8" t="s">
        <v>0</v>
      </c>
      <c r="D20" s="18" t="s">
        <v>1</v>
      </c>
      <c r="E20" s="18" t="s">
        <v>53</v>
      </c>
      <c r="F20" s="18" t="s">
        <v>85</v>
      </c>
      <c r="G20" s="18" t="s">
        <v>86</v>
      </c>
      <c r="H20" s="18" t="s">
        <v>88</v>
      </c>
      <c r="I20" s="27" t="s">
        <v>89</v>
      </c>
      <c r="J20" s="18" t="s">
        <v>3</v>
      </c>
      <c r="K20" s="18" t="s">
        <v>380</v>
      </c>
      <c r="L20" s="18" t="s">
        <v>95</v>
      </c>
      <c r="M20" s="18" t="s">
        <v>381</v>
      </c>
    </row>
    <row r="21" spans="3:13" x14ac:dyDescent="0.25">
      <c r="C21" s="5" t="s">
        <v>1181</v>
      </c>
      <c r="D21" s="24">
        <v>16</v>
      </c>
      <c r="E21" s="24">
        <v>6</v>
      </c>
      <c r="F21" s="24">
        <v>0</v>
      </c>
      <c r="G21" s="24">
        <v>576</v>
      </c>
      <c r="H21" s="24">
        <v>99</v>
      </c>
      <c r="I21" s="26">
        <f>H21/D21</f>
        <v>6.1875</v>
      </c>
      <c r="J21" s="24">
        <v>0</v>
      </c>
      <c r="K21" s="24">
        <v>11</v>
      </c>
      <c r="L21" s="24">
        <v>5</v>
      </c>
      <c r="M21" s="26">
        <f>100-100*L21/K21</f>
        <v>54.545454545454547</v>
      </c>
    </row>
    <row r="22" spans="3:13" x14ac:dyDescent="0.25">
      <c r="C22" s="5" t="s">
        <v>75</v>
      </c>
      <c r="D22" s="24">
        <v>2</v>
      </c>
      <c r="E22" s="24">
        <v>2</v>
      </c>
      <c r="F22" s="24">
        <v>0</v>
      </c>
      <c r="G22" s="24">
        <v>72</v>
      </c>
      <c r="H22" s="24">
        <v>5</v>
      </c>
      <c r="I22" s="26">
        <f>H22/D22</f>
        <v>2.5</v>
      </c>
      <c r="J22" s="24">
        <v>1</v>
      </c>
      <c r="K22" s="24"/>
      <c r="L22" s="24"/>
      <c r="M22" s="26"/>
    </row>
    <row r="23" spans="3:13" x14ac:dyDescent="0.25">
      <c r="I23" s="25"/>
      <c r="M23" s="25"/>
    </row>
    <row r="25" spans="3:13" x14ac:dyDescent="0.25">
      <c r="C25" s="1" t="s">
        <v>473</v>
      </c>
      <c r="I25" s="25"/>
      <c r="M25" s="25"/>
    </row>
    <row r="26" spans="3:13" x14ac:dyDescent="0.25">
      <c r="C26" s="8" t="s">
        <v>0</v>
      </c>
      <c r="D26" s="18" t="s">
        <v>1</v>
      </c>
      <c r="E26" s="18" t="s">
        <v>53</v>
      </c>
      <c r="F26" s="18" t="s">
        <v>85</v>
      </c>
      <c r="G26" s="18" t="s">
        <v>86</v>
      </c>
      <c r="H26" s="18" t="s">
        <v>88</v>
      </c>
      <c r="I26" s="27" t="s">
        <v>89</v>
      </c>
      <c r="J26" s="18" t="s">
        <v>3</v>
      </c>
      <c r="K26" s="18" t="s">
        <v>380</v>
      </c>
      <c r="L26" s="18" t="s">
        <v>95</v>
      </c>
      <c r="M26" s="18" t="s">
        <v>381</v>
      </c>
    </row>
    <row r="27" spans="3:13" x14ac:dyDescent="0.25">
      <c r="C27" s="5" t="s">
        <v>751</v>
      </c>
      <c r="D27" s="24">
        <v>14</v>
      </c>
      <c r="E27" s="24">
        <v>7</v>
      </c>
      <c r="F27" s="24">
        <v>0</v>
      </c>
      <c r="G27" s="24">
        <v>504</v>
      </c>
      <c r="H27" s="24">
        <v>94</v>
      </c>
      <c r="I27" s="26">
        <f>H27/D27</f>
        <v>6.7142857142857144</v>
      </c>
      <c r="J27" s="24">
        <v>1</v>
      </c>
      <c r="K27" s="24"/>
      <c r="L27" s="24"/>
      <c r="M27" s="24"/>
    </row>
    <row r="28" spans="3:13" x14ac:dyDescent="0.25">
      <c r="C28" s="5" t="s">
        <v>435</v>
      </c>
      <c r="D28" s="24">
        <v>6</v>
      </c>
      <c r="E28" s="24">
        <v>2</v>
      </c>
      <c r="F28" s="24">
        <v>0</v>
      </c>
      <c r="G28" s="24">
        <v>216</v>
      </c>
      <c r="H28" s="24">
        <v>35</v>
      </c>
      <c r="I28" s="26">
        <f>H28/D28</f>
        <v>5.833333333333333</v>
      </c>
      <c r="J28" s="24">
        <v>0</v>
      </c>
      <c r="K28" s="24">
        <v>2</v>
      </c>
      <c r="L28" s="24">
        <v>0</v>
      </c>
      <c r="M28" s="26">
        <f>100-L28*100/K28</f>
        <v>100</v>
      </c>
    </row>
  </sheetData>
  <sortState xmlns:xlrd2="http://schemas.microsoft.com/office/spreadsheetml/2017/richdata2" ref="C6:M10">
    <sortCondition descending="1" ref="E6:E10"/>
    <sortCondition ref="I6:I10"/>
  </sortState>
  <mergeCells count="1">
    <mergeCell ref="C3:D3"/>
  </mergeCells>
  <pageMargins left="0.7" right="0.7" top="0.78740157499999996" bottom="0.78740157499999996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81E64-B662-48B7-AE8A-148E3C680165}">
  <dimension ref="B3:AD159"/>
  <sheetViews>
    <sheetView topLeftCell="A100" zoomScale="80" zoomScaleNormal="80" workbookViewId="0">
      <selection activeCell="AC138" sqref="AC138"/>
    </sheetView>
  </sheetViews>
  <sheetFormatPr defaultRowHeight="15" x14ac:dyDescent="0.25"/>
  <cols>
    <col min="2" max="2" width="3.28515625" bestFit="1" customWidth="1"/>
    <col min="3" max="3" width="5.42578125" customWidth="1"/>
    <col min="4" max="4" width="19.7109375" customWidth="1"/>
    <col min="5" max="5" width="6" customWidth="1"/>
    <col min="6" max="7" width="6.140625" customWidth="1"/>
    <col min="8" max="8" width="11.28515625" customWidth="1"/>
    <col min="9" max="9" width="3.28515625" bestFit="1" customWidth="1"/>
    <col min="10" max="10" width="5.5703125" customWidth="1"/>
    <col min="11" max="11" width="19" customWidth="1"/>
    <col min="12" max="13" width="6.140625" customWidth="1"/>
    <col min="14" max="14" width="6.42578125" customWidth="1"/>
    <col min="15" max="15" width="6.28515625" customWidth="1"/>
    <col min="16" max="16" width="3.28515625" bestFit="1" customWidth="1"/>
    <col min="17" max="17" width="4.85546875" customWidth="1"/>
    <col min="18" max="18" width="17.85546875" customWidth="1"/>
    <col min="19" max="20" width="6.5703125" customWidth="1"/>
    <col min="21" max="21" width="5.7109375" customWidth="1"/>
    <col min="22" max="22" width="7.28515625" customWidth="1"/>
    <col min="23" max="23" width="10.42578125" customWidth="1"/>
  </cols>
  <sheetData>
    <row r="3" spans="2:19" x14ac:dyDescent="0.25">
      <c r="D3" s="11" t="s">
        <v>74</v>
      </c>
      <c r="K3" s="11" t="s">
        <v>76</v>
      </c>
      <c r="R3" s="11" t="s">
        <v>97</v>
      </c>
    </row>
    <row r="4" spans="2:19" x14ac:dyDescent="0.25">
      <c r="D4" s="18" t="s">
        <v>0</v>
      </c>
      <c r="E4" s="11" t="s">
        <v>2</v>
      </c>
      <c r="F4" s="11" t="s">
        <v>3</v>
      </c>
      <c r="G4" s="51" t="s">
        <v>4</v>
      </c>
      <c r="K4" s="18" t="s">
        <v>0</v>
      </c>
      <c r="L4" s="11" t="s">
        <v>2</v>
      </c>
      <c r="M4" s="11" t="s">
        <v>3</v>
      </c>
      <c r="N4" s="51" t="s">
        <v>4</v>
      </c>
      <c r="R4" s="18" t="s">
        <v>0</v>
      </c>
      <c r="S4" s="51" t="s">
        <v>98</v>
      </c>
    </row>
    <row r="5" spans="2:19" x14ac:dyDescent="0.25">
      <c r="B5" s="12">
        <v>1</v>
      </c>
      <c r="D5" t="s">
        <v>13</v>
      </c>
      <c r="E5" s="22">
        <v>19</v>
      </c>
      <c r="F5" s="22">
        <v>11</v>
      </c>
      <c r="G5" s="52">
        <f t="shared" ref="G5:G30" si="0">E5+F5</f>
        <v>30</v>
      </c>
      <c r="I5" s="9">
        <v>1</v>
      </c>
      <c r="K5" t="s">
        <v>13</v>
      </c>
      <c r="L5" s="22">
        <v>16</v>
      </c>
      <c r="M5" s="22">
        <v>3</v>
      </c>
      <c r="N5" s="52">
        <f t="shared" ref="N5:N28" si="1">L5+M5</f>
        <v>19</v>
      </c>
      <c r="P5" s="9">
        <v>1</v>
      </c>
      <c r="R5" t="s">
        <v>13</v>
      </c>
      <c r="S5" s="52">
        <v>39</v>
      </c>
    </row>
    <row r="6" spans="2:19" x14ac:dyDescent="0.25">
      <c r="B6" s="12">
        <v>2</v>
      </c>
      <c r="D6" t="s">
        <v>14</v>
      </c>
      <c r="E6" s="22">
        <v>12</v>
      </c>
      <c r="F6" s="22">
        <v>9</v>
      </c>
      <c r="G6" s="52">
        <f t="shared" si="0"/>
        <v>21</v>
      </c>
      <c r="I6" s="9">
        <v>2</v>
      </c>
      <c r="K6" t="s">
        <v>7</v>
      </c>
      <c r="L6" s="22">
        <v>8</v>
      </c>
      <c r="M6" s="22">
        <v>4</v>
      </c>
      <c r="N6" s="52">
        <f t="shared" si="1"/>
        <v>12</v>
      </c>
      <c r="P6" s="9">
        <v>2</v>
      </c>
      <c r="R6" s="86" t="s">
        <v>7</v>
      </c>
      <c r="S6" s="73">
        <v>24</v>
      </c>
    </row>
    <row r="7" spans="2:19" x14ac:dyDescent="0.25">
      <c r="B7" s="12">
        <v>3</v>
      </c>
      <c r="D7" t="s">
        <v>7</v>
      </c>
      <c r="E7" s="22">
        <v>12</v>
      </c>
      <c r="F7" s="22">
        <v>7</v>
      </c>
      <c r="G7" s="52">
        <f t="shared" si="0"/>
        <v>19</v>
      </c>
      <c r="I7" s="9">
        <v>3</v>
      </c>
      <c r="K7" t="s">
        <v>10</v>
      </c>
      <c r="L7" s="22">
        <v>7</v>
      </c>
      <c r="M7" s="22">
        <v>4</v>
      </c>
      <c r="N7" s="52">
        <f t="shared" si="1"/>
        <v>11</v>
      </c>
      <c r="P7" s="9">
        <v>3</v>
      </c>
      <c r="R7" s="86" t="s">
        <v>356</v>
      </c>
      <c r="S7" s="52">
        <v>11</v>
      </c>
    </row>
    <row r="8" spans="2:19" x14ac:dyDescent="0.25">
      <c r="B8" s="12">
        <v>4</v>
      </c>
      <c r="D8" t="s">
        <v>8</v>
      </c>
      <c r="E8" s="22">
        <v>12</v>
      </c>
      <c r="F8" s="22">
        <v>4</v>
      </c>
      <c r="G8" s="52">
        <f t="shared" si="0"/>
        <v>16</v>
      </c>
      <c r="I8" s="9">
        <v>4</v>
      </c>
      <c r="K8" t="s">
        <v>30</v>
      </c>
      <c r="L8" s="22">
        <v>5</v>
      </c>
      <c r="M8" s="22">
        <v>5</v>
      </c>
      <c r="N8" s="52">
        <f t="shared" si="1"/>
        <v>10</v>
      </c>
      <c r="P8" s="9">
        <v>4</v>
      </c>
      <c r="R8" s="86" t="s">
        <v>8</v>
      </c>
      <c r="S8" s="52">
        <v>10</v>
      </c>
    </row>
    <row r="9" spans="2:19" x14ac:dyDescent="0.25">
      <c r="B9" s="12">
        <v>5</v>
      </c>
      <c r="D9" t="s">
        <v>10</v>
      </c>
      <c r="E9" s="22">
        <v>4</v>
      </c>
      <c r="F9" s="22">
        <v>11</v>
      </c>
      <c r="G9" s="52">
        <f t="shared" si="0"/>
        <v>15</v>
      </c>
      <c r="I9" s="9">
        <v>5</v>
      </c>
      <c r="K9" t="s">
        <v>16</v>
      </c>
      <c r="L9" s="22">
        <v>3</v>
      </c>
      <c r="M9" s="22">
        <v>5</v>
      </c>
      <c r="N9" s="52">
        <f t="shared" si="1"/>
        <v>8</v>
      </c>
      <c r="P9" s="9">
        <v>5</v>
      </c>
      <c r="R9" s="86" t="s">
        <v>30</v>
      </c>
      <c r="S9" s="52">
        <v>6</v>
      </c>
    </row>
    <row r="10" spans="2:19" x14ac:dyDescent="0.25">
      <c r="B10" s="12">
        <v>6</v>
      </c>
      <c r="D10" t="s">
        <v>356</v>
      </c>
      <c r="E10" s="22">
        <v>6</v>
      </c>
      <c r="F10" s="22">
        <v>5</v>
      </c>
      <c r="G10" s="52">
        <f t="shared" si="0"/>
        <v>11</v>
      </c>
      <c r="I10" s="9">
        <v>6</v>
      </c>
      <c r="K10" t="s">
        <v>9</v>
      </c>
      <c r="L10" s="22">
        <v>3</v>
      </c>
      <c r="M10" s="22">
        <v>2</v>
      </c>
      <c r="N10" s="52">
        <f t="shared" si="1"/>
        <v>5</v>
      </c>
      <c r="P10" s="9">
        <v>6</v>
      </c>
      <c r="R10" s="86" t="s">
        <v>10</v>
      </c>
      <c r="S10" s="52">
        <v>6</v>
      </c>
    </row>
    <row r="11" spans="2:19" x14ac:dyDescent="0.25">
      <c r="B11" s="12">
        <v>7</v>
      </c>
      <c r="D11" t="s">
        <v>39</v>
      </c>
      <c r="E11" s="22">
        <v>7</v>
      </c>
      <c r="F11" s="22">
        <v>3</v>
      </c>
      <c r="G11" s="52">
        <f t="shared" si="0"/>
        <v>10</v>
      </c>
      <c r="I11" s="9">
        <v>7</v>
      </c>
      <c r="K11" t="s">
        <v>12</v>
      </c>
      <c r="L11" s="22">
        <v>1</v>
      </c>
      <c r="M11" s="22">
        <v>4</v>
      </c>
      <c r="N11" s="52">
        <f t="shared" si="1"/>
        <v>5</v>
      </c>
      <c r="P11" s="9">
        <v>7</v>
      </c>
      <c r="R11" s="86" t="s">
        <v>324</v>
      </c>
      <c r="S11" s="52">
        <v>6</v>
      </c>
    </row>
    <row r="12" spans="2:19" x14ac:dyDescent="0.25">
      <c r="B12" s="12">
        <v>8</v>
      </c>
      <c r="D12" t="s">
        <v>9</v>
      </c>
      <c r="E12" s="22">
        <v>5</v>
      </c>
      <c r="F12" s="22">
        <v>5</v>
      </c>
      <c r="G12" s="52">
        <f t="shared" si="0"/>
        <v>10</v>
      </c>
      <c r="I12" s="9">
        <v>8</v>
      </c>
      <c r="K12" t="s">
        <v>356</v>
      </c>
      <c r="L12" s="22">
        <v>4</v>
      </c>
      <c r="M12" s="22">
        <v>0</v>
      </c>
      <c r="N12" s="52">
        <f t="shared" si="1"/>
        <v>4</v>
      </c>
      <c r="P12" s="9">
        <v>8</v>
      </c>
      <c r="R12" s="86" t="s">
        <v>39</v>
      </c>
      <c r="S12" s="52">
        <v>5</v>
      </c>
    </row>
    <row r="13" spans="2:19" x14ac:dyDescent="0.25">
      <c r="B13" s="12">
        <v>9</v>
      </c>
      <c r="D13" t="s">
        <v>30</v>
      </c>
      <c r="E13" s="22">
        <v>3</v>
      </c>
      <c r="F13" s="22">
        <v>7</v>
      </c>
      <c r="G13" s="52">
        <f t="shared" si="0"/>
        <v>10</v>
      </c>
      <c r="I13" s="9">
        <v>9</v>
      </c>
      <c r="K13" t="s">
        <v>324</v>
      </c>
      <c r="L13" s="22">
        <v>3</v>
      </c>
      <c r="M13" s="22">
        <v>1</v>
      </c>
      <c r="N13" s="52">
        <f t="shared" si="1"/>
        <v>4</v>
      </c>
      <c r="P13" s="9">
        <v>9</v>
      </c>
      <c r="R13" s="86" t="s">
        <v>6</v>
      </c>
      <c r="S13" s="52">
        <v>3</v>
      </c>
    </row>
    <row r="14" spans="2:19" x14ac:dyDescent="0.25">
      <c r="B14" s="12">
        <v>10</v>
      </c>
      <c r="D14" t="s">
        <v>12</v>
      </c>
      <c r="E14" s="22">
        <v>2</v>
      </c>
      <c r="F14" s="22">
        <v>7</v>
      </c>
      <c r="G14" s="52">
        <f t="shared" si="0"/>
        <v>9</v>
      </c>
      <c r="I14" s="9">
        <v>10</v>
      </c>
      <c r="K14" t="s">
        <v>1178</v>
      </c>
      <c r="L14" s="22">
        <v>2</v>
      </c>
      <c r="M14" s="22">
        <v>1</v>
      </c>
      <c r="N14" s="52">
        <f t="shared" si="1"/>
        <v>3</v>
      </c>
      <c r="P14" s="9">
        <v>10</v>
      </c>
      <c r="R14" s="86" t="s">
        <v>14</v>
      </c>
      <c r="S14" s="52">
        <v>3</v>
      </c>
    </row>
    <row r="15" spans="2:19" x14ac:dyDescent="0.25">
      <c r="B15" s="12">
        <v>11</v>
      </c>
      <c r="D15" t="s">
        <v>16</v>
      </c>
      <c r="E15" s="22">
        <v>3</v>
      </c>
      <c r="F15" s="22">
        <v>4</v>
      </c>
      <c r="G15" s="52">
        <f t="shared" si="0"/>
        <v>7</v>
      </c>
      <c r="I15" s="9">
        <v>11</v>
      </c>
      <c r="K15" t="s">
        <v>14</v>
      </c>
      <c r="L15" s="22">
        <v>2</v>
      </c>
      <c r="M15" s="22">
        <v>0</v>
      </c>
      <c r="N15" s="52">
        <f t="shared" si="1"/>
        <v>2</v>
      </c>
      <c r="P15" s="9">
        <v>11</v>
      </c>
      <c r="R15" s="88" t="s">
        <v>1178</v>
      </c>
      <c r="S15" s="52">
        <v>3</v>
      </c>
    </row>
    <row r="16" spans="2:19" x14ac:dyDescent="0.25">
      <c r="B16" s="12">
        <v>12</v>
      </c>
      <c r="D16" t="s">
        <v>6</v>
      </c>
      <c r="E16" s="22">
        <v>4</v>
      </c>
      <c r="F16" s="22">
        <v>2</v>
      </c>
      <c r="G16" s="52">
        <f t="shared" si="0"/>
        <v>6</v>
      </c>
      <c r="I16" s="9">
        <v>12</v>
      </c>
      <c r="K16" t="s">
        <v>39</v>
      </c>
      <c r="L16" s="22">
        <v>1</v>
      </c>
      <c r="M16" s="22">
        <v>1</v>
      </c>
      <c r="N16" s="52">
        <f t="shared" si="1"/>
        <v>2</v>
      </c>
      <c r="P16" s="9">
        <v>12</v>
      </c>
      <c r="R16" s="86" t="s">
        <v>11</v>
      </c>
      <c r="S16" s="52">
        <v>2</v>
      </c>
    </row>
    <row r="17" spans="2:19" x14ac:dyDescent="0.25">
      <c r="B17" s="12">
        <v>13</v>
      </c>
      <c r="D17" t="s">
        <v>11</v>
      </c>
      <c r="E17" s="22">
        <v>4</v>
      </c>
      <c r="F17" s="22">
        <v>2</v>
      </c>
      <c r="G17" s="52">
        <f t="shared" si="0"/>
        <v>6</v>
      </c>
      <c r="I17" s="9">
        <v>13</v>
      </c>
      <c r="K17" t="s">
        <v>1473</v>
      </c>
      <c r="L17" s="22">
        <v>1</v>
      </c>
      <c r="M17" s="22">
        <v>1</v>
      </c>
      <c r="N17" s="52">
        <f t="shared" si="1"/>
        <v>2</v>
      </c>
      <c r="P17" s="9">
        <v>13</v>
      </c>
      <c r="R17" s="86" t="s">
        <v>9</v>
      </c>
      <c r="S17" s="52">
        <v>1</v>
      </c>
    </row>
    <row r="18" spans="2:19" x14ac:dyDescent="0.25">
      <c r="B18" s="12">
        <v>14</v>
      </c>
      <c r="D18" t="s">
        <v>324</v>
      </c>
      <c r="E18" s="22">
        <v>0</v>
      </c>
      <c r="F18" s="22">
        <v>6</v>
      </c>
      <c r="G18" s="52">
        <f t="shared" si="0"/>
        <v>6</v>
      </c>
      <c r="I18" s="9">
        <v>14</v>
      </c>
      <c r="K18" t="s">
        <v>225</v>
      </c>
      <c r="L18" s="22">
        <v>0</v>
      </c>
      <c r="M18" s="22">
        <v>2</v>
      </c>
      <c r="N18" s="52">
        <f t="shared" si="1"/>
        <v>2</v>
      </c>
      <c r="P18" s="9">
        <v>14</v>
      </c>
      <c r="R18" s="86" t="s">
        <v>290</v>
      </c>
      <c r="S18" s="52">
        <v>1</v>
      </c>
    </row>
    <row r="19" spans="2:19" x14ac:dyDescent="0.25">
      <c r="B19" s="12">
        <v>15</v>
      </c>
      <c r="D19" t="s">
        <v>358</v>
      </c>
      <c r="E19" s="22">
        <v>3</v>
      </c>
      <c r="F19" s="22">
        <v>1</v>
      </c>
      <c r="G19" s="52">
        <f t="shared" si="0"/>
        <v>4</v>
      </c>
      <c r="I19" s="9">
        <v>15</v>
      </c>
      <c r="K19" t="s">
        <v>358</v>
      </c>
      <c r="L19" s="22">
        <v>0</v>
      </c>
      <c r="M19" s="22">
        <v>2</v>
      </c>
      <c r="N19" s="52">
        <f t="shared" si="1"/>
        <v>2</v>
      </c>
      <c r="P19" s="9">
        <v>15</v>
      </c>
      <c r="R19" s="86" t="s">
        <v>77</v>
      </c>
      <c r="S19" s="52">
        <v>1</v>
      </c>
    </row>
    <row r="20" spans="2:19" x14ac:dyDescent="0.25">
      <c r="B20" s="12">
        <v>16</v>
      </c>
      <c r="D20" t="s">
        <v>1178</v>
      </c>
      <c r="E20" s="22">
        <v>3</v>
      </c>
      <c r="F20" s="22">
        <v>1</v>
      </c>
      <c r="G20" s="52">
        <f t="shared" si="0"/>
        <v>4</v>
      </c>
      <c r="I20" s="9">
        <v>16</v>
      </c>
      <c r="K20" t="s">
        <v>6</v>
      </c>
      <c r="L20" s="22">
        <v>1</v>
      </c>
      <c r="M20" s="22">
        <v>0</v>
      </c>
      <c r="N20" s="52">
        <f t="shared" si="1"/>
        <v>1</v>
      </c>
      <c r="P20" s="9">
        <v>16</v>
      </c>
      <c r="R20" s="86" t="s">
        <v>400</v>
      </c>
      <c r="S20" s="52">
        <v>1</v>
      </c>
    </row>
    <row r="21" spans="2:19" x14ac:dyDescent="0.25">
      <c r="B21" s="12">
        <v>17</v>
      </c>
      <c r="D21" t="s">
        <v>15</v>
      </c>
      <c r="E21" s="22">
        <v>2</v>
      </c>
      <c r="F21" s="22">
        <v>2</v>
      </c>
      <c r="G21" s="52">
        <f t="shared" si="0"/>
        <v>4</v>
      </c>
      <c r="I21" s="9">
        <v>17</v>
      </c>
      <c r="K21" t="s">
        <v>19</v>
      </c>
      <c r="L21" s="22">
        <v>1</v>
      </c>
      <c r="M21" s="22">
        <v>0</v>
      </c>
      <c r="N21" s="52">
        <f t="shared" si="1"/>
        <v>1</v>
      </c>
      <c r="P21" s="9">
        <v>17</v>
      </c>
      <c r="R21" s="86" t="s">
        <v>1473</v>
      </c>
      <c r="S21" s="52">
        <v>1</v>
      </c>
    </row>
    <row r="22" spans="2:19" x14ac:dyDescent="0.25">
      <c r="B22" s="12">
        <v>18</v>
      </c>
      <c r="D22" t="s">
        <v>17</v>
      </c>
      <c r="E22" s="22">
        <v>1</v>
      </c>
      <c r="F22" s="22">
        <v>2</v>
      </c>
      <c r="G22" s="52">
        <f t="shared" si="0"/>
        <v>3</v>
      </c>
      <c r="I22" s="9">
        <v>18</v>
      </c>
      <c r="K22" t="s">
        <v>23</v>
      </c>
      <c r="L22" s="22">
        <v>0</v>
      </c>
      <c r="M22" s="22">
        <v>1</v>
      </c>
      <c r="N22" s="52">
        <f t="shared" si="1"/>
        <v>1</v>
      </c>
    </row>
    <row r="23" spans="2:19" x14ac:dyDescent="0.25">
      <c r="B23" s="12">
        <v>19</v>
      </c>
      <c r="D23" t="s">
        <v>225</v>
      </c>
      <c r="E23" s="22">
        <v>0</v>
      </c>
      <c r="F23" s="22">
        <v>2</v>
      </c>
      <c r="G23" s="52">
        <f t="shared" si="0"/>
        <v>2</v>
      </c>
      <c r="I23" s="9">
        <v>19</v>
      </c>
      <c r="K23" t="s">
        <v>77</v>
      </c>
      <c r="L23" s="22">
        <v>0</v>
      </c>
      <c r="M23" s="22">
        <v>1</v>
      </c>
      <c r="N23" s="52">
        <f t="shared" si="1"/>
        <v>1</v>
      </c>
    </row>
    <row r="24" spans="2:19" x14ac:dyDescent="0.25">
      <c r="B24" s="12">
        <v>20</v>
      </c>
      <c r="D24" t="s">
        <v>23</v>
      </c>
      <c r="E24" s="22">
        <v>1</v>
      </c>
      <c r="F24" s="22">
        <v>0</v>
      </c>
      <c r="G24" s="52">
        <f t="shared" si="0"/>
        <v>1</v>
      </c>
      <c r="I24" s="9">
        <v>20</v>
      </c>
      <c r="K24" t="s">
        <v>238</v>
      </c>
      <c r="L24" s="22">
        <v>0</v>
      </c>
      <c r="M24" s="22">
        <v>1</v>
      </c>
      <c r="N24" s="52">
        <f t="shared" si="1"/>
        <v>1</v>
      </c>
    </row>
    <row r="25" spans="2:19" x14ac:dyDescent="0.25">
      <c r="B25" s="12">
        <v>21</v>
      </c>
      <c r="D25" t="s">
        <v>20</v>
      </c>
      <c r="E25" s="22">
        <v>1</v>
      </c>
      <c r="F25" s="22">
        <v>0</v>
      </c>
      <c r="G25" s="52">
        <f t="shared" si="0"/>
        <v>1</v>
      </c>
      <c r="I25" s="9">
        <v>21</v>
      </c>
      <c r="K25" t="s">
        <v>91</v>
      </c>
      <c r="L25" s="22">
        <v>0</v>
      </c>
      <c r="M25" s="22">
        <v>1</v>
      </c>
      <c r="N25" s="52">
        <f t="shared" si="1"/>
        <v>1</v>
      </c>
    </row>
    <row r="26" spans="2:19" x14ac:dyDescent="0.25">
      <c r="B26" s="12">
        <v>22</v>
      </c>
      <c r="D26" t="s">
        <v>238</v>
      </c>
      <c r="E26" s="22">
        <v>1</v>
      </c>
      <c r="F26" s="22">
        <v>0</v>
      </c>
      <c r="G26" s="52">
        <f t="shared" si="0"/>
        <v>1</v>
      </c>
      <c r="I26" s="9">
        <v>22</v>
      </c>
      <c r="K26" t="s">
        <v>75</v>
      </c>
      <c r="L26" s="22">
        <v>0</v>
      </c>
      <c r="M26" s="22">
        <v>1</v>
      </c>
      <c r="N26" s="52">
        <f t="shared" si="1"/>
        <v>1</v>
      </c>
    </row>
    <row r="27" spans="2:19" x14ac:dyDescent="0.25">
      <c r="B27" s="12">
        <v>23</v>
      </c>
      <c r="D27" t="s">
        <v>75</v>
      </c>
      <c r="E27" s="22">
        <v>0</v>
      </c>
      <c r="F27" s="22">
        <v>1</v>
      </c>
      <c r="G27" s="52">
        <f t="shared" si="0"/>
        <v>1</v>
      </c>
      <c r="I27" s="9">
        <v>23</v>
      </c>
      <c r="K27" t="s">
        <v>290</v>
      </c>
      <c r="L27" s="22">
        <v>0</v>
      </c>
      <c r="M27" s="22">
        <v>1</v>
      </c>
      <c r="N27" s="52">
        <f t="shared" si="1"/>
        <v>1</v>
      </c>
    </row>
    <row r="28" spans="2:19" x14ac:dyDescent="0.25">
      <c r="B28" s="12">
        <v>24</v>
      </c>
      <c r="D28" t="s">
        <v>77</v>
      </c>
      <c r="E28" s="22">
        <v>0</v>
      </c>
      <c r="F28" s="22">
        <v>1</v>
      </c>
      <c r="G28" s="52">
        <f t="shared" si="0"/>
        <v>1</v>
      </c>
      <c r="I28" s="9">
        <v>24</v>
      </c>
      <c r="K28" t="s">
        <v>1518</v>
      </c>
      <c r="L28" s="22">
        <v>0</v>
      </c>
      <c r="M28" s="22">
        <v>1</v>
      </c>
      <c r="N28" s="52">
        <f t="shared" si="1"/>
        <v>1</v>
      </c>
    </row>
    <row r="29" spans="2:19" x14ac:dyDescent="0.25">
      <c r="B29" s="12">
        <v>25</v>
      </c>
      <c r="D29" t="s">
        <v>290</v>
      </c>
      <c r="E29" s="22">
        <v>0</v>
      </c>
      <c r="F29" s="22">
        <v>1</v>
      </c>
      <c r="G29" s="52">
        <f t="shared" si="0"/>
        <v>1</v>
      </c>
    </row>
    <row r="30" spans="2:19" x14ac:dyDescent="0.25">
      <c r="B30" s="12">
        <v>26</v>
      </c>
      <c r="D30" t="s">
        <v>254</v>
      </c>
      <c r="E30" s="22">
        <v>0</v>
      </c>
      <c r="F30" s="22">
        <v>1</v>
      </c>
      <c r="G30" s="52">
        <f t="shared" si="0"/>
        <v>1</v>
      </c>
    </row>
    <row r="33" spans="2:24" x14ac:dyDescent="0.25">
      <c r="D33" s="11" t="s">
        <v>99</v>
      </c>
      <c r="K33" s="11" t="s">
        <v>100</v>
      </c>
      <c r="R33" s="30" t="s">
        <v>272</v>
      </c>
    </row>
    <row r="34" spans="2:24" x14ac:dyDescent="0.25">
      <c r="D34" s="18" t="s">
        <v>0</v>
      </c>
      <c r="E34" s="51" t="s">
        <v>98</v>
      </c>
      <c r="K34" s="18" t="s">
        <v>0</v>
      </c>
      <c r="L34" s="51" t="s">
        <v>98</v>
      </c>
      <c r="R34" s="18" t="s">
        <v>0</v>
      </c>
      <c r="S34" s="32" t="s">
        <v>98</v>
      </c>
    </row>
    <row r="35" spans="2:24" x14ac:dyDescent="0.25">
      <c r="B35" s="9">
        <v>1</v>
      </c>
      <c r="D35" t="s">
        <v>13</v>
      </c>
      <c r="E35" s="52">
        <v>13</v>
      </c>
      <c r="I35" s="9">
        <v>1</v>
      </c>
      <c r="K35" t="s">
        <v>13</v>
      </c>
      <c r="L35" s="52">
        <v>4</v>
      </c>
      <c r="P35" s="9">
        <v>1</v>
      </c>
      <c r="R35" t="s">
        <v>7</v>
      </c>
      <c r="S35" s="31">
        <v>1</v>
      </c>
    </row>
    <row r="36" spans="2:24" x14ac:dyDescent="0.25">
      <c r="B36" s="9">
        <v>2</v>
      </c>
      <c r="D36" t="s">
        <v>356</v>
      </c>
      <c r="E36" s="52">
        <v>5</v>
      </c>
      <c r="I36" s="9">
        <v>2</v>
      </c>
      <c r="K36" t="s">
        <v>6</v>
      </c>
      <c r="L36" s="52">
        <v>1</v>
      </c>
      <c r="P36" s="9">
        <v>2</v>
      </c>
      <c r="R36" t="s">
        <v>13</v>
      </c>
      <c r="S36" s="31">
        <v>1</v>
      </c>
    </row>
    <row r="37" spans="2:24" x14ac:dyDescent="0.25">
      <c r="B37" s="9">
        <v>3</v>
      </c>
      <c r="D37" t="s">
        <v>7</v>
      </c>
      <c r="E37" s="52">
        <v>3</v>
      </c>
      <c r="I37" s="9">
        <v>3</v>
      </c>
      <c r="K37" t="s">
        <v>7</v>
      </c>
      <c r="L37" s="52">
        <v>1</v>
      </c>
    </row>
    <row r="38" spans="2:24" x14ac:dyDescent="0.25">
      <c r="B38" s="9">
        <v>4</v>
      </c>
      <c r="D38" t="s">
        <v>39</v>
      </c>
      <c r="E38" s="52">
        <v>3</v>
      </c>
      <c r="I38" s="9">
        <v>4</v>
      </c>
      <c r="K38" t="s">
        <v>356</v>
      </c>
      <c r="L38" s="52">
        <v>1</v>
      </c>
    </row>
    <row r="39" spans="2:24" x14ac:dyDescent="0.25">
      <c r="B39" s="9">
        <v>5</v>
      </c>
      <c r="D39" t="s">
        <v>324</v>
      </c>
      <c r="E39" s="52">
        <v>2</v>
      </c>
      <c r="I39" s="9">
        <v>5</v>
      </c>
      <c r="K39" t="s">
        <v>14</v>
      </c>
      <c r="L39" s="52">
        <v>1</v>
      </c>
    </row>
    <row r="40" spans="2:24" x14ac:dyDescent="0.25">
      <c r="B40" s="9">
        <v>6</v>
      </c>
      <c r="D40" t="s">
        <v>10</v>
      </c>
      <c r="E40" s="52">
        <v>1</v>
      </c>
    </row>
    <row r="41" spans="2:24" x14ac:dyDescent="0.25">
      <c r="B41" s="9">
        <v>7</v>
      </c>
      <c r="D41" t="s">
        <v>6</v>
      </c>
      <c r="E41" s="52">
        <v>1</v>
      </c>
    </row>
    <row r="42" spans="2:24" x14ac:dyDescent="0.25">
      <c r="B42" s="9">
        <v>8</v>
      </c>
      <c r="D42" t="s">
        <v>14</v>
      </c>
      <c r="E42" s="52">
        <v>1</v>
      </c>
    </row>
    <row r="43" spans="2:24" x14ac:dyDescent="0.25">
      <c r="B43" s="9">
        <v>9</v>
      </c>
      <c r="D43" s="86" t="s">
        <v>1473</v>
      </c>
      <c r="E43" s="52">
        <v>1</v>
      </c>
    </row>
    <row r="44" spans="2:24" x14ac:dyDescent="0.25">
      <c r="B44" s="9">
        <v>10</v>
      </c>
      <c r="D44" s="90" t="s">
        <v>1178</v>
      </c>
      <c r="E44" s="52">
        <v>1</v>
      </c>
    </row>
    <row r="47" spans="2:24" x14ac:dyDescent="0.25">
      <c r="D47" s="30" t="s">
        <v>205</v>
      </c>
      <c r="R47" s="18" t="s">
        <v>207</v>
      </c>
    </row>
    <row r="48" spans="2:24" x14ac:dyDescent="0.25">
      <c r="D48" s="18" t="s">
        <v>0</v>
      </c>
      <c r="E48" s="18" t="s">
        <v>2</v>
      </c>
      <c r="F48" s="18" t="s">
        <v>3</v>
      </c>
      <c r="G48" s="32" t="s">
        <v>4</v>
      </c>
      <c r="H48" s="18" t="s">
        <v>206</v>
      </c>
      <c r="I48" s="120" t="s">
        <v>165</v>
      </c>
      <c r="J48" s="120"/>
      <c r="K48" s="120"/>
      <c r="R48" s="18" t="s">
        <v>0</v>
      </c>
      <c r="S48" s="18" t="s">
        <v>1</v>
      </c>
      <c r="T48" s="18" t="s">
        <v>2</v>
      </c>
      <c r="U48" s="18" t="s">
        <v>3</v>
      </c>
      <c r="V48" s="32" t="s">
        <v>4</v>
      </c>
      <c r="W48" s="18" t="s">
        <v>206</v>
      </c>
      <c r="X48" s="41"/>
    </row>
    <row r="49" spans="2:25" x14ac:dyDescent="0.25">
      <c r="B49" s="9">
        <v>1</v>
      </c>
      <c r="D49" t="s">
        <v>13</v>
      </c>
      <c r="E49" s="22">
        <v>6</v>
      </c>
      <c r="F49" s="22">
        <v>2</v>
      </c>
      <c r="G49" s="52">
        <f t="shared" ref="G49:G53" si="2">E49+F49</f>
        <v>8</v>
      </c>
      <c r="H49" s="17" t="s">
        <v>319</v>
      </c>
      <c r="I49" s="128" t="s">
        <v>332</v>
      </c>
      <c r="J49" s="128"/>
      <c r="K49" s="128"/>
      <c r="P49" s="9">
        <v>1</v>
      </c>
      <c r="R49" s="44" t="s">
        <v>13</v>
      </c>
      <c r="S49" s="17">
        <v>24</v>
      </c>
      <c r="T49" s="17">
        <v>46</v>
      </c>
      <c r="U49" s="17">
        <v>23</v>
      </c>
      <c r="V49" s="31">
        <f>T49+U49</f>
        <v>69</v>
      </c>
      <c r="W49" s="42" t="s">
        <v>81</v>
      </c>
      <c r="X49" s="41"/>
      <c r="Y49" s="41"/>
    </row>
    <row r="50" spans="2:25" x14ac:dyDescent="0.25">
      <c r="B50" s="9">
        <v>2</v>
      </c>
      <c r="D50" t="s">
        <v>6</v>
      </c>
      <c r="E50" s="22">
        <v>5</v>
      </c>
      <c r="F50" s="22">
        <v>3</v>
      </c>
      <c r="G50" s="52">
        <f t="shared" si="2"/>
        <v>8</v>
      </c>
      <c r="H50" s="17" t="s">
        <v>60</v>
      </c>
      <c r="I50" s="108" t="s">
        <v>264</v>
      </c>
      <c r="J50" s="108"/>
      <c r="K50" s="108"/>
      <c r="P50" s="9">
        <v>2</v>
      </c>
      <c r="R50" s="41" t="s">
        <v>324</v>
      </c>
      <c r="S50" s="17">
        <v>24</v>
      </c>
      <c r="T50" s="17">
        <v>32</v>
      </c>
      <c r="U50" s="17">
        <v>25</v>
      </c>
      <c r="V50" s="31">
        <f>T50+U50</f>
        <v>57</v>
      </c>
      <c r="W50" s="17" t="s">
        <v>1154</v>
      </c>
      <c r="X50" s="41"/>
      <c r="Y50" s="41"/>
    </row>
    <row r="51" spans="2:25" x14ac:dyDescent="0.25">
      <c r="B51" s="9">
        <v>3</v>
      </c>
      <c r="D51" t="s">
        <v>356</v>
      </c>
      <c r="E51" s="22">
        <v>4</v>
      </c>
      <c r="F51" s="22">
        <v>4</v>
      </c>
      <c r="G51" s="52">
        <f t="shared" si="2"/>
        <v>8</v>
      </c>
      <c r="H51" s="17" t="s">
        <v>349</v>
      </c>
      <c r="I51" s="108" t="s">
        <v>361</v>
      </c>
      <c r="J51" s="108"/>
      <c r="K51" s="108"/>
      <c r="P51" s="9">
        <v>3</v>
      </c>
      <c r="R51" s="41" t="s">
        <v>13</v>
      </c>
      <c r="S51" s="17">
        <v>18</v>
      </c>
      <c r="T51" s="17">
        <v>32</v>
      </c>
      <c r="U51" s="17">
        <v>22</v>
      </c>
      <c r="V51" s="31">
        <f>T51+U51</f>
        <v>54</v>
      </c>
      <c r="W51" s="17" t="s">
        <v>80</v>
      </c>
      <c r="X51" s="41"/>
      <c r="Y51" s="41"/>
    </row>
    <row r="52" spans="2:25" x14ac:dyDescent="0.25">
      <c r="B52" s="9">
        <v>4</v>
      </c>
      <c r="D52" t="s">
        <v>13</v>
      </c>
      <c r="E52" s="22">
        <v>5</v>
      </c>
      <c r="F52" s="22">
        <v>2</v>
      </c>
      <c r="G52" s="52">
        <f t="shared" si="2"/>
        <v>7</v>
      </c>
      <c r="H52" s="17" t="s">
        <v>40</v>
      </c>
      <c r="I52" s="108" t="s">
        <v>327</v>
      </c>
      <c r="J52" s="108"/>
      <c r="K52" s="108"/>
      <c r="P52" s="9">
        <v>4</v>
      </c>
      <c r="R52" s="41" t="s">
        <v>13</v>
      </c>
      <c r="S52" s="17">
        <v>20</v>
      </c>
      <c r="T52" s="17">
        <v>28</v>
      </c>
      <c r="U52" s="17">
        <v>26</v>
      </c>
      <c r="V52" s="31">
        <f>T52+U52</f>
        <v>54</v>
      </c>
      <c r="W52" s="17" t="s">
        <v>40</v>
      </c>
    </row>
    <row r="53" spans="2:25" x14ac:dyDescent="0.25">
      <c r="B53" s="9">
        <v>5</v>
      </c>
      <c r="D53" t="s">
        <v>7</v>
      </c>
      <c r="E53" s="22">
        <v>4</v>
      </c>
      <c r="F53" s="22">
        <v>3</v>
      </c>
      <c r="G53" s="52">
        <f t="shared" si="2"/>
        <v>7</v>
      </c>
      <c r="H53" s="17" t="s">
        <v>60</v>
      </c>
      <c r="I53" s="108" t="s">
        <v>328</v>
      </c>
      <c r="J53" s="108"/>
      <c r="K53" s="108"/>
      <c r="P53" s="9">
        <v>5</v>
      </c>
      <c r="R53" t="s">
        <v>13</v>
      </c>
      <c r="S53" s="17">
        <v>20</v>
      </c>
      <c r="T53" s="17">
        <v>38</v>
      </c>
      <c r="U53" s="17">
        <v>15</v>
      </c>
      <c r="V53" s="31">
        <f>T53+U53</f>
        <v>53</v>
      </c>
      <c r="W53" s="22" t="s">
        <v>403</v>
      </c>
      <c r="Y53" s="41"/>
    </row>
    <row r="54" spans="2:25" x14ac:dyDescent="0.25">
      <c r="B54" s="9">
        <v>6</v>
      </c>
      <c r="D54" t="s">
        <v>324</v>
      </c>
      <c r="E54" s="22">
        <v>4</v>
      </c>
      <c r="F54" s="22">
        <v>3</v>
      </c>
      <c r="G54" s="52">
        <f t="shared" ref="G54" si="3">E54+F54</f>
        <v>7</v>
      </c>
      <c r="H54" s="17" t="s">
        <v>1154</v>
      </c>
      <c r="I54" s="108" t="s">
        <v>1227</v>
      </c>
      <c r="J54" s="108"/>
      <c r="K54" s="108"/>
      <c r="P54" s="9">
        <v>6</v>
      </c>
      <c r="R54" s="41" t="s">
        <v>13</v>
      </c>
      <c r="S54" s="17">
        <v>24</v>
      </c>
      <c r="T54" s="17">
        <v>34</v>
      </c>
      <c r="U54" s="17">
        <v>15</v>
      </c>
      <c r="V54" s="31">
        <v>53</v>
      </c>
      <c r="W54" s="17" t="s">
        <v>220</v>
      </c>
      <c r="Y54" s="41"/>
    </row>
    <row r="55" spans="2:25" x14ac:dyDescent="0.25">
      <c r="B55" s="9">
        <v>7</v>
      </c>
      <c r="D55" t="s">
        <v>77</v>
      </c>
      <c r="E55" s="22">
        <v>2</v>
      </c>
      <c r="F55" s="22">
        <v>5</v>
      </c>
      <c r="G55" s="52">
        <f>E55+F55</f>
        <v>7</v>
      </c>
      <c r="H55" s="17" t="s">
        <v>81</v>
      </c>
      <c r="I55" s="108" t="s">
        <v>329</v>
      </c>
      <c r="J55" s="108"/>
      <c r="K55" s="108"/>
      <c r="P55" s="9">
        <v>7</v>
      </c>
      <c r="R55" s="41" t="s">
        <v>7</v>
      </c>
      <c r="S55" s="17">
        <v>22</v>
      </c>
      <c r="T55" s="17">
        <v>31</v>
      </c>
      <c r="U55" s="17">
        <v>20</v>
      </c>
      <c r="V55" s="31">
        <f>T55+U55</f>
        <v>51</v>
      </c>
      <c r="W55" s="17" t="s">
        <v>81</v>
      </c>
      <c r="Y55" s="41"/>
    </row>
    <row r="56" spans="2:25" x14ac:dyDescent="0.25">
      <c r="B56" s="9">
        <v>8</v>
      </c>
      <c r="D56" t="s">
        <v>7</v>
      </c>
      <c r="E56" s="22">
        <v>6</v>
      </c>
      <c r="F56" s="22">
        <v>0</v>
      </c>
      <c r="G56" s="52">
        <f>E56+F56</f>
        <v>6</v>
      </c>
      <c r="H56" s="17" t="s">
        <v>220</v>
      </c>
      <c r="I56" s="108" t="s">
        <v>273</v>
      </c>
      <c r="J56" s="108"/>
      <c r="K56" s="108"/>
      <c r="P56" s="9">
        <v>8</v>
      </c>
      <c r="R56" s="41" t="s">
        <v>13</v>
      </c>
      <c r="S56" s="17">
        <v>19</v>
      </c>
      <c r="T56" s="17">
        <v>31</v>
      </c>
      <c r="U56" s="17">
        <v>19</v>
      </c>
      <c r="V56" s="31">
        <f>T56+U56</f>
        <v>50</v>
      </c>
      <c r="W56" s="17" t="s">
        <v>473</v>
      </c>
      <c r="Y56" s="41"/>
    </row>
    <row r="57" spans="2:25" x14ac:dyDescent="0.25">
      <c r="B57" s="9">
        <v>9</v>
      </c>
      <c r="D57" t="s">
        <v>13</v>
      </c>
      <c r="E57" s="22">
        <v>5</v>
      </c>
      <c r="F57" s="22">
        <v>1</v>
      </c>
      <c r="G57" s="52">
        <f>E57+F57</f>
        <v>6</v>
      </c>
      <c r="H57" s="17" t="s">
        <v>403</v>
      </c>
      <c r="I57" s="108" t="s">
        <v>439</v>
      </c>
      <c r="J57" s="108"/>
      <c r="K57" s="108"/>
      <c r="P57" s="9">
        <v>9</v>
      </c>
      <c r="R57" s="41" t="s">
        <v>356</v>
      </c>
      <c r="S57" s="17">
        <v>14</v>
      </c>
      <c r="T57" s="17">
        <v>27</v>
      </c>
      <c r="U57" s="17">
        <v>17</v>
      </c>
      <c r="V57" s="31">
        <v>44</v>
      </c>
      <c r="W57" s="17" t="s">
        <v>349</v>
      </c>
      <c r="Y57" s="41"/>
    </row>
    <row r="58" spans="2:25" x14ac:dyDescent="0.25">
      <c r="B58" s="9">
        <v>10</v>
      </c>
      <c r="D58" t="s">
        <v>13</v>
      </c>
      <c r="E58" s="22">
        <v>5</v>
      </c>
      <c r="F58" s="22">
        <v>1</v>
      </c>
      <c r="G58" s="52">
        <f>E58+F58</f>
        <v>6</v>
      </c>
      <c r="H58" s="17" t="s">
        <v>81</v>
      </c>
      <c r="I58" s="108" t="s">
        <v>265</v>
      </c>
      <c r="J58" s="108"/>
      <c r="K58" s="108"/>
      <c r="P58" s="9">
        <v>10</v>
      </c>
      <c r="R58" s="41" t="s">
        <v>7</v>
      </c>
      <c r="S58" s="17">
        <v>23</v>
      </c>
      <c r="T58" s="17">
        <v>24</v>
      </c>
      <c r="U58" s="17">
        <v>20</v>
      </c>
      <c r="V58" s="31">
        <f>T58+U58</f>
        <v>44</v>
      </c>
      <c r="W58" s="17" t="s">
        <v>473</v>
      </c>
      <c r="Y58" s="41"/>
    </row>
    <row r="59" spans="2:25" x14ac:dyDescent="0.25">
      <c r="D59" t="s">
        <v>14</v>
      </c>
      <c r="E59" s="22">
        <v>5</v>
      </c>
      <c r="F59" s="22">
        <v>1</v>
      </c>
      <c r="G59" s="52">
        <f t="shared" ref="G59:G68" si="4">E59+F59</f>
        <v>6</v>
      </c>
      <c r="H59" s="17" t="s">
        <v>473</v>
      </c>
      <c r="I59" s="108" t="s">
        <v>1137</v>
      </c>
      <c r="J59" s="108"/>
      <c r="K59" s="108"/>
    </row>
    <row r="60" spans="2:25" x14ac:dyDescent="0.25">
      <c r="D60" t="s">
        <v>13</v>
      </c>
      <c r="E60" s="22">
        <v>4</v>
      </c>
      <c r="F60" s="22">
        <v>2</v>
      </c>
      <c r="G60" s="52">
        <f t="shared" si="4"/>
        <v>6</v>
      </c>
      <c r="H60" s="17" t="s">
        <v>81</v>
      </c>
      <c r="I60" s="108" t="s">
        <v>330</v>
      </c>
      <c r="J60" s="108"/>
      <c r="K60" s="108"/>
    </row>
    <row r="61" spans="2:25" x14ac:dyDescent="0.25">
      <c r="D61" t="s">
        <v>7</v>
      </c>
      <c r="E61" s="22">
        <v>4</v>
      </c>
      <c r="F61" s="22">
        <v>2</v>
      </c>
      <c r="G61" s="52">
        <f t="shared" si="4"/>
        <v>6</v>
      </c>
      <c r="H61" s="17" t="s">
        <v>80</v>
      </c>
      <c r="I61" s="108" t="s">
        <v>331</v>
      </c>
      <c r="J61" s="108"/>
      <c r="K61" s="108"/>
      <c r="R61" s="120" t="s">
        <v>1345</v>
      </c>
      <c r="S61" s="120"/>
    </row>
    <row r="62" spans="2:25" x14ac:dyDescent="0.25">
      <c r="D62" t="s">
        <v>356</v>
      </c>
      <c r="E62" s="22">
        <v>4</v>
      </c>
      <c r="F62" s="22">
        <v>2</v>
      </c>
      <c r="G62" s="52">
        <f t="shared" si="4"/>
        <v>6</v>
      </c>
      <c r="H62" s="17" t="s">
        <v>349</v>
      </c>
      <c r="I62" s="108" t="s">
        <v>357</v>
      </c>
      <c r="J62" s="108"/>
      <c r="K62" s="108"/>
      <c r="R62" s="18" t="s">
        <v>0</v>
      </c>
      <c r="S62" s="18" t="s">
        <v>1</v>
      </c>
      <c r="T62" s="71" t="s">
        <v>3</v>
      </c>
      <c r="U62" s="120" t="s">
        <v>206</v>
      </c>
      <c r="V62" s="120"/>
    </row>
    <row r="63" spans="2:25" x14ac:dyDescent="0.25">
      <c r="D63" t="s">
        <v>356</v>
      </c>
      <c r="E63" s="22">
        <v>4</v>
      </c>
      <c r="F63" s="22">
        <v>2</v>
      </c>
      <c r="G63" s="52">
        <f t="shared" si="4"/>
        <v>6</v>
      </c>
      <c r="H63" s="17" t="s">
        <v>473</v>
      </c>
      <c r="I63" s="108" t="s">
        <v>766</v>
      </c>
      <c r="J63" s="108"/>
      <c r="K63" s="108"/>
      <c r="P63" s="9">
        <v>1</v>
      </c>
      <c r="R63" t="s">
        <v>30</v>
      </c>
      <c r="S63" s="17">
        <v>19</v>
      </c>
      <c r="T63" s="72">
        <v>26</v>
      </c>
      <c r="U63" s="103" t="s">
        <v>403</v>
      </c>
      <c r="V63" s="103"/>
    </row>
    <row r="64" spans="2:25" x14ac:dyDescent="0.25">
      <c r="D64" t="s">
        <v>30</v>
      </c>
      <c r="E64" s="22">
        <v>3</v>
      </c>
      <c r="F64" s="22">
        <v>3</v>
      </c>
      <c r="G64" s="52">
        <f t="shared" si="4"/>
        <v>6</v>
      </c>
      <c r="H64" s="17" t="s">
        <v>473</v>
      </c>
      <c r="I64" s="108" t="s">
        <v>1151</v>
      </c>
      <c r="J64" s="108"/>
      <c r="K64" s="108"/>
      <c r="P64" s="9">
        <v>2</v>
      </c>
      <c r="R64" t="s">
        <v>13</v>
      </c>
      <c r="S64" s="17">
        <v>20</v>
      </c>
      <c r="T64" s="72">
        <v>26</v>
      </c>
      <c r="U64" s="103" t="s">
        <v>40</v>
      </c>
      <c r="V64" s="103"/>
    </row>
    <row r="65" spans="2:25" x14ac:dyDescent="0.25">
      <c r="D65" t="s">
        <v>356</v>
      </c>
      <c r="E65" s="22">
        <v>3</v>
      </c>
      <c r="F65" s="22">
        <v>3</v>
      </c>
      <c r="G65" s="52">
        <f t="shared" si="4"/>
        <v>6</v>
      </c>
      <c r="H65" s="17" t="s">
        <v>1154</v>
      </c>
      <c r="I65" s="108" t="s">
        <v>1175</v>
      </c>
      <c r="J65" s="108"/>
      <c r="K65" s="108"/>
      <c r="P65" s="9">
        <v>3</v>
      </c>
      <c r="R65" t="s">
        <v>324</v>
      </c>
      <c r="S65" s="17">
        <v>24</v>
      </c>
      <c r="T65" s="72">
        <v>25</v>
      </c>
      <c r="U65" s="103" t="s">
        <v>1154</v>
      </c>
      <c r="V65" s="103"/>
    </row>
    <row r="66" spans="2:25" x14ac:dyDescent="0.25">
      <c r="D66" t="s">
        <v>13</v>
      </c>
      <c r="E66" s="22">
        <v>2</v>
      </c>
      <c r="F66" s="22">
        <v>4</v>
      </c>
      <c r="G66" s="52">
        <f t="shared" si="4"/>
        <v>6</v>
      </c>
      <c r="H66" s="17" t="s">
        <v>403</v>
      </c>
      <c r="I66" s="108" t="s">
        <v>460</v>
      </c>
      <c r="J66" s="108"/>
      <c r="K66" s="108"/>
      <c r="P66" s="9">
        <v>4</v>
      </c>
      <c r="R66" t="s">
        <v>13</v>
      </c>
      <c r="S66" s="17">
        <v>24</v>
      </c>
      <c r="T66" s="72">
        <v>23</v>
      </c>
      <c r="U66" s="103" t="s">
        <v>81</v>
      </c>
      <c r="V66" s="103"/>
    </row>
    <row r="67" spans="2:25" x14ac:dyDescent="0.25">
      <c r="D67" t="s">
        <v>356</v>
      </c>
      <c r="E67" s="22">
        <v>2</v>
      </c>
      <c r="F67" s="22">
        <v>4</v>
      </c>
      <c r="G67" s="52">
        <f t="shared" si="4"/>
        <v>6</v>
      </c>
      <c r="H67" s="17" t="s">
        <v>473</v>
      </c>
      <c r="I67" s="108" t="s">
        <v>1056</v>
      </c>
      <c r="J67" s="108"/>
      <c r="K67" s="108"/>
      <c r="P67" s="9">
        <v>5</v>
      </c>
      <c r="R67" t="s">
        <v>13</v>
      </c>
      <c r="S67" s="17">
        <v>18</v>
      </c>
      <c r="T67" s="72">
        <v>22</v>
      </c>
      <c r="U67" s="103" t="s">
        <v>80</v>
      </c>
      <c r="V67" s="103"/>
    </row>
    <row r="68" spans="2:25" x14ac:dyDescent="0.25">
      <c r="D68" t="s">
        <v>13</v>
      </c>
      <c r="E68" s="22">
        <v>2</v>
      </c>
      <c r="F68" s="22">
        <v>4</v>
      </c>
      <c r="G68" s="52">
        <f t="shared" si="4"/>
        <v>6</v>
      </c>
      <c r="H68" s="17" t="s">
        <v>473</v>
      </c>
      <c r="I68" s="108" t="s">
        <v>1137</v>
      </c>
      <c r="J68" s="108"/>
      <c r="K68" s="108"/>
      <c r="P68" s="9">
        <v>6</v>
      </c>
      <c r="R68" t="s">
        <v>30</v>
      </c>
      <c r="S68" s="17">
        <v>21</v>
      </c>
      <c r="T68" s="72">
        <v>22</v>
      </c>
      <c r="U68" s="103" t="s">
        <v>473</v>
      </c>
      <c r="V68" s="103"/>
    </row>
    <row r="69" spans="2:25" x14ac:dyDescent="0.25">
      <c r="P69" s="9">
        <v>7</v>
      </c>
      <c r="R69" t="s">
        <v>7</v>
      </c>
      <c r="S69" s="17">
        <v>22</v>
      </c>
      <c r="T69" s="72">
        <v>20</v>
      </c>
      <c r="U69" s="103" t="s">
        <v>81</v>
      </c>
      <c r="V69" s="103"/>
    </row>
    <row r="70" spans="2:25" x14ac:dyDescent="0.25">
      <c r="P70" s="9">
        <v>8</v>
      </c>
      <c r="R70" t="s">
        <v>7</v>
      </c>
      <c r="S70" s="17">
        <v>22</v>
      </c>
      <c r="T70" s="72">
        <v>20</v>
      </c>
      <c r="U70" s="103" t="s">
        <v>1154</v>
      </c>
      <c r="V70" s="103"/>
    </row>
    <row r="71" spans="2:25" x14ac:dyDescent="0.25">
      <c r="D71" s="30" t="s">
        <v>1346</v>
      </c>
      <c r="E71" s="41"/>
      <c r="P71" s="9">
        <v>9</v>
      </c>
      <c r="R71" t="s">
        <v>7</v>
      </c>
      <c r="S71" s="17">
        <v>23</v>
      </c>
      <c r="T71" s="72">
        <v>20</v>
      </c>
      <c r="U71" s="103" t="s">
        <v>473</v>
      </c>
      <c r="V71" s="103"/>
    </row>
    <row r="72" spans="2:25" x14ac:dyDescent="0.25">
      <c r="D72" s="18" t="s">
        <v>0</v>
      </c>
      <c r="E72" s="18" t="s">
        <v>1</v>
      </c>
      <c r="F72" s="71" t="s">
        <v>2</v>
      </c>
      <c r="G72" s="120" t="s">
        <v>206</v>
      </c>
      <c r="H72" s="120"/>
      <c r="P72" s="9">
        <v>10</v>
      </c>
      <c r="R72" t="s">
        <v>30</v>
      </c>
      <c r="S72" s="17">
        <v>18</v>
      </c>
      <c r="T72" s="72">
        <v>19</v>
      </c>
      <c r="U72" s="103" t="s">
        <v>220</v>
      </c>
      <c r="V72" s="103"/>
    </row>
    <row r="73" spans="2:25" x14ac:dyDescent="0.25">
      <c r="B73" s="9">
        <v>1</v>
      </c>
      <c r="D73" t="s">
        <v>13</v>
      </c>
      <c r="E73" s="17">
        <v>24</v>
      </c>
      <c r="F73" s="72">
        <v>46</v>
      </c>
      <c r="G73" s="103" t="s">
        <v>81</v>
      </c>
      <c r="H73" s="103"/>
      <c r="R73" t="s">
        <v>13</v>
      </c>
      <c r="S73" s="17">
        <v>19</v>
      </c>
      <c r="T73" s="72">
        <v>19</v>
      </c>
      <c r="U73" s="103" t="s">
        <v>473</v>
      </c>
      <c r="V73" s="103"/>
    </row>
    <row r="74" spans="2:25" x14ac:dyDescent="0.25">
      <c r="B74" s="9">
        <v>2</v>
      </c>
      <c r="D74" t="s">
        <v>13</v>
      </c>
      <c r="E74" s="17">
        <v>20</v>
      </c>
      <c r="F74" s="72">
        <v>38</v>
      </c>
      <c r="G74" s="103" t="s">
        <v>403</v>
      </c>
      <c r="H74" s="103"/>
      <c r="R74" t="s">
        <v>6</v>
      </c>
      <c r="S74" s="17">
        <v>20</v>
      </c>
      <c r="T74" s="72">
        <v>19</v>
      </c>
      <c r="U74" s="103" t="s">
        <v>59</v>
      </c>
      <c r="V74" s="103"/>
    </row>
    <row r="75" spans="2:25" x14ac:dyDescent="0.25">
      <c r="B75" s="9">
        <v>3</v>
      </c>
      <c r="D75" t="s">
        <v>13</v>
      </c>
      <c r="E75" s="17">
        <v>24</v>
      </c>
      <c r="F75" s="72">
        <v>38</v>
      </c>
      <c r="G75" s="103" t="s">
        <v>220</v>
      </c>
      <c r="H75" s="103"/>
    </row>
    <row r="76" spans="2:25" x14ac:dyDescent="0.25">
      <c r="B76" s="9">
        <v>4</v>
      </c>
      <c r="D76" t="s">
        <v>13</v>
      </c>
      <c r="E76" s="17">
        <v>18</v>
      </c>
      <c r="F76" s="72">
        <v>32</v>
      </c>
      <c r="G76" s="103" t="s">
        <v>80</v>
      </c>
      <c r="H76" s="103"/>
    </row>
    <row r="77" spans="2:25" x14ac:dyDescent="0.25">
      <c r="B77" s="9">
        <v>5</v>
      </c>
      <c r="D77" t="s">
        <v>324</v>
      </c>
      <c r="E77" s="17">
        <v>22</v>
      </c>
      <c r="F77" s="72">
        <v>32</v>
      </c>
      <c r="G77" s="103" t="s">
        <v>1154</v>
      </c>
      <c r="H77" s="103"/>
      <c r="R77" s="109" t="s">
        <v>461</v>
      </c>
      <c r="S77" s="109"/>
      <c r="T77" s="109"/>
      <c r="U77" s="41"/>
    </row>
    <row r="78" spans="2:25" x14ac:dyDescent="0.25">
      <c r="B78" s="9">
        <v>6</v>
      </c>
      <c r="D78" t="s">
        <v>13</v>
      </c>
      <c r="E78" s="17">
        <v>19</v>
      </c>
      <c r="F78" s="72">
        <v>31</v>
      </c>
      <c r="G78" s="103" t="s">
        <v>473</v>
      </c>
      <c r="H78" s="103"/>
      <c r="R78" s="18" t="s">
        <v>0</v>
      </c>
      <c r="S78" s="127" t="s">
        <v>266</v>
      </c>
      <c r="T78" s="127"/>
      <c r="U78" s="120" t="s">
        <v>267</v>
      </c>
      <c r="V78" s="120"/>
      <c r="W78" s="120" t="s">
        <v>165</v>
      </c>
      <c r="X78" s="120"/>
      <c r="Y78" s="120"/>
    </row>
    <row r="79" spans="2:25" x14ac:dyDescent="0.25">
      <c r="B79" s="9">
        <v>7</v>
      </c>
      <c r="D79" t="s">
        <v>13</v>
      </c>
      <c r="E79" s="17">
        <v>20</v>
      </c>
      <c r="F79" s="72">
        <v>28</v>
      </c>
      <c r="G79" s="103" t="s">
        <v>40</v>
      </c>
      <c r="H79" s="103"/>
      <c r="P79" s="9">
        <v>1</v>
      </c>
      <c r="R79" t="s">
        <v>13</v>
      </c>
      <c r="S79" s="126" t="s">
        <v>1050</v>
      </c>
      <c r="T79" s="126"/>
      <c r="U79" s="125" t="s">
        <v>1375</v>
      </c>
      <c r="V79" s="125"/>
      <c r="W79" s="111" t="s">
        <v>462</v>
      </c>
      <c r="X79" s="111"/>
      <c r="Y79" s="111"/>
    </row>
    <row r="80" spans="2:25" x14ac:dyDescent="0.25">
      <c r="B80" s="9">
        <v>8</v>
      </c>
      <c r="D80" t="s">
        <v>356</v>
      </c>
      <c r="E80" s="17">
        <v>14</v>
      </c>
      <c r="F80" s="72">
        <v>27</v>
      </c>
      <c r="G80" s="103" t="s">
        <v>349</v>
      </c>
      <c r="H80" s="103"/>
      <c r="P80" s="9">
        <v>2</v>
      </c>
      <c r="R80" t="s">
        <v>356</v>
      </c>
      <c r="S80" s="110" t="s">
        <v>1050</v>
      </c>
      <c r="T80" s="110"/>
      <c r="U80" s="118" t="s">
        <v>1373</v>
      </c>
      <c r="V80" s="118"/>
      <c r="W80" s="103" t="s">
        <v>1374</v>
      </c>
      <c r="X80" s="103"/>
      <c r="Y80" s="103"/>
    </row>
    <row r="81" spans="2:30" x14ac:dyDescent="0.25">
      <c r="B81" s="9">
        <v>9</v>
      </c>
      <c r="D81" t="s">
        <v>13</v>
      </c>
      <c r="E81" s="17">
        <v>14</v>
      </c>
      <c r="F81" s="72">
        <v>25</v>
      </c>
      <c r="G81" s="103" t="s">
        <v>349</v>
      </c>
      <c r="H81" s="103"/>
      <c r="P81" s="9">
        <v>3</v>
      </c>
      <c r="R81" t="s">
        <v>13</v>
      </c>
      <c r="S81" s="110" t="s">
        <v>637</v>
      </c>
      <c r="T81" s="110"/>
      <c r="U81" s="118" t="s">
        <v>1376</v>
      </c>
      <c r="V81" s="118"/>
      <c r="W81" s="103" t="s">
        <v>1151</v>
      </c>
      <c r="X81" s="103"/>
      <c r="Y81" s="103"/>
    </row>
    <row r="82" spans="2:30" x14ac:dyDescent="0.25">
      <c r="B82" s="9">
        <v>10</v>
      </c>
      <c r="D82" t="s">
        <v>7</v>
      </c>
      <c r="E82" s="17">
        <v>16</v>
      </c>
      <c r="F82" s="72">
        <v>25</v>
      </c>
      <c r="G82" s="103" t="s">
        <v>80</v>
      </c>
      <c r="H82" s="103"/>
      <c r="P82" s="9">
        <v>4</v>
      </c>
      <c r="R82" t="s">
        <v>13</v>
      </c>
      <c r="S82" s="110" t="s">
        <v>745</v>
      </c>
      <c r="T82" s="110"/>
      <c r="U82" s="118" t="s">
        <v>1377</v>
      </c>
      <c r="V82" s="118"/>
      <c r="W82" s="103" t="s">
        <v>463</v>
      </c>
      <c r="X82" s="103"/>
      <c r="Y82" s="103"/>
    </row>
    <row r="83" spans="2:30" x14ac:dyDescent="0.25">
      <c r="D83" t="s">
        <v>7</v>
      </c>
      <c r="E83" s="17">
        <v>19</v>
      </c>
      <c r="F83" s="72">
        <v>25</v>
      </c>
      <c r="G83" s="103" t="s">
        <v>40</v>
      </c>
      <c r="H83" s="103"/>
      <c r="P83" s="9">
        <v>5</v>
      </c>
      <c r="R83" t="s">
        <v>30</v>
      </c>
      <c r="S83" s="110" t="s">
        <v>653</v>
      </c>
      <c r="T83" s="110"/>
      <c r="U83" s="118" t="s">
        <v>1378</v>
      </c>
      <c r="V83" s="118"/>
      <c r="W83" s="103" t="s">
        <v>439</v>
      </c>
      <c r="X83" s="103"/>
      <c r="Y83" s="103"/>
    </row>
    <row r="84" spans="2:30" x14ac:dyDescent="0.25">
      <c r="P84" s="9">
        <v>6</v>
      </c>
      <c r="R84" t="s">
        <v>13</v>
      </c>
      <c r="S84" s="110" t="s">
        <v>508</v>
      </c>
      <c r="T84" s="110"/>
      <c r="U84" s="118" t="s">
        <v>1379</v>
      </c>
      <c r="V84" s="118"/>
      <c r="W84" s="103" t="s">
        <v>464</v>
      </c>
      <c r="X84" s="103"/>
      <c r="Y84" s="103"/>
    </row>
    <row r="85" spans="2:30" x14ac:dyDescent="0.25">
      <c r="P85" s="9">
        <v>7</v>
      </c>
      <c r="R85" t="s">
        <v>13</v>
      </c>
      <c r="S85" s="110" t="s">
        <v>508</v>
      </c>
      <c r="T85" s="110"/>
      <c r="U85" s="118" t="s">
        <v>1380</v>
      </c>
      <c r="V85" s="118"/>
      <c r="W85" s="103" t="s">
        <v>465</v>
      </c>
      <c r="X85" s="103"/>
      <c r="Y85" s="103"/>
    </row>
    <row r="86" spans="2:30" x14ac:dyDescent="0.25">
      <c r="D86" s="120" t="s">
        <v>618</v>
      </c>
      <c r="E86" s="120"/>
      <c r="F86" s="120"/>
      <c r="G86" s="120"/>
      <c r="H86" s="120"/>
      <c r="P86" s="9">
        <v>8</v>
      </c>
      <c r="R86" t="s">
        <v>13</v>
      </c>
      <c r="S86" s="110" t="s">
        <v>494</v>
      </c>
      <c r="T86" s="110"/>
      <c r="U86" s="118" t="s">
        <v>1381</v>
      </c>
      <c r="V86" s="118"/>
      <c r="W86" s="103" t="s">
        <v>466</v>
      </c>
      <c r="X86" s="103"/>
      <c r="Y86" s="103"/>
    </row>
    <row r="87" spans="2:30" x14ac:dyDescent="0.25">
      <c r="D87" s="11" t="s">
        <v>0</v>
      </c>
      <c r="E87" s="51" t="s">
        <v>266</v>
      </c>
      <c r="F87" s="112" t="s">
        <v>267</v>
      </c>
      <c r="G87" s="114"/>
      <c r="H87" s="112" t="s">
        <v>165</v>
      </c>
      <c r="I87" s="113"/>
      <c r="J87" s="113"/>
      <c r="K87" s="114"/>
      <c r="P87" s="9">
        <v>9</v>
      </c>
      <c r="R87" t="s">
        <v>6</v>
      </c>
      <c r="S87" s="110" t="s">
        <v>494</v>
      </c>
      <c r="T87" s="110"/>
      <c r="U87" s="118" t="s">
        <v>1382</v>
      </c>
      <c r="V87" s="118"/>
      <c r="W87" s="103" t="s">
        <v>467</v>
      </c>
      <c r="X87" s="103"/>
      <c r="Y87" s="103"/>
    </row>
    <row r="88" spans="2:30" x14ac:dyDescent="0.25">
      <c r="B88" s="9">
        <v>1</v>
      </c>
      <c r="D88" s="40" t="s">
        <v>30</v>
      </c>
      <c r="E88" s="54">
        <v>0.4381944444444445</v>
      </c>
      <c r="F88" s="131">
        <v>43506</v>
      </c>
      <c r="G88" s="131"/>
      <c r="H88" s="111" t="s">
        <v>323</v>
      </c>
      <c r="I88" s="111"/>
      <c r="J88" s="111"/>
      <c r="K88" s="111"/>
      <c r="P88" s="9">
        <v>10</v>
      </c>
      <c r="R88" t="s">
        <v>356</v>
      </c>
      <c r="S88" s="110" t="s">
        <v>493</v>
      </c>
      <c r="T88" s="110"/>
      <c r="U88" s="118" t="s">
        <v>1383</v>
      </c>
      <c r="V88" s="118"/>
      <c r="W88" s="103" t="s">
        <v>468</v>
      </c>
      <c r="X88" s="103"/>
      <c r="Y88" s="103"/>
      <c r="AC88" s="75"/>
      <c r="AD88" s="75"/>
    </row>
    <row r="89" spans="2:30" x14ac:dyDescent="0.25">
      <c r="B89" s="9">
        <v>2</v>
      </c>
      <c r="D89" s="38" t="s">
        <v>30</v>
      </c>
      <c r="E89" s="55">
        <v>0.51666666666666672</v>
      </c>
      <c r="F89" s="118">
        <v>44114</v>
      </c>
      <c r="G89" s="118"/>
      <c r="H89" s="103" t="s">
        <v>401</v>
      </c>
      <c r="I89" s="103"/>
      <c r="J89" s="103"/>
      <c r="K89" s="103"/>
    </row>
    <row r="90" spans="2:30" x14ac:dyDescent="0.25">
      <c r="B90" s="9">
        <v>3</v>
      </c>
      <c r="D90" s="40" t="s">
        <v>13</v>
      </c>
      <c r="E90" s="54">
        <v>0.52222222222222225</v>
      </c>
      <c r="F90" s="121">
        <v>45017</v>
      </c>
      <c r="G90" s="121"/>
      <c r="H90" s="103" t="s">
        <v>1138</v>
      </c>
      <c r="I90" s="103"/>
      <c r="J90" s="103"/>
      <c r="K90" s="103"/>
    </row>
    <row r="91" spans="2:30" x14ac:dyDescent="0.25">
      <c r="B91" s="9">
        <v>4</v>
      </c>
      <c r="D91" s="40" t="s">
        <v>11</v>
      </c>
      <c r="E91" s="54">
        <v>0.62986111111111109</v>
      </c>
      <c r="F91" s="121">
        <v>41713</v>
      </c>
      <c r="G91" s="121"/>
      <c r="H91" s="103" t="s">
        <v>263</v>
      </c>
      <c r="I91" s="103"/>
      <c r="J91" s="103"/>
      <c r="K91" s="103"/>
      <c r="R91" s="112" t="s">
        <v>520</v>
      </c>
      <c r="S91" s="114"/>
    </row>
    <row r="92" spans="2:30" x14ac:dyDescent="0.25">
      <c r="B92" s="9">
        <v>5</v>
      </c>
      <c r="D92" s="40" t="s">
        <v>356</v>
      </c>
      <c r="E92" s="54">
        <v>0.63750000000000007</v>
      </c>
      <c r="F92" s="121">
        <v>43870</v>
      </c>
      <c r="G92" s="121"/>
      <c r="H92" s="103" t="s">
        <v>379</v>
      </c>
      <c r="I92" s="103"/>
      <c r="J92" s="103"/>
      <c r="K92" s="103"/>
      <c r="R92" s="18" t="s">
        <v>0</v>
      </c>
      <c r="S92" s="115" t="s">
        <v>266</v>
      </c>
      <c r="T92" s="116"/>
      <c r="U92" s="112" t="s">
        <v>519</v>
      </c>
      <c r="V92" s="113"/>
      <c r="W92" s="114"/>
    </row>
    <row r="93" spans="2:30" x14ac:dyDescent="0.25">
      <c r="B93" s="9">
        <v>6</v>
      </c>
      <c r="D93" s="40" t="s">
        <v>13</v>
      </c>
      <c r="E93" s="54">
        <v>0.66736111111111107</v>
      </c>
      <c r="F93" s="121">
        <v>43526</v>
      </c>
      <c r="G93" s="121"/>
      <c r="H93" s="103" t="s">
        <v>332</v>
      </c>
      <c r="I93" s="103"/>
      <c r="J93" s="103"/>
      <c r="K93" s="103"/>
      <c r="P93" s="9">
        <v>1</v>
      </c>
      <c r="R93" s="41" t="s">
        <v>75</v>
      </c>
      <c r="S93" s="117" t="s">
        <v>532</v>
      </c>
      <c r="T93" s="117"/>
      <c r="U93" s="108" t="s">
        <v>533</v>
      </c>
      <c r="V93" s="108"/>
      <c r="W93" s="108"/>
    </row>
    <row r="94" spans="2:30" x14ac:dyDescent="0.25">
      <c r="B94" s="9">
        <v>7</v>
      </c>
      <c r="D94" s="40" t="s">
        <v>13</v>
      </c>
      <c r="E94" s="54">
        <v>0.67986111111111114</v>
      </c>
      <c r="F94" s="121">
        <v>45046</v>
      </c>
      <c r="G94" s="121"/>
      <c r="H94" s="103" t="s">
        <v>1151</v>
      </c>
      <c r="I94" s="103"/>
      <c r="J94" s="103"/>
      <c r="K94" s="103"/>
      <c r="P94" s="9">
        <v>2</v>
      </c>
      <c r="R94" s="41" t="s">
        <v>75</v>
      </c>
      <c r="S94" s="117" t="s">
        <v>538</v>
      </c>
      <c r="T94" s="117"/>
      <c r="U94" s="121" t="s">
        <v>539</v>
      </c>
      <c r="V94" s="108"/>
      <c r="W94" s="108"/>
    </row>
    <row r="95" spans="2:30" x14ac:dyDescent="0.25">
      <c r="B95" s="9">
        <v>8</v>
      </c>
      <c r="D95" s="40" t="s">
        <v>10</v>
      </c>
      <c r="E95" s="54">
        <v>0.68125000000000002</v>
      </c>
      <c r="F95" s="121">
        <v>42750</v>
      </c>
      <c r="G95" s="121"/>
      <c r="H95" s="103" t="s">
        <v>271</v>
      </c>
      <c r="I95" s="103"/>
      <c r="J95" s="103"/>
      <c r="K95" s="103"/>
      <c r="P95" s="9">
        <v>3</v>
      </c>
      <c r="R95" s="41" t="s">
        <v>75</v>
      </c>
      <c r="S95" s="117" t="s">
        <v>541</v>
      </c>
      <c r="T95" s="117"/>
      <c r="U95" s="108" t="s">
        <v>542</v>
      </c>
      <c r="V95" s="108"/>
      <c r="W95" s="108"/>
    </row>
    <row r="96" spans="2:30" x14ac:dyDescent="0.25">
      <c r="B96" s="9">
        <v>9</v>
      </c>
      <c r="D96" s="40" t="s">
        <v>6</v>
      </c>
      <c r="E96" s="54">
        <v>0.68194444444444446</v>
      </c>
      <c r="F96" s="121">
        <v>41609</v>
      </c>
      <c r="G96" s="121"/>
      <c r="H96" s="103" t="s">
        <v>264</v>
      </c>
      <c r="I96" s="103"/>
      <c r="J96" s="103"/>
      <c r="K96" s="103"/>
      <c r="P96" s="9">
        <v>4</v>
      </c>
      <c r="R96" s="41" t="s">
        <v>75</v>
      </c>
      <c r="S96" s="117" t="s">
        <v>537</v>
      </c>
      <c r="T96" s="117"/>
      <c r="U96" s="108" t="s">
        <v>536</v>
      </c>
      <c r="V96" s="108"/>
      <c r="W96" s="108"/>
    </row>
    <row r="97" spans="2:25" x14ac:dyDescent="0.25">
      <c r="B97" s="9">
        <v>10</v>
      </c>
      <c r="D97" s="40" t="s">
        <v>39</v>
      </c>
      <c r="E97" s="54">
        <v>0.72222222222222221</v>
      </c>
      <c r="F97" s="121">
        <v>44955</v>
      </c>
      <c r="G97" s="121"/>
      <c r="H97" s="103" t="s">
        <v>1056</v>
      </c>
      <c r="I97" s="103"/>
      <c r="J97" s="103"/>
      <c r="K97" s="103"/>
      <c r="P97" s="9">
        <v>5</v>
      </c>
      <c r="R97" s="41" t="s">
        <v>75</v>
      </c>
      <c r="S97" s="117" t="s">
        <v>1189</v>
      </c>
      <c r="T97" s="117"/>
      <c r="U97" s="121" t="s">
        <v>1190</v>
      </c>
      <c r="V97" s="108"/>
      <c r="W97" s="108"/>
    </row>
    <row r="98" spans="2:25" x14ac:dyDescent="0.25">
      <c r="P98" s="9">
        <v>6</v>
      </c>
      <c r="R98" s="41" t="s">
        <v>435</v>
      </c>
      <c r="S98" s="117" t="s">
        <v>1082</v>
      </c>
      <c r="T98" s="117"/>
      <c r="U98" s="108" t="s">
        <v>1083</v>
      </c>
      <c r="V98" s="108"/>
      <c r="W98" s="108"/>
    </row>
    <row r="99" spans="2:25" x14ac:dyDescent="0.25">
      <c r="P99" s="9">
        <v>7</v>
      </c>
      <c r="R99" s="41" t="s">
        <v>75</v>
      </c>
      <c r="S99" s="117" t="s">
        <v>530</v>
      </c>
      <c r="T99" s="117"/>
      <c r="U99" s="108" t="s">
        <v>531</v>
      </c>
      <c r="V99" s="108"/>
      <c r="W99" s="108"/>
    </row>
    <row r="100" spans="2:25" x14ac:dyDescent="0.25">
      <c r="D100" s="112" t="s">
        <v>517</v>
      </c>
      <c r="E100" s="114"/>
      <c r="P100" s="9">
        <v>8</v>
      </c>
      <c r="R100" s="41" t="s">
        <v>75</v>
      </c>
      <c r="S100" s="117" t="s">
        <v>534</v>
      </c>
      <c r="T100" s="117"/>
      <c r="U100" s="108" t="s">
        <v>535</v>
      </c>
      <c r="V100" s="108"/>
      <c r="W100" s="108"/>
    </row>
    <row r="101" spans="2:25" x14ac:dyDescent="0.25">
      <c r="D101" s="18" t="s">
        <v>0</v>
      </c>
      <c r="E101" s="115" t="s">
        <v>518</v>
      </c>
      <c r="F101" s="122"/>
      <c r="G101" s="116"/>
      <c r="H101" s="112" t="s">
        <v>519</v>
      </c>
      <c r="I101" s="113"/>
      <c r="J101" s="113"/>
      <c r="K101" s="114"/>
      <c r="P101" s="9">
        <v>9</v>
      </c>
      <c r="R101" s="41" t="s">
        <v>75</v>
      </c>
      <c r="S101" s="117" t="s">
        <v>1305</v>
      </c>
      <c r="T101" s="117"/>
      <c r="U101" s="108" t="s">
        <v>1306</v>
      </c>
      <c r="V101" s="108"/>
      <c r="W101" s="108"/>
    </row>
    <row r="102" spans="2:25" x14ac:dyDescent="0.25">
      <c r="B102" s="9">
        <v>1</v>
      </c>
      <c r="D102" t="s">
        <v>75</v>
      </c>
      <c r="E102" s="129">
        <v>19</v>
      </c>
      <c r="F102" s="129"/>
      <c r="G102" s="129"/>
      <c r="H102" s="128" t="s">
        <v>749</v>
      </c>
      <c r="I102" s="128"/>
      <c r="J102" s="128"/>
      <c r="K102" s="128"/>
      <c r="P102" s="9">
        <v>10</v>
      </c>
      <c r="R102" s="41" t="s">
        <v>75</v>
      </c>
      <c r="S102" s="117" t="s">
        <v>540</v>
      </c>
      <c r="T102" s="117"/>
      <c r="U102" s="108" t="s">
        <v>521</v>
      </c>
      <c r="V102" s="108"/>
      <c r="W102" s="108"/>
    </row>
    <row r="103" spans="2:25" x14ac:dyDescent="0.25">
      <c r="B103" s="9">
        <v>2</v>
      </c>
      <c r="D103" s="38" t="s">
        <v>75</v>
      </c>
      <c r="E103" s="130">
        <v>8</v>
      </c>
      <c r="F103" s="130"/>
      <c r="G103" s="130"/>
      <c r="H103" s="103" t="s">
        <v>526</v>
      </c>
      <c r="I103" s="103"/>
      <c r="J103" s="103"/>
      <c r="K103" s="103"/>
      <c r="R103" s="41" t="s">
        <v>75</v>
      </c>
      <c r="S103" s="117" t="s">
        <v>540</v>
      </c>
      <c r="T103" s="117"/>
      <c r="U103" s="108" t="s">
        <v>1249</v>
      </c>
      <c r="V103" s="108"/>
      <c r="W103" s="108"/>
    </row>
    <row r="104" spans="2:25" x14ac:dyDescent="0.25">
      <c r="B104" s="9">
        <v>3</v>
      </c>
      <c r="D104" s="38" t="s">
        <v>75</v>
      </c>
      <c r="E104" s="130">
        <v>8</v>
      </c>
      <c r="F104" s="130"/>
      <c r="G104" s="130"/>
      <c r="H104" s="103" t="s">
        <v>527</v>
      </c>
      <c r="I104" s="103"/>
      <c r="J104" s="103"/>
      <c r="K104" s="103"/>
    </row>
    <row r="105" spans="2:25" x14ac:dyDescent="0.25">
      <c r="B105" s="9">
        <v>4</v>
      </c>
      <c r="D105" s="38" t="s">
        <v>75</v>
      </c>
      <c r="E105" s="130">
        <v>7</v>
      </c>
      <c r="F105" s="130"/>
      <c r="G105" s="130"/>
      <c r="H105" s="103" t="s">
        <v>524</v>
      </c>
      <c r="I105" s="103"/>
      <c r="J105" s="103"/>
      <c r="K105" s="103"/>
    </row>
    <row r="106" spans="2:25" x14ac:dyDescent="0.25">
      <c r="B106" s="9">
        <v>5</v>
      </c>
      <c r="D106" s="38" t="s">
        <v>75</v>
      </c>
      <c r="E106" s="123">
        <v>6</v>
      </c>
      <c r="F106" s="123"/>
      <c r="G106" s="123"/>
      <c r="H106" s="108" t="s">
        <v>529</v>
      </c>
      <c r="I106" s="108"/>
      <c r="J106" s="108"/>
      <c r="K106" s="108"/>
      <c r="R106" s="101" t="s">
        <v>660</v>
      </c>
      <c r="S106" s="101"/>
    </row>
    <row r="107" spans="2:25" x14ac:dyDescent="0.25">
      <c r="B107" s="9">
        <v>6</v>
      </c>
      <c r="D107" s="38" t="s">
        <v>75</v>
      </c>
      <c r="E107" s="119">
        <v>6</v>
      </c>
      <c r="F107" s="119"/>
      <c r="G107" s="119"/>
      <c r="H107" s="103" t="s">
        <v>1038</v>
      </c>
      <c r="I107" s="103"/>
      <c r="J107" s="103"/>
      <c r="K107" s="103"/>
      <c r="R107" s="18" t="s">
        <v>0</v>
      </c>
      <c r="S107" s="127" t="s">
        <v>266</v>
      </c>
      <c r="T107" s="127"/>
      <c r="U107" s="120" t="s">
        <v>267</v>
      </c>
      <c r="V107" s="120"/>
      <c r="W107" s="120" t="s">
        <v>165</v>
      </c>
      <c r="X107" s="120"/>
      <c r="Y107" s="120"/>
    </row>
    <row r="108" spans="2:25" x14ac:dyDescent="0.25">
      <c r="B108" s="9">
        <v>7</v>
      </c>
      <c r="D108" s="38" t="s">
        <v>75</v>
      </c>
      <c r="E108" s="119">
        <v>6</v>
      </c>
      <c r="F108" s="119"/>
      <c r="G108" s="119"/>
      <c r="H108" s="103" t="s">
        <v>1205</v>
      </c>
      <c r="I108" s="103"/>
      <c r="J108" s="103"/>
      <c r="K108" s="103"/>
      <c r="P108" s="9">
        <v>1</v>
      </c>
      <c r="R108" s="38" t="s">
        <v>13</v>
      </c>
      <c r="S108" s="126" t="s">
        <v>627</v>
      </c>
      <c r="T108" s="126"/>
      <c r="U108" s="125">
        <v>42014</v>
      </c>
      <c r="V108" s="125"/>
      <c r="W108" s="111" t="s">
        <v>327</v>
      </c>
      <c r="X108" s="111"/>
      <c r="Y108" s="111"/>
    </row>
    <row r="109" spans="2:25" x14ac:dyDescent="0.25">
      <c r="B109" s="9">
        <v>8</v>
      </c>
      <c r="D109" s="38" t="s">
        <v>75</v>
      </c>
      <c r="E109" s="119">
        <v>5</v>
      </c>
      <c r="F109" s="119"/>
      <c r="G109" s="119"/>
      <c r="H109" s="103" t="s">
        <v>522</v>
      </c>
      <c r="I109" s="103"/>
      <c r="J109" s="103"/>
      <c r="K109" s="103"/>
      <c r="P109" s="9">
        <v>2</v>
      </c>
      <c r="R109" s="38" t="s">
        <v>13</v>
      </c>
      <c r="S109" s="110" t="s">
        <v>628</v>
      </c>
      <c r="T109" s="110"/>
      <c r="U109" s="118">
        <v>42014</v>
      </c>
      <c r="V109" s="118"/>
      <c r="W109" s="103" t="s">
        <v>327</v>
      </c>
      <c r="X109" s="103"/>
      <c r="Y109" s="103"/>
    </row>
    <row r="110" spans="2:25" x14ac:dyDescent="0.25">
      <c r="B110" s="9">
        <v>9</v>
      </c>
      <c r="D110" s="38" t="s">
        <v>75</v>
      </c>
      <c r="E110" s="123">
        <v>5</v>
      </c>
      <c r="F110" s="123"/>
      <c r="G110" s="123"/>
      <c r="H110" s="108" t="s">
        <v>1248</v>
      </c>
      <c r="I110" s="108"/>
      <c r="J110" s="108"/>
      <c r="K110" s="108"/>
      <c r="P110" s="9">
        <v>3</v>
      </c>
      <c r="R110" s="38" t="s">
        <v>13</v>
      </c>
      <c r="S110" s="110" t="s">
        <v>623</v>
      </c>
      <c r="T110" s="110"/>
      <c r="U110" s="118">
        <v>42014</v>
      </c>
      <c r="V110" s="118"/>
      <c r="W110" s="103" t="s">
        <v>327</v>
      </c>
      <c r="X110" s="103"/>
      <c r="Y110" s="103"/>
    </row>
    <row r="111" spans="2:25" x14ac:dyDescent="0.25">
      <c r="B111" s="9">
        <v>10</v>
      </c>
      <c r="D111" s="38" t="s">
        <v>75</v>
      </c>
      <c r="E111" s="119">
        <v>4</v>
      </c>
      <c r="F111" s="119"/>
      <c r="G111" s="119"/>
      <c r="H111" s="103" t="s">
        <v>523</v>
      </c>
      <c r="I111" s="103"/>
      <c r="J111" s="103"/>
      <c r="K111" s="103"/>
      <c r="P111" s="9">
        <v>4</v>
      </c>
      <c r="R111" s="38" t="s">
        <v>8</v>
      </c>
      <c r="S111" s="110" t="s">
        <v>1384</v>
      </c>
      <c r="T111" s="110"/>
      <c r="U111" s="118" t="s">
        <v>1373</v>
      </c>
      <c r="V111" s="118"/>
      <c r="W111" s="103" t="s">
        <v>1374</v>
      </c>
      <c r="X111" s="103"/>
      <c r="Y111" s="103"/>
    </row>
    <row r="112" spans="2:25" x14ac:dyDescent="0.25">
      <c r="D112" s="38" t="s">
        <v>75</v>
      </c>
      <c r="E112" s="130">
        <v>4</v>
      </c>
      <c r="F112" s="130"/>
      <c r="G112" s="130"/>
      <c r="H112" s="103" t="s">
        <v>525</v>
      </c>
      <c r="I112" s="103"/>
      <c r="J112" s="103"/>
      <c r="K112" s="103"/>
      <c r="P112" s="9">
        <v>5</v>
      </c>
      <c r="R112" s="38" t="s">
        <v>7</v>
      </c>
      <c r="S112" s="110" t="s">
        <v>636</v>
      </c>
      <c r="T112" s="110"/>
      <c r="U112" s="118">
        <v>42701</v>
      </c>
      <c r="V112" s="118"/>
      <c r="W112" s="103" t="s">
        <v>265</v>
      </c>
      <c r="X112" s="103"/>
      <c r="Y112" s="103"/>
    </row>
    <row r="113" spans="2:25" x14ac:dyDescent="0.25">
      <c r="D113" s="38" t="s">
        <v>75</v>
      </c>
      <c r="E113" s="123">
        <v>4</v>
      </c>
      <c r="F113" s="123"/>
      <c r="G113" s="123"/>
      <c r="H113" s="108" t="s">
        <v>528</v>
      </c>
      <c r="I113" s="108"/>
      <c r="J113" s="108"/>
      <c r="K113" s="108"/>
      <c r="P113" s="9">
        <v>6</v>
      </c>
      <c r="R113" s="38" t="s">
        <v>8</v>
      </c>
      <c r="S113" s="110" t="s">
        <v>633</v>
      </c>
      <c r="T113" s="110"/>
      <c r="U113" s="118">
        <v>42448</v>
      </c>
      <c r="V113" s="118"/>
      <c r="W113" s="103" t="s">
        <v>634</v>
      </c>
      <c r="X113" s="103"/>
      <c r="Y113" s="103"/>
    </row>
    <row r="114" spans="2:25" x14ac:dyDescent="0.25">
      <c r="D114" s="38" t="s">
        <v>75</v>
      </c>
      <c r="E114" s="123">
        <v>4</v>
      </c>
      <c r="F114" s="123"/>
      <c r="G114" s="123"/>
      <c r="H114" s="108" t="s">
        <v>1386</v>
      </c>
      <c r="I114" s="108"/>
      <c r="J114" s="108"/>
      <c r="K114" s="108"/>
      <c r="P114" s="9">
        <v>7</v>
      </c>
      <c r="R114" s="38" t="s">
        <v>7</v>
      </c>
      <c r="S114" s="110" t="s">
        <v>633</v>
      </c>
      <c r="T114" s="110"/>
      <c r="U114" s="118">
        <v>43058</v>
      </c>
      <c r="V114" s="118"/>
      <c r="W114" s="103" t="s">
        <v>273</v>
      </c>
      <c r="X114" s="103"/>
      <c r="Y114" s="103"/>
    </row>
    <row r="115" spans="2:25" x14ac:dyDescent="0.25">
      <c r="P115" s="9">
        <v>8</v>
      </c>
      <c r="R115" s="38" t="s">
        <v>13</v>
      </c>
      <c r="S115" s="110" t="s">
        <v>652</v>
      </c>
      <c r="T115" s="110"/>
      <c r="U115" s="118">
        <v>43526</v>
      </c>
      <c r="V115" s="118"/>
      <c r="W115" s="103" t="s">
        <v>646</v>
      </c>
      <c r="X115" s="103"/>
      <c r="Y115" s="103"/>
    </row>
    <row r="116" spans="2:25" x14ac:dyDescent="0.25">
      <c r="P116" s="9">
        <v>9</v>
      </c>
      <c r="R116" s="38" t="s">
        <v>7</v>
      </c>
      <c r="S116" s="110" t="s">
        <v>655</v>
      </c>
      <c r="T116" s="110"/>
      <c r="U116" s="118">
        <v>44478</v>
      </c>
      <c r="V116" s="118"/>
      <c r="W116" s="103" t="s">
        <v>656</v>
      </c>
      <c r="X116" s="103"/>
      <c r="Y116" s="103"/>
    </row>
    <row r="117" spans="2:25" x14ac:dyDescent="0.25">
      <c r="D117" s="109" t="s">
        <v>659</v>
      </c>
      <c r="E117" s="109"/>
      <c r="P117" s="9">
        <v>10</v>
      </c>
      <c r="R117" s="38" t="s">
        <v>30</v>
      </c>
      <c r="S117" s="110" t="s">
        <v>644</v>
      </c>
      <c r="T117" s="110"/>
      <c r="U117" s="118">
        <v>43506</v>
      </c>
      <c r="V117" s="118"/>
      <c r="W117" s="103" t="s">
        <v>323</v>
      </c>
      <c r="X117" s="103"/>
      <c r="Y117" s="103"/>
    </row>
    <row r="118" spans="2:25" x14ac:dyDescent="0.25">
      <c r="D118" s="18" t="s">
        <v>0</v>
      </c>
      <c r="E118" s="124" t="s">
        <v>266</v>
      </c>
      <c r="F118" s="124"/>
      <c r="G118" s="101" t="s">
        <v>267</v>
      </c>
      <c r="H118" s="101"/>
      <c r="I118" s="101" t="s">
        <v>165</v>
      </c>
      <c r="J118" s="101"/>
      <c r="K118" s="101"/>
      <c r="L118" s="101"/>
    </row>
    <row r="119" spans="2:25" x14ac:dyDescent="0.25">
      <c r="B119" s="9">
        <v>1</v>
      </c>
      <c r="D119" s="38" t="s">
        <v>13</v>
      </c>
      <c r="E119" s="126" t="s">
        <v>637</v>
      </c>
      <c r="F119" s="126"/>
      <c r="G119" s="125">
        <v>43058</v>
      </c>
      <c r="H119" s="125"/>
      <c r="I119" s="111" t="s">
        <v>638</v>
      </c>
      <c r="J119" s="111"/>
      <c r="K119" s="111"/>
      <c r="L119" s="111"/>
    </row>
    <row r="120" spans="2:25" x14ac:dyDescent="0.25">
      <c r="B120" s="9">
        <v>2</v>
      </c>
      <c r="D120" s="38" t="s">
        <v>13</v>
      </c>
      <c r="E120" s="110" t="s">
        <v>653</v>
      </c>
      <c r="F120" s="110"/>
      <c r="G120" s="118">
        <v>43526</v>
      </c>
      <c r="H120" s="118"/>
      <c r="I120" s="103" t="s">
        <v>646</v>
      </c>
      <c r="J120" s="103"/>
      <c r="K120" s="103"/>
      <c r="L120" s="103"/>
      <c r="R120" s="101" t="s">
        <v>662</v>
      </c>
      <c r="S120" s="101"/>
    </row>
    <row r="121" spans="2:25" x14ac:dyDescent="0.25">
      <c r="B121" s="9">
        <v>3</v>
      </c>
      <c r="D121" s="38" t="s">
        <v>13</v>
      </c>
      <c r="E121" s="110" t="s">
        <v>502</v>
      </c>
      <c r="F121" s="110"/>
      <c r="G121" s="118">
        <v>43379</v>
      </c>
      <c r="H121" s="118"/>
      <c r="I121" s="103" t="s">
        <v>643</v>
      </c>
      <c r="J121" s="103"/>
      <c r="K121" s="103"/>
      <c r="L121" s="103"/>
      <c r="R121" s="18" t="s">
        <v>0</v>
      </c>
      <c r="S121" s="124" t="s">
        <v>266</v>
      </c>
      <c r="T121" s="124"/>
      <c r="U121" s="101" t="s">
        <v>267</v>
      </c>
      <c r="V121" s="101"/>
      <c r="W121" s="101" t="s">
        <v>165</v>
      </c>
      <c r="X121" s="101"/>
      <c r="Y121" s="101"/>
    </row>
    <row r="122" spans="2:25" x14ac:dyDescent="0.25">
      <c r="B122" s="9">
        <v>4</v>
      </c>
      <c r="D122" s="38" t="s">
        <v>6</v>
      </c>
      <c r="E122" s="110" t="s">
        <v>508</v>
      </c>
      <c r="F122" s="110"/>
      <c r="G122" s="118">
        <v>41217</v>
      </c>
      <c r="H122" s="118"/>
      <c r="I122" s="103" t="s">
        <v>619</v>
      </c>
      <c r="J122" s="103"/>
      <c r="K122" s="103"/>
      <c r="L122" s="103"/>
      <c r="P122" s="9">
        <v>1</v>
      </c>
      <c r="R122" s="38" t="s">
        <v>13</v>
      </c>
      <c r="S122" s="126" t="s">
        <v>624</v>
      </c>
      <c r="T122" s="126"/>
      <c r="U122" s="125">
        <v>42014</v>
      </c>
      <c r="V122" s="125"/>
      <c r="W122" s="111" t="s">
        <v>327</v>
      </c>
      <c r="X122" s="111"/>
      <c r="Y122" s="111"/>
    </row>
    <row r="123" spans="2:25" x14ac:dyDescent="0.25">
      <c r="B123" s="9">
        <v>5</v>
      </c>
      <c r="D123" s="38" t="s">
        <v>13</v>
      </c>
      <c r="E123" s="110" t="s">
        <v>641</v>
      </c>
      <c r="F123" s="110"/>
      <c r="G123" s="118">
        <v>43107</v>
      </c>
      <c r="H123" s="118"/>
      <c r="I123" s="103" t="s">
        <v>640</v>
      </c>
      <c r="J123" s="103"/>
      <c r="K123" s="103"/>
      <c r="L123" s="103"/>
      <c r="P123" s="9">
        <v>2</v>
      </c>
      <c r="R123" s="38" t="s">
        <v>13</v>
      </c>
      <c r="S123" s="110" t="s">
        <v>647</v>
      </c>
      <c r="T123" s="110"/>
      <c r="U123" s="118">
        <v>43526</v>
      </c>
      <c r="V123" s="118"/>
      <c r="W123" s="103" t="s">
        <v>646</v>
      </c>
      <c r="X123" s="103"/>
      <c r="Y123" s="103"/>
    </row>
    <row r="124" spans="2:25" x14ac:dyDescent="0.25">
      <c r="B124" s="9">
        <v>6</v>
      </c>
      <c r="D124" s="38" t="s">
        <v>7</v>
      </c>
      <c r="E124" s="110" t="s">
        <v>641</v>
      </c>
      <c r="F124" s="110"/>
      <c r="G124" s="118" t="s">
        <v>1540</v>
      </c>
      <c r="H124" s="118"/>
      <c r="I124" s="103" t="s">
        <v>1541</v>
      </c>
      <c r="J124" s="103"/>
      <c r="K124" s="103"/>
      <c r="L124" s="103"/>
      <c r="P124" s="9">
        <v>3</v>
      </c>
      <c r="R124" s="38" t="s">
        <v>7</v>
      </c>
      <c r="S124" s="110" t="s">
        <v>657</v>
      </c>
      <c r="T124" s="110"/>
      <c r="U124" s="118">
        <v>43058</v>
      </c>
      <c r="V124" s="118"/>
      <c r="W124" s="103" t="s">
        <v>273</v>
      </c>
      <c r="X124" s="103"/>
      <c r="Y124" s="103"/>
    </row>
    <row r="125" spans="2:25" x14ac:dyDescent="0.25">
      <c r="B125" s="9">
        <v>7</v>
      </c>
      <c r="D125" s="38" t="s">
        <v>8</v>
      </c>
      <c r="E125" s="110" t="s">
        <v>631</v>
      </c>
      <c r="F125" s="110"/>
      <c r="G125" s="118">
        <v>42406</v>
      </c>
      <c r="H125" s="118"/>
      <c r="I125" s="103" t="s">
        <v>632</v>
      </c>
      <c r="J125" s="103"/>
      <c r="K125" s="103"/>
      <c r="L125" s="103"/>
      <c r="P125" s="9">
        <v>4</v>
      </c>
      <c r="R125" s="38" t="s">
        <v>13</v>
      </c>
      <c r="S125" s="110" t="s">
        <v>648</v>
      </c>
      <c r="T125" s="110"/>
      <c r="U125" s="118">
        <v>43526</v>
      </c>
      <c r="V125" s="118"/>
      <c r="W125" s="103" t="s">
        <v>646</v>
      </c>
      <c r="X125" s="103"/>
      <c r="Y125" s="103"/>
    </row>
    <row r="126" spans="2:25" x14ac:dyDescent="0.25">
      <c r="B126" s="9">
        <v>8</v>
      </c>
      <c r="D126" s="38" t="s">
        <v>13</v>
      </c>
      <c r="E126" s="110" t="s">
        <v>630</v>
      </c>
      <c r="F126" s="110"/>
      <c r="G126" s="118">
        <v>42014</v>
      </c>
      <c r="H126" s="118"/>
      <c r="I126" s="103" t="s">
        <v>327</v>
      </c>
      <c r="J126" s="103"/>
      <c r="K126" s="103"/>
      <c r="L126" s="103"/>
      <c r="P126" s="9">
        <v>5</v>
      </c>
      <c r="R126" s="38" t="s">
        <v>6</v>
      </c>
      <c r="S126" s="110" t="s">
        <v>620</v>
      </c>
      <c r="T126" s="110"/>
      <c r="U126" s="118">
        <v>41609</v>
      </c>
      <c r="V126" s="118"/>
      <c r="W126" s="103" t="s">
        <v>264</v>
      </c>
      <c r="X126" s="103"/>
      <c r="Y126" s="103"/>
    </row>
    <row r="127" spans="2:25" x14ac:dyDescent="0.25">
      <c r="B127" s="9">
        <v>9</v>
      </c>
      <c r="D127" s="38" t="s">
        <v>13</v>
      </c>
      <c r="E127" s="110" t="s">
        <v>884</v>
      </c>
      <c r="F127" s="110"/>
      <c r="G127" s="118">
        <v>45017</v>
      </c>
      <c r="H127" s="118"/>
      <c r="I127" s="103" t="s">
        <v>1138</v>
      </c>
      <c r="J127" s="103"/>
      <c r="K127" s="103"/>
      <c r="L127" s="103"/>
    </row>
    <row r="128" spans="2:25" x14ac:dyDescent="0.25">
      <c r="B128" s="9">
        <v>10</v>
      </c>
      <c r="D128" s="38" t="s">
        <v>13</v>
      </c>
      <c r="E128" s="110" t="s">
        <v>629</v>
      </c>
      <c r="F128" s="110"/>
      <c r="G128" s="118">
        <v>42014</v>
      </c>
      <c r="H128" s="118"/>
      <c r="I128" s="103" t="s">
        <v>327</v>
      </c>
      <c r="J128" s="103"/>
      <c r="K128" s="103"/>
      <c r="L128" s="103"/>
      <c r="R128" s="101" t="s">
        <v>663</v>
      </c>
      <c r="S128" s="101"/>
    </row>
    <row r="129" spans="2:25" x14ac:dyDescent="0.25">
      <c r="D129" s="38" t="s">
        <v>30</v>
      </c>
      <c r="E129" s="110" t="s">
        <v>629</v>
      </c>
      <c r="F129" s="110"/>
      <c r="G129" s="118">
        <v>43806</v>
      </c>
      <c r="H129" s="118"/>
      <c r="I129" s="103" t="s">
        <v>654</v>
      </c>
      <c r="J129" s="103"/>
      <c r="K129" s="103"/>
      <c r="L129" s="103"/>
      <c r="R129" s="18" t="s">
        <v>0</v>
      </c>
      <c r="S129" s="124" t="s">
        <v>266</v>
      </c>
      <c r="T129" s="124"/>
      <c r="U129" s="101" t="s">
        <v>267</v>
      </c>
      <c r="V129" s="101"/>
      <c r="W129" s="101" t="s">
        <v>165</v>
      </c>
      <c r="X129" s="101"/>
      <c r="Y129" s="101"/>
    </row>
    <row r="130" spans="2:25" x14ac:dyDescent="0.25">
      <c r="P130" s="9">
        <v>1</v>
      </c>
      <c r="R130" s="38" t="s">
        <v>13</v>
      </c>
      <c r="S130" s="126" t="s">
        <v>645</v>
      </c>
      <c r="T130" s="126"/>
      <c r="U130" s="125">
        <v>43526</v>
      </c>
      <c r="V130" s="125"/>
      <c r="W130" s="111" t="s">
        <v>646</v>
      </c>
      <c r="X130" s="111"/>
      <c r="Y130" s="111"/>
    </row>
    <row r="131" spans="2:25" x14ac:dyDescent="0.25">
      <c r="P131" s="9">
        <v>2</v>
      </c>
      <c r="R131" s="38" t="s">
        <v>7</v>
      </c>
      <c r="S131" s="110" t="s">
        <v>639</v>
      </c>
      <c r="T131" s="110"/>
      <c r="U131" s="118">
        <v>43058</v>
      </c>
      <c r="V131" s="118"/>
      <c r="W131" s="103" t="s">
        <v>273</v>
      </c>
      <c r="X131" s="103"/>
      <c r="Y131" s="103"/>
    </row>
    <row r="132" spans="2:25" x14ac:dyDescent="0.25">
      <c r="D132" s="132" t="s">
        <v>661</v>
      </c>
      <c r="E132" s="132"/>
    </row>
    <row r="133" spans="2:25" x14ac:dyDescent="0.25">
      <c r="D133" s="11" t="s">
        <v>0</v>
      </c>
      <c r="E133" s="124" t="s">
        <v>266</v>
      </c>
      <c r="F133" s="124"/>
      <c r="G133" s="101" t="s">
        <v>267</v>
      </c>
      <c r="H133" s="101"/>
      <c r="I133" s="101" t="s">
        <v>165</v>
      </c>
      <c r="J133" s="101"/>
      <c r="K133" s="101"/>
      <c r="L133" s="101"/>
    </row>
    <row r="134" spans="2:25" x14ac:dyDescent="0.25">
      <c r="B134" s="9">
        <v>1</v>
      </c>
      <c r="D134" s="38" t="s">
        <v>13</v>
      </c>
      <c r="E134" s="126" t="s">
        <v>626</v>
      </c>
      <c r="F134" s="126"/>
      <c r="G134" s="125">
        <v>42014</v>
      </c>
      <c r="H134" s="125"/>
      <c r="I134" s="111" t="s">
        <v>327</v>
      </c>
      <c r="J134" s="111"/>
      <c r="K134" s="111"/>
      <c r="L134" s="111"/>
      <c r="R134" s="112" t="s">
        <v>907</v>
      </c>
      <c r="S134" s="114"/>
    </row>
    <row r="135" spans="2:25" x14ac:dyDescent="0.25">
      <c r="B135" s="9">
        <v>2</v>
      </c>
      <c r="D135" s="38" t="s">
        <v>13</v>
      </c>
      <c r="E135" s="110" t="s">
        <v>625</v>
      </c>
      <c r="F135" s="110"/>
      <c r="G135" s="118">
        <v>42014</v>
      </c>
      <c r="H135" s="118"/>
      <c r="I135" s="103" t="s">
        <v>327</v>
      </c>
      <c r="J135" s="103"/>
      <c r="K135" s="103"/>
      <c r="L135" s="103"/>
      <c r="R135" s="18" t="s">
        <v>0</v>
      </c>
      <c r="S135" s="115" t="s">
        <v>518</v>
      </c>
      <c r="T135" s="122"/>
      <c r="U135" s="116"/>
      <c r="V135" s="112" t="s">
        <v>519</v>
      </c>
      <c r="W135" s="113"/>
      <c r="X135" s="113"/>
      <c r="Y135" s="114"/>
    </row>
    <row r="136" spans="2:25" x14ac:dyDescent="0.25">
      <c r="B136" s="9">
        <v>3</v>
      </c>
      <c r="D136" s="38" t="s">
        <v>13</v>
      </c>
      <c r="E136" s="110" t="s">
        <v>649</v>
      </c>
      <c r="F136" s="110"/>
      <c r="G136" s="118">
        <v>43526</v>
      </c>
      <c r="H136" s="118"/>
      <c r="I136" s="103" t="s">
        <v>646</v>
      </c>
      <c r="J136" s="103"/>
      <c r="K136" s="103"/>
      <c r="L136" s="103"/>
      <c r="P136" s="9">
        <v>1</v>
      </c>
      <c r="R136" s="83" t="s">
        <v>324</v>
      </c>
      <c r="S136" s="130" t="s">
        <v>1754</v>
      </c>
      <c r="T136" s="130"/>
      <c r="U136" s="130"/>
      <c r="V136" s="103" t="s">
        <v>1228</v>
      </c>
      <c r="W136" s="103"/>
      <c r="X136" s="103"/>
      <c r="Y136" s="103"/>
    </row>
    <row r="137" spans="2:25" x14ac:dyDescent="0.25">
      <c r="B137" s="9">
        <v>4</v>
      </c>
      <c r="D137" s="38" t="s">
        <v>7</v>
      </c>
      <c r="E137" s="110" t="s">
        <v>658</v>
      </c>
      <c r="F137" s="110"/>
      <c r="G137" s="118">
        <v>43058</v>
      </c>
      <c r="H137" s="118"/>
      <c r="I137" s="103" t="s">
        <v>273</v>
      </c>
      <c r="J137" s="103"/>
      <c r="K137" s="103"/>
      <c r="L137" s="103"/>
      <c r="P137" s="9">
        <v>2</v>
      </c>
      <c r="R137" t="s">
        <v>13</v>
      </c>
      <c r="S137" s="123">
        <v>41</v>
      </c>
      <c r="T137" s="123"/>
      <c r="U137" s="123"/>
      <c r="V137" s="108" t="s">
        <v>915</v>
      </c>
      <c r="W137" s="108"/>
      <c r="X137" s="108"/>
      <c r="Y137" s="108"/>
    </row>
    <row r="138" spans="2:25" x14ac:dyDescent="0.25">
      <c r="B138" s="9">
        <v>5</v>
      </c>
      <c r="D138" s="38" t="s">
        <v>6</v>
      </c>
      <c r="E138" s="110" t="s">
        <v>621</v>
      </c>
      <c r="F138" s="110"/>
      <c r="G138" s="118">
        <v>41609</v>
      </c>
      <c r="H138" s="118"/>
      <c r="I138" s="103" t="s">
        <v>264</v>
      </c>
      <c r="J138" s="103"/>
      <c r="K138" s="103"/>
      <c r="L138" s="103"/>
      <c r="P138" s="9">
        <v>3</v>
      </c>
      <c r="R138" t="s">
        <v>7</v>
      </c>
      <c r="S138" s="119">
        <v>40</v>
      </c>
      <c r="T138" s="119"/>
      <c r="U138" s="119"/>
      <c r="V138" s="103" t="s">
        <v>924</v>
      </c>
      <c r="W138" s="103"/>
      <c r="X138" s="103"/>
      <c r="Y138" s="103"/>
    </row>
    <row r="139" spans="2:25" x14ac:dyDescent="0.25">
      <c r="B139" s="9">
        <v>6</v>
      </c>
      <c r="D139" s="38" t="s">
        <v>6</v>
      </c>
      <c r="E139" s="110" t="s">
        <v>622</v>
      </c>
      <c r="F139" s="110"/>
      <c r="G139" s="118">
        <v>41609</v>
      </c>
      <c r="H139" s="118"/>
      <c r="I139" s="103" t="s">
        <v>264</v>
      </c>
      <c r="J139" s="103"/>
      <c r="K139" s="103"/>
      <c r="L139" s="103"/>
      <c r="P139" s="9">
        <v>4</v>
      </c>
      <c r="R139" s="38" t="s">
        <v>8</v>
      </c>
      <c r="S139" s="119">
        <v>31</v>
      </c>
      <c r="T139" s="119"/>
      <c r="U139" s="119"/>
      <c r="V139" s="103" t="s">
        <v>918</v>
      </c>
      <c r="W139" s="103"/>
      <c r="X139" s="103"/>
      <c r="Y139" s="103"/>
    </row>
    <row r="140" spans="2:25" x14ac:dyDescent="0.25">
      <c r="B140" s="9">
        <v>7</v>
      </c>
      <c r="D140" s="38" t="s">
        <v>13</v>
      </c>
      <c r="E140" s="110" t="s">
        <v>650</v>
      </c>
      <c r="F140" s="110"/>
      <c r="G140" s="118">
        <v>43526</v>
      </c>
      <c r="H140" s="118"/>
      <c r="I140" s="103" t="s">
        <v>646</v>
      </c>
      <c r="J140" s="103"/>
      <c r="K140" s="103"/>
      <c r="L140" s="103"/>
      <c r="P140" s="9">
        <v>5</v>
      </c>
      <c r="R140" t="s">
        <v>7</v>
      </c>
      <c r="S140" s="119">
        <v>25</v>
      </c>
      <c r="T140" s="119"/>
      <c r="U140" s="119"/>
      <c r="V140" s="103" t="s">
        <v>923</v>
      </c>
      <c r="W140" s="103"/>
      <c r="X140" s="103"/>
      <c r="Y140" s="103"/>
    </row>
    <row r="141" spans="2:25" x14ac:dyDescent="0.25">
      <c r="B141" s="9">
        <v>8</v>
      </c>
      <c r="D141" s="38" t="s">
        <v>13</v>
      </c>
      <c r="E141" s="110" t="s">
        <v>642</v>
      </c>
      <c r="F141" s="110"/>
      <c r="G141" s="118">
        <v>43379</v>
      </c>
      <c r="H141" s="118"/>
      <c r="I141" s="103" t="s">
        <v>643</v>
      </c>
      <c r="J141" s="103"/>
      <c r="K141" s="103"/>
      <c r="L141" s="103"/>
      <c r="P141" s="9">
        <v>6</v>
      </c>
      <c r="R141" t="s">
        <v>30</v>
      </c>
      <c r="S141" s="130">
        <v>22</v>
      </c>
      <c r="T141" s="130"/>
      <c r="U141" s="130"/>
      <c r="V141" s="103" t="s">
        <v>922</v>
      </c>
      <c r="W141" s="103"/>
      <c r="X141" s="103"/>
      <c r="Y141" s="103"/>
    </row>
    <row r="142" spans="2:25" x14ac:dyDescent="0.25">
      <c r="B142" s="9">
        <v>9</v>
      </c>
      <c r="D142" s="38" t="s">
        <v>13</v>
      </c>
      <c r="E142" s="110" t="s">
        <v>635</v>
      </c>
      <c r="F142" s="110"/>
      <c r="G142" s="118">
        <v>42701</v>
      </c>
      <c r="H142" s="118"/>
      <c r="I142" s="103" t="s">
        <v>265</v>
      </c>
      <c r="J142" s="103"/>
      <c r="K142" s="103"/>
      <c r="L142" s="103"/>
      <c r="P142" s="9">
        <v>7</v>
      </c>
      <c r="R142" t="s">
        <v>13</v>
      </c>
      <c r="S142" s="130">
        <v>21</v>
      </c>
      <c r="T142" s="130"/>
      <c r="U142" s="130"/>
      <c r="V142" s="103" t="s">
        <v>914</v>
      </c>
      <c r="W142" s="103"/>
      <c r="X142" s="103"/>
      <c r="Y142" s="103"/>
    </row>
    <row r="143" spans="2:25" x14ac:dyDescent="0.25">
      <c r="B143" s="9">
        <v>10</v>
      </c>
      <c r="D143" s="38" t="s">
        <v>13</v>
      </c>
      <c r="E143" s="110" t="s">
        <v>651</v>
      </c>
      <c r="F143" s="110"/>
      <c r="G143" s="118">
        <v>43526</v>
      </c>
      <c r="H143" s="118"/>
      <c r="I143" s="103" t="s">
        <v>646</v>
      </c>
      <c r="J143" s="103"/>
      <c r="K143" s="103"/>
      <c r="L143" s="103"/>
      <c r="P143" s="9">
        <v>8</v>
      </c>
      <c r="R143" t="s">
        <v>30</v>
      </c>
      <c r="S143" s="123">
        <v>21</v>
      </c>
      <c r="T143" s="123"/>
      <c r="U143" s="123"/>
      <c r="V143" s="108" t="s">
        <v>1084</v>
      </c>
      <c r="W143" s="108"/>
      <c r="X143" s="108"/>
      <c r="Y143" s="108"/>
    </row>
    <row r="144" spans="2:25" x14ac:dyDescent="0.25">
      <c r="P144" s="9">
        <v>9</v>
      </c>
      <c r="R144" t="s">
        <v>6</v>
      </c>
      <c r="S144" s="130">
        <v>19</v>
      </c>
      <c r="T144" s="130"/>
      <c r="U144" s="130"/>
      <c r="V144" s="103" t="s">
        <v>935</v>
      </c>
      <c r="W144" s="103"/>
      <c r="X144" s="103"/>
      <c r="Y144" s="103"/>
    </row>
    <row r="145" spans="2:25" x14ac:dyDescent="0.25">
      <c r="P145" s="9">
        <v>10</v>
      </c>
      <c r="R145" t="s">
        <v>8</v>
      </c>
      <c r="S145" s="123">
        <v>18</v>
      </c>
      <c r="T145" s="123"/>
      <c r="U145" s="123"/>
      <c r="V145" s="108" t="s">
        <v>917</v>
      </c>
      <c r="W145" s="108"/>
      <c r="X145" s="108"/>
      <c r="Y145" s="108"/>
    </row>
    <row r="146" spans="2:25" x14ac:dyDescent="0.25">
      <c r="D146" s="112" t="s">
        <v>906</v>
      </c>
      <c r="E146" s="114"/>
      <c r="S146" s="64"/>
      <c r="T146" s="64"/>
      <c r="U146" s="64"/>
      <c r="V146" s="41"/>
      <c r="W146" s="41"/>
      <c r="X146" s="41"/>
      <c r="Y146" s="41"/>
    </row>
    <row r="147" spans="2:25" x14ac:dyDescent="0.25">
      <c r="D147" s="18" t="s">
        <v>0</v>
      </c>
      <c r="E147" s="115" t="s">
        <v>518</v>
      </c>
      <c r="F147" s="122"/>
      <c r="G147" s="116"/>
      <c r="H147" s="112" t="s">
        <v>519</v>
      </c>
      <c r="I147" s="113"/>
      <c r="J147" s="113"/>
      <c r="K147" s="114"/>
    </row>
    <row r="148" spans="2:25" x14ac:dyDescent="0.25">
      <c r="B148" s="9">
        <v>1</v>
      </c>
      <c r="D148" s="38" t="s">
        <v>7</v>
      </c>
      <c r="E148" s="119">
        <v>23</v>
      </c>
      <c r="F148" s="119"/>
      <c r="G148" s="119"/>
      <c r="H148" s="103" t="s">
        <v>922</v>
      </c>
      <c r="I148" s="103"/>
      <c r="J148" s="103"/>
      <c r="K148" s="103"/>
      <c r="R148" s="120" t="s">
        <v>908</v>
      </c>
      <c r="S148" s="120"/>
      <c r="T148" s="120"/>
    </row>
    <row r="149" spans="2:25" x14ac:dyDescent="0.25">
      <c r="B149" s="9">
        <v>2</v>
      </c>
      <c r="D149" s="38" t="s">
        <v>7</v>
      </c>
      <c r="E149" s="119">
        <v>20</v>
      </c>
      <c r="F149" s="119"/>
      <c r="G149" s="119"/>
      <c r="H149" s="103" t="s">
        <v>920</v>
      </c>
      <c r="I149" s="103"/>
      <c r="J149" s="103"/>
      <c r="K149" s="103"/>
      <c r="R149" s="18" t="s">
        <v>0</v>
      </c>
      <c r="S149" s="115" t="s">
        <v>518</v>
      </c>
      <c r="T149" s="122"/>
      <c r="U149" s="116"/>
      <c r="V149" s="112" t="s">
        <v>519</v>
      </c>
      <c r="W149" s="113"/>
      <c r="X149" s="113"/>
      <c r="Y149" s="114"/>
    </row>
    <row r="150" spans="2:25" x14ac:dyDescent="0.25">
      <c r="B150" s="9">
        <v>3</v>
      </c>
      <c r="D150" s="38" t="s">
        <v>13</v>
      </c>
      <c r="E150" s="119">
        <v>14</v>
      </c>
      <c r="F150" s="119"/>
      <c r="G150" s="119"/>
      <c r="H150" s="103" t="s">
        <v>912</v>
      </c>
      <c r="I150" s="103"/>
      <c r="J150" s="103"/>
      <c r="K150" s="103"/>
      <c r="P150" s="9">
        <v>1</v>
      </c>
      <c r="R150" t="s">
        <v>75</v>
      </c>
      <c r="S150" s="123">
        <v>76</v>
      </c>
      <c r="T150" s="123"/>
      <c r="U150" s="123"/>
      <c r="V150" s="108" t="s">
        <v>930</v>
      </c>
      <c r="W150" s="108"/>
      <c r="X150" s="108"/>
      <c r="Y150" s="108"/>
    </row>
    <row r="151" spans="2:25" x14ac:dyDescent="0.25">
      <c r="B151" s="9">
        <v>4</v>
      </c>
      <c r="D151" s="38" t="s">
        <v>13</v>
      </c>
      <c r="E151" s="130">
        <v>13</v>
      </c>
      <c r="F151" s="130"/>
      <c r="G151" s="130"/>
      <c r="H151" s="103" t="s">
        <v>910</v>
      </c>
      <c r="I151" s="103"/>
      <c r="J151" s="103"/>
      <c r="K151" s="103"/>
      <c r="P151" s="9">
        <v>2</v>
      </c>
      <c r="R151" t="s">
        <v>12</v>
      </c>
      <c r="S151" s="119">
        <v>66</v>
      </c>
      <c r="T151" s="119"/>
      <c r="U151" s="119"/>
      <c r="V151" s="103" t="s">
        <v>933</v>
      </c>
      <c r="W151" s="103"/>
      <c r="X151" s="103"/>
      <c r="Y151" s="103"/>
    </row>
    <row r="152" spans="2:25" x14ac:dyDescent="0.25">
      <c r="B152" s="9">
        <v>5</v>
      </c>
      <c r="D152" s="38" t="s">
        <v>356</v>
      </c>
      <c r="E152" s="119">
        <v>11</v>
      </c>
      <c r="F152" s="119"/>
      <c r="G152" s="119"/>
      <c r="H152" s="103" t="s">
        <v>932</v>
      </c>
      <c r="I152" s="103"/>
      <c r="J152" s="103"/>
      <c r="K152" s="103"/>
      <c r="P152" s="9">
        <v>3</v>
      </c>
      <c r="R152" t="s">
        <v>13</v>
      </c>
      <c r="S152" s="123">
        <v>66</v>
      </c>
      <c r="T152" s="123"/>
      <c r="U152" s="123"/>
      <c r="V152" s="108" t="s">
        <v>916</v>
      </c>
      <c r="W152" s="108"/>
      <c r="X152" s="108"/>
      <c r="Y152" s="108"/>
    </row>
    <row r="153" spans="2:25" x14ac:dyDescent="0.25">
      <c r="B153" s="9">
        <v>6</v>
      </c>
      <c r="D153" s="38" t="s">
        <v>13</v>
      </c>
      <c r="E153" s="130">
        <v>10</v>
      </c>
      <c r="F153" s="130"/>
      <c r="G153" s="130"/>
      <c r="H153" s="103" t="s">
        <v>909</v>
      </c>
      <c r="I153" s="103"/>
      <c r="J153" s="103"/>
      <c r="K153" s="103"/>
      <c r="P153" s="9">
        <v>4</v>
      </c>
      <c r="R153" t="s">
        <v>11</v>
      </c>
      <c r="S153" s="130">
        <v>59</v>
      </c>
      <c r="T153" s="130"/>
      <c r="U153" s="130"/>
      <c r="V153" s="103" t="s">
        <v>931</v>
      </c>
      <c r="W153" s="103"/>
      <c r="X153" s="103"/>
      <c r="Y153" s="103"/>
    </row>
    <row r="154" spans="2:25" x14ac:dyDescent="0.25">
      <c r="B154" s="9">
        <v>7</v>
      </c>
      <c r="D154" s="38" t="s">
        <v>7</v>
      </c>
      <c r="E154" s="130">
        <v>10</v>
      </c>
      <c r="F154" s="130"/>
      <c r="G154" s="130"/>
      <c r="H154" s="103" t="s">
        <v>921</v>
      </c>
      <c r="I154" s="103"/>
      <c r="J154" s="103"/>
      <c r="K154" s="103"/>
      <c r="P154" s="9">
        <v>5</v>
      </c>
      <c r="R154" s="38" t="s">
        <v>30</v>
      </c>
      <c r="S154" s="130">
        <v>51</v>
      </c>
      <c r="T154" s="130"/>
      <c r="U154" s="130"/>
      <c r="V154" s="103" t="s">
        <v>927</v>
      </c>
      <c r="W154" s="103"/>
      <c r="X154" s="103"/>
      <c r="Y154" s="103"/>
    </row>
    <row r="155" spans="2:25" x14ac:dyDescent="0.25">
      <c r="B155" s="9">
        <v>8</v>
      </c>
      <c r="D155" s="38" t="s">
        <v>13</v>
      </c>
      <c r="E155" s="130">
        <v>10</v>
      </c>
      <c r="F155" s="130"/>
      <c r="G155" s="130"/>
      <c r="H155" s="103" t="s">
        <v>913</v>
      </c>
      <c r="I155" s="103"/>
      <c r="J155" s="103"/>
      <c r="K155" s="103"/>
      <c r="P155" s="9">
        <v>6</v>
      </c>
      <c r="R155" s="38" t="s">
        <v>8</v>
      </c>
      <c r="S155" s="123">
        <v>45</v>
      </c>
      <c r="T155" s="123"/>
      <c r="U155" s="123"/>
      <c r="V155" s="108" t="s">
        <v>919</v>
      </c>
      <c r="W155" s="108"/>
      <c r="X155" s="108"/>
      <c r="Y155" s="108"/>
    </row>
    <row r="156" spans="2:25" x14ac:dyDescent="0.25">
      <c r="B156" s="9">
        <v>9</v>
      </c>
      <c r="D156" s="38" t="s">
        <v>324</v>
      </c>
      <c r="E156" s="119">
        <v>10</v>
      </c>
      <c r="F156" s="119"/>
      <c r="G156" s="119"/>
      <c r="H156" s="103" t="s">
        <v>1214</v>
      </c>
      <c r="I156" s="103"/>
      <c r="J156" s="103"/>
      <c r="K156" s="103"/>
      <c r="P156" s="9">
        <v>7</v>
      </c>
      <c r="R156" s="38" t="s">
        <v>10</v>
      </c>
      <c r="S156" s="119">
        <v>45</v>
      </c>
      <c r="T156" s="119"/>
      <c r="U156" s="119"/>
      <c r="V156" s="103" t="s">
        <v>925</v>
      </c>
      <c r="W156" s="103"/>
      <c r="X156" s="103"/>
      <c r="Y156" s="103"/>
    </row>
    <row r="157" spans="2:25" x14ac:dyDescent="0.25">
      <c r="B157" s="9">
        <v>10</v>
      </c>
      <c r="D157" s="38" t="s">
        <v>13</v>
      </c>
      <c r="E157" s="119">
        <v>9</v>
      </c>
      <c r="F157" s="119"/>
      <c r="G157" s="119"/>
      <c r="H157" s="103" t="s">
        <v>911</v>
      </c>
      <c r="I157" s="103"/>
      <c r="J157" s="103"/>
      <c r="K157" s="103"/>
      <c r="P157" s="9">
        <v>8</v>
      </c>
      <c r="R157" s="38" t="s">
        <v>6</v>
      </c>
      <c r="S157" s="119">
        <v>42</v>
      </c>
      <c r="T157" s="119"/>
      <c r="U157" s="119"/>
      <c r="V157" s="103" t="s">
        <v>934</v>
      </c>
      <c r="W157" s="103"/>
      <c r="X157" s="103"/>
      <c r="Y157" s="103"/>
    </row>
    <row r="158" spans="2:25" x14ac:dyDescent="0.25">
      <c r="D158" s="38" t="s">
        <v>13</v>
      </c>
      <c r="E158" s="119">
        <v>9</v>
      </c>
      <c r="F158" s="119"/>
      <c r="G158" s="119"/>
      <c r="H158" s="103" t="s">
        <v>1385</v>
      </c>
      <c r="I158" s="103"/>
      <c r="J158" s="103"/>
      <c r="K158" s="103"/>
      <c r="P158" s="9">
        <v>9</v>
      </c>
      <c r="R158" s="38" t="s">
        <v>10</v>
      </c>
      <c r="S158" s="123">
        <v>40</v>
      </c>
      <c r="T158" s="123"/>
      <c r="U158" s="123"/>
      <c r="V158" s="108" t="s">
        <v>926</v>
      </c>
      <c r="W158" s="108"/>
      <c r="X158" s="108"/>
      <c r="Y158" s="108"/>
    </row>
    <row r="159" spans="2:25" x14ac:dyDescent="0.25">
      <c r="D159" s="38"/>
      <c r="E159" s="64"/>
      <c r="F159" s="64"/>
      <c r="G159" s="64"/>
      <c r="H159" s="41"/>
      <c r="I159" s="41"/>
      <c r="J159" s="41"/>
      <c r="K159" s="41"/>
      <c r="P159" s="9">
        <v>10</v>
      </c>
      <c r="R159" t="s">
        <v>324</v>
      </c>
      <c r="S159" s="119">
        <v>38</v>
      </c>
      <c r="T159" s="119"/>
      <c r="U159" s="119"/>
      <c r="V159" s="103" t="s">
        <v>1476</v>
      </c>
      <c r="W159" s="103"/>
      <c r="X159" s="103"/>
      <c r="Y159" s="103"/>
    </row>
  </sheetData>
  <sortState xmlns:xlrd2="http://schemas.microsoft.com/office/spreadsheetml/2017/richdata2" ref="K4:N28">
    <sortCondition descending="1" ref="N4:N28"/>
    <sortCondition descending="1" ref="L4:L28"/>
  </sortState>
  <mergeCells count="363">
    <mergeCell ref="E149:G149"/>
    <mergeCell ref="H148:K148"/>
    <mergeCell ref="E148:G148"/>
    <mergeCell ref="H149:K149"/>
    <mergeCell ref="E150:G150"/>
    <mergeCell ref="H150:K150"/>
    <mergeCell ref="E151:G151"/>
    <mergeCell ref="D146:E146"/>
    <mergeCell ref="E147:G147"/>
    <mergeCell ref="H147:K147"/>
    <mergeCell ref="I139:L139"/>
    <mergeCell ref="I140:L140"/>
    <mergeCell ref="I141:L141"/>
    <mergeCell ref="I142:L142"/>
    <mergeCell ref="E143:F143"/>
    <mergeCell ref="G139:H139"/>
    <mergeCell ref="G140:H140"/>
    <mergeCell ref="V157:Y157"/>
    <mergeCell ref="S158:U158"/>
    <mergeCell ref="S154:U154"/>
    <mergeCell ref="V154:Y154"/>
    <mergeCell ref="V141:Y141"/>
    <mergeCell ref="I143:L143"/>
    <mergeCell ref="S141:U141"/>
    <mergeCell ref="H156:K156"/>
    <mergeCell ref="V151:Y151"/>
    <mergeCell ref="V150:Y150"/>
    <mergeCell ref="S142:U142"/>
    <mergeCell ref="V142:Y142"/>
    <mergeCell ref="S145:U145"/>
    <mergeCell ref="E155:G155"/>
    <mergeCell ref="H155:K155"/>
    <mergeCell ref="E157:G157"/>
    <mergeCell ref="H157:K157"/>
    <mergeCell ref="E158:G158"/>
    <mergeCell ref="H158:K158"/>
    <mergeCell ref="H154:K154"/>
    <mergeCell ref="S150:U150"/>
    <mergeCell ref="E154:G154"/>
    <mergeCell ref="E153:G153"/>
    <mergeCell ref="H153:K153"/>
    <mergeCell ref="E152:G152"/>
    <mergeCell ref="H152:K152"/>
    <mergeCell ref="S151:U151"/>
    <mergeCell ref="S153:U153"/>
    <mergeCell ref="E156:G156"/>
    <mergeCell ref="H151:K151"/>
    <mergeCell ref="S155:U155"/>
    <mergeCell ref="S157:U157"/>
    <mergeCell ref="S152:U152"/>
    <mergeCell ref="S136:U136"/>
    <mergeCell ref="V136:Y136"/>
    <mergeCell ref="V152:Y152"/>
    <mergeCell ref="S144:U144"/>
    <mergeCell ref="V144:Y144"/>
    <mergeCell ref="S143:U143"/>
    <mergeCell ref="V143:Y143"/>
    <mergeCell ref="V158:Y158"/>
    <mergeCell ref="S156:U156"/>
    <mergeCell ref="V156:Y156"/>
    <mergeCell ref="V153:Y153"/>
    <mergeCell ref="V155:Y155"/>
    <mergeCell ref="S140:U140"/>
    <mergeCell ref="V140:Y140"/>
    <mergeCell ref="S138:U138"/>
    <mergeCell ref="V138:Y138"/>
    <mergeCell ref="V145:Y145"/>
    <mergeCell ref="S139:U139"/>
    <mergeCell ref="V139:Y139"/>
    <mergeCell ref="S149:U149"/>
    <mergeCell ref="V149:Y149"/>
    <mergeCell ref="W121:Y121"/>
    <mergeCell ref="U121:V121"/>
    <mergeCell ref="S121:T121"/>
    <mergeCell ref="W122:Y122"/>
    <mergeCell ref="W123:Y123"/>
    <mergeCell ref="W124:Y124"/>
    <mergeCell ref="W125:Y125"/>
    <mergeCell ref="W126:Y126"/>
    <mergeCell ref="S129:T129"/>
    <mergeCell ref="U129:V129"/>
    <mergeCell ref="W129:Y129"/>
    <mergeCell ref="R128:S128"/>
    <mergeCell ref="U122:V122"/>
    <mergeCell ref="U123:V123"/>
    <mergeCell ref="U124:V124"/>
    <mergeCell ref="U125:V125"/>
    <mergeCell ref="U126:V126"/>
    <mergeCell ref="S130:T130"/>
    <mergeCell ref="S131:T131"/>
    <mergeCell ref="W130:Y130"/>
    <mergeCell ref="W131:Y131"/>
    <mergeCell ref="U130:V130"/>
    <mergeCell ref="U131:V131"/>
    <mergeCell ref="G141:H141"/>
    <mergeCell ref="G142:H142"/>
    <mergeCell ref="G143:H143"/>
    <mergeCell ref="G134:H134"/>
    <mergeCell ref="G135:H135"/>
    <mergeCell ref="G136:H136"/>
    <mergeCell ref="G137:H137"/>
    <mergeCell ref="G138:H138"/>
    <mergeCell ref="I134:L134"/>
    <mergeCell ref="I135:L135"/>
    <mergeCell ref="I136:L136"/>
    <mergeCell ref="I137:L137"/>
    <mergeCell ref="I138:L138"/>
    <mergeCell ref="R134:S134"/>
    <mergeCell ref="S135:U135"/>
    <mergeCell ref="V135:Y135"/>
    <mergeCell ref="S137:U137"/>
    <mergeCell ref="V137:Y137"/>
    <mergeCell ref="E134:F134"/>
    <mergeCell ref="E135:F135"/>
    <mergeCell ref="E136:F136"/>
    <mergeCell ref="E137:F137"/>
    <mergeCell ref="E138:F138"/>
    <mergeCell ref="E139:F139"/>
    <mergeCell ref="E140:F140"/>
    <mergeCell ref="E141:F141"/>
    <mergeCell ref="E142:F142"/>
    <mergeCell ref="D132:E132"/>
    <mergeCell ref="I133:L133"/>
    <mergeCell ref="G133:H133"/>
    <mergeCell ref="E133:F133"/>
    <mergeCell ref="S114:T114"/>
    <mergeCell ref="S115:T115"/>
    <mergeCell ref="S116:T116"/>
    <mergeCell ref="S117:T117"/>
    <mergeCell ref="S111:T111"/>
    <mergeCell ref="R120:S120"/>
    <mergeCell ref="S122:T122"/>
    <mergeCell ref="S123:T123"/>
    <mergeCell ref="S124:T124"/>
    <mergeCell ref="S125:T125"/>
    <mergeCell ref="S126:T126"/>
    <mergeCell ref="I120:L120"/>
    <mergeCell ref="I121:L121"/>
    <mergeCell ref="I122:L122"/>
    <mergeCell ref="I123:L123"/>
    <mergeCell ref="I125:L125"/>
    <mergeCell ref="I126:L126"/>
    <mergeCell ref="I128:L128"/>
    <mergeCell ref="I129:L129"/>
    <mergeCell ref="I127:L127"/>
    <mergeCell ref="U115:V115"/>
    <mergeCell ref="U116:V116"/>
    <mergeCell ref="U117:V117"/>
    <mergeCell ref="W114:Y114"/>
    <mergeCell ref="W115:Y115"/>
    <mergeCell ref="W116:Y116"/>
    <mergeCell ref="W117:Y117"/>
    <mergeCell ref="W111:Y111"/>
    <mergeCell ref="U111:V111"/>
    <mergeCell ref="E128:F128"/>
    <mergeCell ref="E129:F129"/>
    <mergeCell ref="E127:F127"/>
    <mergeCell ref="G120:H120"/>
    <mergeCell ref="G121:H121"/>
    <mergeCell ref="G122:H122"/>
    <mergeCell ref="G123:H123"/>
    <mergeCell ref="G125:H125"/>
    <mergeCell ref="G126:H126"/>
    <mergeCell ref="G128:H128"/>
    <mergeCell ref="G129:H129"/>
    <mergeCell ref="G127:H127"/>
    <mergeCell ref="E126:F126"/>
    <mergeCell ref="E120:F120"/>
    <mergeCell ref="E121:F121"/>
    <mergeCell ref="E122:F122"/>
    <mergeCell ref="E123:F123"/>
    <mergeCell ref="E125:F125"/>
    <mergeCell ref="E124:F124"/>
    <mergeCell ref="G124:H124"/>
    <mergeCell ref="F89:G89"/>
    <mergeCell ref="D100:E100"/>
    <mergeCell ref="E102:G102"/>
    <mergeCell ref="E112:G112"/>
    <mergeCell ref="E103:G103"/>
    <mergeCell ref="E104:G104"/>
    <mergeCell ref="E105:G105"/>
    <mergeCell ref="E108:G108"/>
    <mergeCell ref="F87:G87"/>
    <mergeCell ref="F90:G90"/>
    <mergeCell ref="F96:G96"/>
    <mergeCell ref="F88:G88"/>
    <mergeCell ref="I58:K58"/>
    <mergeCell ref="I62:K62"/>
    <mergeCell ref="I66:K66"/>
    <mergeCell ref="I60:K60"/>
    <mergeCell ref="I61:K61"/>
    <mergeCell ref="I63:K63"/>
    <mergeCell ref="I59:K59"/>
    <mergeCell ref="I67:K67"/>
    <mergeCell ref="D86:H86"/>
    <mergeCell ref="G73:H73"/>
    <mergeCell ref="G76:H76"/>
    <mergeCell ref="G82:H82"/>
    <mergeCell ref="G79:H79"/>
    <mergeCell ref="G83:H83"/>
    <mergeCell ref="G72:H72"/>
    <mergeCell ref="G77:H77"/>
    <mergeCell ref="G78:H78"/>
    <mergeCell ref="G74:H74"/>
    <mergeCell ref="G80:H80"/>
    <mergeCell ref="G81:H81"/>
    <mergeCell ref="G75:H75"/>
    <mergeCell ref="I64:K64"/>
    <mergeCell ref="I68:K68"/>
    <mergeCell ref="I65:K65"/>
    <mergeCell ref="I48:K48"/>
    <mergeCell ref="I49:K49"/>
    <mergeCell ref="I50:K50"/>
    <mergeCell ref="I51:K51"/>
    <mergeCell ref="I52:K52"/>
    <mergeCell ref="I53:K53"/>
    <mergeCell ref="I55:K55"/>
    <mergeCell ref="I56:K56"/>
    <mergeCell ref="I57:K57"/>
    <mergeCell ref="I54:K54"/>
    <mergeCell ref="U109:V109"/>
    <mergeCell ref="E119:F119"/>
    <mergeCell ref="H97:K97"/>
    <mergeCell ref="H95:K95"/>
    <mergeCell ref="H101:K101"/>
    <mergeCell ref="H102:K102"/>
    <mergeCell ref="H103:K103"/>
    <mergeCell ref="H104:K104"/>
    <mergeCell ref="H105:K105"/>
    <mergeCell ref="H106:K106"/>
    <mergeCell ref="H111:K111"/>
    <mergeCell ref="H112:K112"/>
    <mergeCell ref="H113:K113"/>
    <mergeCell ref="E113:G113"/>
    <mergeCell ref="E107:G107"/>
    <mergeCell ref="H107:K107"/>
    <mergeCell ref="E106:G106"/>
    <mergeCell ref="E114:G114"/>
    <mergeCell ref="H114:K114"/>
    <mergeCell ref="U110:V110"/>
    <mergeCell ref="U112:V112"/>
    <mergeCell ref="U113:V113"/>
    <mergeCell ref="S107:T107"/>
    <mergeCell ref="U114:V114"/>
    <mergeCell ref="U87:V87"/>
    <mergeCell ref="W88:Y88"/>
    <mergeCell ref="W80:Y80"/>
    <mergeCell ref="U92:W92"/>
    <mergeCell ref="U93:W93"/>
    <mergeCell ref="U94:W94"/>
    <mergeCell ref="U95:W95"/>
    <mergeCell ref="U96:W96"/>
    <mergeCell ref="I119:L119"/>
    <mergeCell ref="I118:L118"/>
    <mergeCell ref="U107:V107"/>
    <mergeCell ref="W107:Y107"/>
    <mergeCell ref="R106:S106"/>
    <mergeCell ref="S108:T108"/>
    <mergeCell ref="S109:T109"/>
    <mergeCell ref="S110:T110"/>
    <mergeCell ref="S112:T112"/>
    <mergeCell ref="S113:T113"/>
    <mergeCell ref="W108:Y108"/>
    <mergeCell ref="W109:Y109"/>
    <mergeCell ref="W110:Y110"/>
    <mergeCell ref="W112:Y112"/>
    <mergeCell ref="W113:Y113"/>
    <mergeCell ref="U108:V108"/>
    <mergeCell ref="U86:V86"/>
    <mergeCell ref="W87:Y87"/>
    <mergeCell ref="S85:T85"/>
    <mergeCell ref="S86:T86"/>
    <mergeCell ref="S87:T87"/>
    <mergeCell ref="W81:Y81"/>
    <mergeCell ref="U72:V72"/>
    <mergeCell ref="U68:V68"/>
    <mergeCell ref="U103:W103"/>
    <mergeCell ref="U80:V80"/>
    <mergeCell ref="U81:V81"/>
    <mergeCell ref="R91:S91"/>
    <mergeCell ref="S94:T94"/>
    <mergeCell ref="S95:T95"/>
    <mergeCell ref="U88:V88"/>
    <mergeCell ref="U98:W98"/>
    <mergeCell ref="U97:W97"/>
    <mergeCell ref="S98:T98"/>
    <mergeCell ref="S97:T97"/>
    <mergeCell ref="U99:W99"/>
    <mergeCell ref="U100:W100"/>
    <mergeCell ref="U102:W102"/>
    <mergeCell ref="S99:T99"/>
    <mergeCell ref="S80:T80"/>
    <mergeCell ref="R61:S61"/>
    <mergeCell ref="W78:Y78"/>
    <mergeCell ref="W79:Y79"/>
    <mergeCell ref="W82:Y82"/>
    <mergeCell ref="W83:Y83"/>
    <mergeCell ref="U78:V78"/>
    <mergeCell ref="U62:V62"/>
    <mergeCell ref="U66:V66"/>
    <mergeCell ref="U69:V69"/>
    <mergeCell ref="U67:V67"/>
    <mergeCell ref="U64:V64"/>
    <mergeCell ref="U74:V74"/>
    <mergeCell ref="U65:V65"/>
    <mergeCell ref="U73:V73"/>
    <mergeCell ref="U71:V71"/>
    <mergeCell ref="U79:V79"/>
    <mergeCell ref="U82:V82"/>
    <mergeCell ref="U83:V83"/>
    <mergeCell ref="U63:V63"/>
    <mergeCell ref="U70:V70"/>
    <mergeCell ref="S79:T79"/>
    <mergeCell ref="S78:T78"/>
    <mergeCell ref="S81:T81"/>
    <mergeCell ref="S159:U159"/>
    <mergeCell ref="V159:Y159"/>
    <mergeCell ref="R148:T148"/>
    <mergeCell ref="H94:K94"/>
    <mergeCell ref="H96:K96"/>
    <mergeCell ref="F91:G91"/>
    <mergeCell ref="F92:G92"/>
    <mergeCell ref="E101:G101"/>
    <mergeCell ref="E109:G109"/>
    <mergeCell ref="E111:G111"/>
    <mergeCell ref="F93:G93"/>
    <mergeCell ref="F95:G95"/>
    <mergeCell ref="F97:G97"/>
    <mergeCell ref="F94:G94"/>
    <mergeCell ref="E110:G110"/>
    <mergeCell ref="D117:E117"/>
    <mergeCell ref="E118:F118"/>
    <mergeCell ref="G118:H118"/>
    <mergeCell ref="G119:H119"/>
    <mergeCell ref="H93:K93"/>
    <mergeCell ref="S100:T100"/>
    <mergeCell ref="S102:T102"/>
    <mergeCell ref="S103:T103"/>
    <mergeCell ref="S96:T96"/>
    <mergeCell ref="I124:L124"/>
    <mergeCell ref="U101:W101"/>
    <mergeCell ref="H110:K110"/>
    <mergeCell ref="H109:K109"/>
    <mergeCell ref="R77:T77"/>
    <mergeCell ref="H91:K91"/>
    <mergeCell ref="S83:T83"/>
    <mergeCell ref="H92:K92"/>
    <mergeCell ref="S84:T84"/>
    <mergeCell ref="H88:K88"/>
    <mergeCell ref="H89:K89"/>
    <mergeCell ref="S82:T82"/>
    <mergeCell ref="H87:K87"/>
    <mergeCell ref="H90:K90"/>
    <mergeCell ref="S92:T92"/>
    <mergeCell ref="S88:T88"/>
    <mergeCell ref="S93:T93"/>
    <mergeCell ref="H108:K108"/>
    <mergeCell ref="S101:T101"/>
    <mergeCell ref="W84:Y84"/>
    <mergeCell ref="W85:Y85"/>
    <mergeCell ref="W86:Y86"/>
    <mergeCell ref="U84:V84"/>
    <mergeCell ref="U85:V85"/>
  </mergeCells>
  <pageMargins left="0.7" right="0.7" top="0.78740157499999996" bottom="0.78740157499999996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088AC-E7C8-46B3-BC06-FE77C1062038}">
  <dimension ref="A1:KL122"/>
  <sheetViews>
    <sheetView zoomScale="70" zoomScaleNormal="70" workbookViewId="0">
      <pane xSplit="1" topLeftCell="IB1" activePane="topRight" state="frozen"/>
      <selection pane="topRight" activeCell="JT51" sqref="JT51"/>
    </sheetView>
  </sheetViews>
  <sheetFormatPr defaultRowHeight="15" x14ac:dyDescent="0.25"/>
  <cols>
    <col min="1" max="1" width="17" bestFit="1" customWidth="1"/>
    <col min="2" max="2" width="5.140625" bestFit="1" customWidth="1"/>
    <col min="3" max="8" width="6.140625" bestFit="1" customWidth="1"/>
    <col min="9" max="10" width="4.140625" bestFit="1" customWidth="1"/>
    <col min="11" max="17" width="5.140625" bestFit="1" customWidth="1"/>
    <col min="18" max="19" width="4.140625" bestFit="1" customWidth="1"/>
    <col min="20" max="25" width="5.140625" bestFit="1" customWidth="1"/>
    <col min="26" max="28" width="6.140625" bestFit="1" customWidth="1"/>
    <col min="29" max="30" width="4.140625" bestFit="1" customWidth="1"/>
    <col min="31" max="32" width="5.140625" bestFit="1" customWidth="1"/>
    <col min="33" max="34" width="4.140625" bestFit="1" customWidth="1"/>
    <col min="35" max="36" width="5.140625" bestFit="1" customWidth="1"/>
    <col min="37" max="37" width="4.140625" bestFit="1" customWidth="1"/>
    <col min="38" max="40" width="5.140625" bestFit="1" customWidth="1"/>
    <col min="41" max="42" width="6.140625" bestFit="1" customWidth="1"/>
    <col min="43" max="46" width="5.140625" bestFit="1" customWidth="1"/>
    <col min="47" max="48" width="4.140625" bestFit="1" customWidth="1"/>
    <col min="49" max="49" width="5.140625" bestFit="1" customWidth="1"/>
    <col min="50" max="51" width="4.140625" bestFit="1" customWidth="1"/>
    <col min="52" max="59" width="5.140625" bestFit="1" customWidth="1"/>
    <col min="60" max="61" width="6.140625" bestFit="1" customWidth="1"/>
    <col min="62" max="63" width="5.140625" bestFit="1" customWidth="1"/>
    <col min="64" max="67" width="6.140625" bestFit="1" customWidth="1"/>
    <col min="68" max="69" width="5.140625" bestFit="1" customWidth="1"/>
    <col min="70" max="71" width="4.140625" bestFit="1" customWidth="1"/>
    <col min="72" max="75" width="5.140625" bestFit="1" customWidth="1"/>
    <col min="76" max="77" width="4.140625" bestFit="1" customWidth="1"/>
    <col min="78" max="79" width="5.140625" bestFit="1" customWidth="1"/>
    <col min="80" max="83" width="6.140625" bestFit="1" customWidth="1"/>
    <col min="84" max="87" width="5.140625" bestFit="1" customWidth="1"/>
    <col min="88" max="89" width="4.140625" bestFit="1" customWidth="1"/>
    <col min="90" max="93" width="5.140625" bestFit="1" customWidth="1"/>
    <col min="94" max="95" width="4.140625" bestFit="1" customWidth="1"/>
    <col min="96" max="101" width="5.140625" bestFit="1" customWidth="1"/>
    <col min="102" max="103" width="6.140625" bestFit="1" customWidth="1"/>
    <col min="104" max="105" width="5.140625" bestFit="1" customWidth="1"/>
    <col min="106" max="109" width="6.140625" bestFit="1" customWidth="1"/>
    <col min="110" max="117" width="5.140625" bestFit="1" customWidth="1"/>
    <col min="118" max="119" width="4.140625" bestFit="1" customWidth="1"/>
    <col min="120" max="125" width="5.140625" bestFit="1" customWidth="1"/>
    <col min="126" max="129" width="6.140625" bestFit="1" customWidth="1"/>
    <col min="130" max="131" width="5.140625" bestFit="1" customWidth="1"/>
    <col min="132" max="133" width="4.140625" bestFit="1" customWidth="1"/>
    <col min="134" max="143" width="5.140625" bestFit="1" customWidth="1"/>
    <col min="144" max="145" width="4.140625" bestFit="1" customWidth="1"/>
    <col min="146" max="149" width="5.140625" bestFit="1" customWidth="1"/>
    <col min="150" max="155" width="6.140625" bestFit="1" customWidth="1"/>
    <col min="156" max="159" width="5.140625" bestFit="1" customWidth="1"/>
    <col min="160" max="161" width="4.140625" bestFit="1" customWidth="1"/>
    <col min="162" max="163" width="5.140625" bestFit="1" customWidth="1"/>
    <col min="164" max="165" width="4.140625" bestFit="1" customWidth="1"/>
    <col min="166" max="167" width="5.42578125" bestFit="1" customWidth="1"/>
    <col min="168" max="173" width="6.42578125" bestFit="1" customWidth="1"/>
    <col min="174" max="177" width="5.42578125" bestFit="1" customWidth="1"/>
    <col min="178" max="179" width="4.28515625" bestFit="1" customWidth="1"/>
    <col min="180" max="181" width="5.42578125" bestFit="1" customWidth="1"/>
    <col min="182" max="183" width="6.42578125" bestFit="1" customWidth="1"/>
    <col min="184" max="187" width="5.5703125" bestFit="1" customWidth="1"/>
    <col min="188" max="189" width="6.5703125" bestFit="1" customWidth="1"/>
    <col min="190" max="191" width="5.5703125" bestFit="1" customWidth="1"/>
    <col min="192" max="194" width="4.42578125" bestFit="1" customWidth="1"/>
    <col min="195" max="207" width="5.5703125" bestFit="1" customWidth="1"/>
    <col min="208" max="209" width="6.5703125" bestFit="1" customWidth="1"/>
    <col min="210" max="210" width="5.5703125" bestFit="1" customWidth="1"/>
    <col min="211" max="212" width="6.5703125" bestFit="1" customWidth="1"/>
    <col min="213" max="217" width="5.5703125" bestFit="1" customWidth="1"/>
    <col min="218" max="218" width="4.42578125" bestFit="1" customWidth="1"/>
    <col min="219" max="219" width="4.42578125" customWidth="1"/>
    <col min="220" max="221" width="5.140625" bestFit="1" customWidth="1"/>
    <col min="222" max="222" width="4.140625" bestFit="1" customWidth="1"/>
    <col min="223" max="223" width="4.140625" customWidth="1"/>
    <col min="224" max="224" width="4.140625" bestFit="1" customWidth="1"/>
    <col min="225" max="226" width="5.140625" bestFit="1" customWidth="1"/>
    <col min="227" max="230" width="5.28515625" bestFit="1" customWidth="1"/>
    <col min="231" max="236" width="6.42578125" bestFit="1" customWidth="1"/>
    <col min="237" max="238" width="4.28515625" bestFit="1" customWidth="1"/>
    <col min="239" max="239" width="5.28515625" customWidth="1"/>
    <col min="240" max="244" width="5.28515625" bestFit="1" customWidth="1"/>
    <col min="245" max="246" width="4.28515625" bestFit="1" customWidth="1"/>
    <col min="247" max="250" width="5.28515625" bestFit="1" customWidth="1"/>
    <col min="251" max="254" width="5.7109375" bestFit="1" customWidth="1"/>
    <col min="255" max="260" width="6.7109375" bestFit="1" customWidth="1"/>
    <col min="261" max="264" width="5.7109375" bestFit="1" customWidth="1"/>
    <col min="265" max="266" width="4.5703125" bestFit="1" customWidth="1"/>
    <col min="267" max="269" width="5.7109375" bestFit="1" customWidth="1"/>
    <col min="270" max="271" width="5.7109375" customWidth="1"/>
    <col min="272" max="272" width="5.7109375" bestFit="1" customWidth="1"/>
    <col min="273" max="274" width="4.5703125" bestFit="1" customWidth="1"/>
    <col min="275" max="278" width="5.7109375" bestFit="1" customWidth="1"/>
    <col min="279" max="280" width="6.7109375" bestFit="1" customWidth="1"/>
    <col min="281" max="282" width="5.7109375" bestFit="1" customWidth="1"/>
    <col min="283" max="286" width="6.7109375" bestFit="1" customWidth="1"/>
    <col min="287" max="288" width="4.5703125" bestFit="1" customWidth="1"/>
    <col min="289" max="294" width="5.7109375" bestFit="1" customWidth="1"/>
    <col min="295" max="296" width="4.5703125" bestFit="1" customWidth="1"/>
    <col min="297" max="298" width="5.7109375" bestFit="1" customWidth="1"/>
  </cols>
  <sheetData>
    <row r="1" spans="1:298" x14ac:dyDescent="0.25">
      <c r="B1" s="142" t="s">
        <v>49</v>
      </c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3" t="s">
        <v>59</v>
      </c>
      <c r="U1" s="143"/>
      <c r="V1" s="143"/>
      <c r="W1" s="143"/>
      <c r="X1" s="143"/>
      <c r="Y1" s="143"/>
      <c r="Z1" s="143"/>
      <c r="AA1" s="143"/>
      <c r="AB1" s="143"/>
      <c r="AC1" s="143"/>
      <c r="AD1" s="143"/>
      <c r="AE1" s="143"/>
      <c r="AF1" s="143"/>
      <c r="AG1" s="143"/>
      <c r="AH1" s="143"/>
      <c r="AI1" s="143"/>
      <c r="AJ1" s="143"/>
      <c r="AK1" s="143"/>
      <c r="AL1" s="143"/>
      <c r="AM1" s="143"/>
      <c r="AN1" s="144" t="s">
        <v>60</v>
      </c>
      <c r="AO1" s="144"/>
      <c r="AP1" s="144"/>
      <c r="AQ1" s="144"/>
      <c r="AR1" s="144"/>
      <c r="AS1" s="144"/>
      <c r="AT1" s="144"/>
      <c r="AU1" s="144"/>
      <c r="AV1" s="144"/>
      <c r="AW1" s="144"/>
      <c r="AX1" s="144"/>
      <c r="AY1" s="144"/>
      <c r="AZ1" s="144"/>
      <c r="BA1" s="144"/>
      <c r="BB1" s="144"/>
      <c r="BC1" s="144"/>
      <c r="BD1" s="144"/>
      <c r="BE1" s="144"/>
      <c r="BF1" s="145" t="s">
        <v>40</v>
      </c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5"/>
      <c r="BU1" s="145"/>
      <c r="BV1" s="145"/>
      <c r="BW1" s="145"/>
      <c r="BX1" s="145"/>
      <c r="BY1" s="145"/>
      <c r="BZ1" s="146" t="s">
        <v>80</v>
      </c>
      <c r="CA1" s="146"/>
      <c r="CB1" s="146"/>
      <c r="CC1" s="146"/>
      <c r="CD1" s="146"/>
      <c r="CE1" s="146"/>
      <c r="CF1" s="146"/>
      <c r="CG1" s="146"/>
      <c r="CH1" s="146"/>
      <c r="CI1" s="146"/>
      <c r="CJ1" s="146"/>
      <c r="CK1" s="146"/>
      <c r="CL1" s="146"/>
      <c r="CM1" s="146"/>
      <c r="CN1" s="146"/>
      <c r="CO1" s="146"/>
      <c r="CP1" s="146"/>
      <c r="CQ1" s="146"/>
      <c r="CR1" s="146"/>
      <c r="CS1" s="146"/>
      <c r="CT1" s="147" t="s">
        <v>81</v>
      </c>
      <c r="CU1" s="147"/>
      <c r="CV1" s="147"/>
      <c r="CW1" s="147"/>
      <c r="CX1" s="147"/>
      <c r="CY1" s="147"/>
      <c r="CZ1" s="147"/>
      <c r="DA1" s="147"/>
      <c r="DB1" s="147"/>
      <c r="DC1" s="147"/>
      <c r="DD1" s="147"/>
      <c r="DE1" s="147"/>
      <c r="DF1" s="147"/>
      <c r="DG1" s="147"/>
      <c r="DH1" s="147"/>
      <c r="DI1" s="147"/>
      <c r="DJ1" s="147"/>
      <c r="DK1" s="147"/>
      <c r="DL1" s="147"/>
      <c r="DM1" s="147"/>
      <c r="DN1" s="147"/>
      <c r="DO1" s="147"/>
      <c r="DP1" s="147"/>
      <c r="DQ1" s="147"/>
      <c r="DR1" s="141" t="s">
        <v>220</v>
      </c>
      <c r="DS1" s="141"/>
      <c r="DT1" s="141"/>
      <c r="DU1" s="141"/>
      <c r="DV1" s="141"/>
      <c r="DW1" s="141"/>
      <c r="DX1" s="141"/>
      <c r="DY1" s="141"/>
      <c r="DZ1" s="141"/>
      <c r="EA1" s="141"/>
      <c r="EB1" s="141"/>
      <c r="EC1" s="141"/>
      <c r="ED1" s="141"/>
      <c r="EE1" s="141"/>
      <c r="EF1" s="141"/>
      <c r="EG1" s="141"/>
      <c r="EH1" s="141"/>
      <c r="EI1" s="141"/>
      <c r="EJ1" s="141"/>
      <c r="EK1" s="141"/>
      <c r="EL1" s="141"/>
      <c r="EM1" s="141"/>
      <c r="EN1" s="141"/>
      <c r="EO1" s="141"/>
      <c r="EP1" s="137" t="s">
        <v>319</v>
      </c>
      <c r="EQ1" s="137"/>
      <c r="ER1" s="137"/>
      <c r="ES1" s="137"/>
      <c r="ET1" s="137"/>
      <c r="EU1" s="137"/>
      <c r="EV1" s="137"/>
      <c r="EW1" s="137"/>
      <c r="EX1" s="137"/>
      <c r="EY1" s="137"/>
      <c r="EZ1" s="137"/>
      <c r="FA1" s="137"/>
      <c r="FB1" s="137"/>
      <c r="FC1" s="137"/>
      <c r="FD1" s="137"/>
      <c r="FE1" s="137"/>
      <c r="FF1" s="137"/>
      <c r="FG1" s="137"/>
      <c r="FH1" s="137"/>
      <c r="FI1" s="137"/>
      <c r="FJ1" s="138" t="s">
        <v>349</v>
      </c>
      <c r="FK1" s="138"/>
      <c r="FL1" s="138"/>
      <c r="FM1" s="138"/>
      <c r="FN1" s="138"/>
      <c r="FO1" s="138"/>
      <c r="FP1" s="138"/>
      <c r="FQ1" s="138"/>
      <c r="FR1" s="138"/>
      <c r="FS1" s="138"/>
      <c r="FT1" s="138"/>
      <c r="FU1" s="138"/>
      <c r="FV1" s="138"/>
      <c r="FW1" s="138"/>
      <c r="FX1" s="139" t="s">
        <v>378</v>
      </c>
      <c r="FY1" s="139"/>
      <c r="FZ1" s="139"/>
      <c r="GA1" s="139"/>
      <c r="GB1" s="140" t="s">
        <v>403</v>
      </c>
      <c r="GC1" s="140"/>
      <c r="GD1" s="140"/>
      <c r="GE1" s="140"/>
      <c r="GF1" s="140"/>
      <c r="GG1" s="140"/>
      <c r="GH1" s="140"/>
      <c r="GI1" s="140"/>
      <c r="GJ1" s="140"/>
      <c r="GK1" s="140"/>
      <c r="GL1" s="140"/>
      <c r="GM1" s="140"/>
      <c r="GN1" s="140"/>
      <c r="GO1" s="140"/>
      <c r="GP1" s="140"/>
      <c r="GQ1" s="140"/>
      <c r="GR1" s="140"/>
      <c r="GS1" s="140"/>
      <c r="GT1" s="140"/>
      <c r="GU1" s="140"/>
      <c r="GV1" s="136" t="s">
        <v>473</v>
      </c>
      <c r="GW1" s="136"/>
      <c r="GX1" s="136"/>
      <c r="GY1" s="136"/>
      <c r="GZ1" s="136"/>
      <c r="HA1" s="136"/>
      <c r="HB1" s="136"/>
      <c r="HC1" s="136"/>
      <c r="HD1" s="136"/>
      <c r="HE1" s="136"/>
      <c r="HF1" s="136"/>
      <c r="HG1" s="136"/>
      <c r="HH1" s="136"/>
      <c r="HI1" s="136"/>
      <c r="HJ1" s="136"/>
      <c r="HK1" s="136"/>
      <c r="HL1" s="136"/>
      <c r="HM1" s="136"/>
      <c r="HN1" s="136"/>
      <c r="HO1" s="136"/>
      <c r="HP1" s="136"/>
      <c r="HQ1" s="136"/>
      <c r="HR1" s="136"/>
      <c r="HS1" s="135" t="s">
        <v>1154</v>
      </c>
      <c r="HT1" s="135"/>
      <c r="HU1" s="135"/>
      <c r="HV1" s="135"/>
      <c r="HW1" s="135"/>
      <c r="HX1" s="135"/>
      <c r="HY1" s="135"/>
      <c r="HZ1" s="135"/>
      <c r="IA1" s="135"/>
      <c r="IB1" s="135"/>
      <c r="IC1" s="135"/>
      <c r="ID1" s="135"/>
      <c r="IE1" s="135"/>
      <c r="IF1" s="135"/>
      <c r="IG1" s="135"/>
      <c r="IH1" s="135"/>
      <c r="II1" s="135"/>
      <c r="IJ1" s="135"/>
      <c r="IK1" s="135"/>
      <c r="IL1" s="135"/>
      <c r="IM1" s="135"/>
      <c r="IN1" s="135"/>
      <c r="IO1" s="135"/>
      <c r="IP1" s="135"/>
      <c r="IQ1" s="134" t="s">
        <v>1389</v>
      </c>
      <c r="IR1" s="134"/>
      <c r="IS1" s="134"/>
      <c r="IT1" s="134"/>
      <c r="IU1" s="134"/>
      <c r="IV1" s="134"/>
      <c r="IW1" s="134"/>
      <c r="IX1" s="134"/>
      <c r="IY1" s="134"/>
      <c r="IZ1" s="134"/>
      <c r="JA1" s="134"/>
      <c r="JB1" s="134"/>
      <c r="JC1" s="134"/>
      <c r="JD1" s="134"/>
      <c r="JE1" s="134"/>
      <c r="JF1" s="134"/>
      <c r="JG1" s="134"/>
      <c r="JH1" s="134"/>
      <c r="JI1" s="134"/>
      <c r="JJ1" s="134"/>
      <c r="JK1" s="134"/>
      <c r="JL1" s="134"/>
      <c r="JM1" s="134"/>
      <c r="JN1" s="134"/>
      <c r="JO1" s="133" t="s">
        <v>1643</v>
      </c>
      <c r="JP1" s="133"/>
      <c r="JQ1" s="133"/>
      <c r="JR1" s="133"/>
      <c r="JS1" s="133"/>
      <c r="JT1" s="133"/>
      <c r="JU1" s="133"/>
      <c r="JV1" s="133"/>
      <c r="JW1" s="133"/>
      <c r="JX1" s="133"/>
      <c r="JY1" s="133"/>
      <c r="JZ1" s="133"/>
      <c r="KA1" s="133"/>
      <c r="KB1" s="133"/>
      <c r="KC1" s="133"/>
      <c r="KD1" s="133"/>
      <c r="KE1" s="133"/>
      <c r="KF1" s="133"/>
      <c r="KG1" s="133"/>
      <c r="KH1" s="133"/>
      <c r="KI1" s="133"/>
      <c r="KJ1" s="133"/>
      <c r="KK1" s="133"/>
      <c r="KL1" s="133"/>
    </row>
    <row r="2" spans="1:298" s="17" customFormat="1" x14ac:dyDescent="0.25">
      <c r="B2" s="17" t="s">
        <v>783</v>
      </c>
      <c r="C2" s="17" t="s">
        <v>784</v>
      </c>
      <c r="D2" s="17" t="s">
        <v>784</v>
      </c>
      <c r="E2" s="17" t="s">
        <v>785</v>
      </c>
      <c r="F2" s="17" t="s">
        <v>785</v>
      </c>
      <c r="G2" s="17" t="s">
        <v>786</v>
      </c>
      <c r="H2" s="17" t="s">
        <v>786</v>
      </c>
      <c r="I2" s="17" t="s">
        <v>787</v>
      </c>
      <c r="J2" s="17" t="s">
        <v>787</v>
      </c>
      <c r="K2" s="17" t="s">
        <v>788</v>
      </c>
      <c r="L2" s="17" t="s">
        <v>789</v>
      </c>
      <c r="M2" s="17" t="s">
        <v>789</v>
      </c>
      <c r="N2" s="17" t="s">
        <v>790</v>
      </c>
      <c r="O2" s="17" t="s">
        <v>790</v>
      </c>
      <c r="P2" s="17" t="s">
        <v>791</v>
      </c>
      <c r="Q2" s="17" t="s">
        <v>791</v>
      </c>
      <c r="R2" s="17" t="s">
        <v>792</v>
      </c>
      <c r="S2" s="17" t="s">
        <v>792</v>
      </c>
      <c r="T2" s="17" t="s">
        <v>793</v>
      </c>
      <c r="U2" s="17" t="s">
        <v>793</v>
      </c>
      <c r="V2" s="17" t="s">
        <v>794</v>
      </c>
      <c r="W2" s="17" t="s">
        <v>794</v>
      </c>
      <c r="X2" s="17" t="s">
        <v>795</v>
      </c>
      <c r="Y2" s="17" t="s">
        <v>795</v>
      </c>
      <c r="Z2" s="17" t="s">
        <v>796</v>
      </c>
      <c r="AA2" s="17" t="s">
        <v>797</v>
      </c>
      <c r="AB2" s="17" t="s">
        <v>797</v>
      </c>
      <c r="AC2" s="17" t="s">
        <v>798</v>
      </c>
      <c r="AD2" s="17" t="s">
        <v>798</v>
      </c>
      <c r="AE2" s="17" t="s">
        <v>799</v>
      </c>
      <c r="AF2" s="17" t="s">
        <v>799</v>
      </c>
      <c r="AG2" s="17" t="s">
        <v>800</v>
      </c>
      <c r="AH2" s="17" t="s">
        <v>800</v>
      </c>
      <c r="AI2" s="17" t="s">
        <v>801</v>
      </c>
      <c r="AJ2" s="17" t="s">
        <v>801</v>
      </c>
      <c r="AK2" s="17" t="s">
        <v>802</v>
      </c>
      <c r="AL2" s="17" t="s">
        <v>803</v>
      </c>
      <c r="AM2" s="17" t="s">
        <v>803</v>
      </c>
      <c r="AN2" s="17" t="s">
        <v>804</v>
      </c>
      <c r="AO2" s="17" t="s">
        <v>805</v>
      </c>
      <c r="AP2" s="17" t="s">
        <v>805</v>
      </c>
      <c r="AQ2" s="17" t="s">
        <v>806</v>
      </c>
      <c r="AR2" s="17" t="s">
        <v>806</v>
      </c>
      <c r="AS2" s="17" t="s">
        <v>807</v>
      </c>
      <c r="AT2" s="17" t="s">
        <v>807</v>
      </c>
      <c r="AU2" s="17" t="s">
        <v>798</v>
      </c>
      <c r="AV2" s="17" t="s">
        <v>798</v>
      </c>
      <c r="AW2" s="17" t="s">
        <v>808</v>
      </c>
      <c r="AX2" s="17" t="s">
        <v>809</v>
      </c>
      <c r="AY2" s="17" t="s">
        <v>809</v>
      </c>
      <c r="AZ2" s="17" t="s">
        <v>810</v>
      </c>
      <c r="BA2" s="17" t="s">
        <v>810</v>
      </c>
      <c r="BB2" s="17" t="s">
        <v>811</v>
      </c>
      <c r="BC2" s="17" t="s">
        <v>811</v>
      </c>
      <c r="BD2" s="17" t="s">
        <v>812</v>
      </c>
      <c r="BE2" s="17" t="s">
        <v>812</v>
      </c>
      <c r="BF2" s="17" t="s">
        <v>804</v>
      </c>
      <c r="BG2" s="17" t="s">
        <v>804</v>
      </c>
      <c r="BH2" s="17" t="s">
        <v>813</v>
      </c>
      <c r="BI2" s="17" t="s">
        <v>813</v>
      </c>
      <c r="BJ2" s="17" t="s">
        <v>806</v>
      </c>
      <c r="BK2" s="17" t="s">
        <v>806</v>
      </c>
      <c r="BL2" s="17" t="s">
        <v>814</v>
      </c>
      <c r="BM2" s="17" t="s">
        <v>814</v>
      </c>
      <c r="BN2" s="17" t="s">
        <v>815</v>
      </c>
      <c r="BO2" s="17" t="s">
        <v>815</v>
      </c>
      <c r="BP2" s="17" t="s">
        <v>816</v>
      </c>
      <c r="BQ2" s="17" t="s">
        <v>816</v>
      </c>
      <c r="BR2" s="17" t="s">
        <v>809</v>
      </c>
      <c r="BS2" s="17" t="s">
        <v>809</v>
      </c>
      <c r="BT2" s="17" t="s">
        <v>817</v>
      </c>
      <c r="BU2" s="17" t="s">
        <v>817</v>
      </c>
      <c r="BV2" s="17" t="s">
        <v>818</v>
      </c>
      <c r="BW2" s="17" t="s">
        <v>818</v>
      </c>
      <c r="BX2" s="17" t="s">
        <v>819</v>
      </c>
      <c r="BY2" s="17" t="s">
        <v>819</v>
      </c>
      <c r="BZ2" s="17" t="s">
        <v>820</v>
      </c>
      <c r="CA2" s="17" t="s">
        <v>820</v>
      </c>
      <c r="CB2" s="17" t="s">
        <v>821</v>
      </c>
      <c r="CC2" s="17" t="s">
        <v>821</v>
      </c>
      <c r="CD2" s="17" t="s">
        <v>822</v>
      </c>
      <c r="CE2" s="17" t="s">
        <v>822</v>
      </c>
      <c r="CF2" s="17" t="s">
        <v>823</v>
      </c>
      <c r="CG2" s="17" t="s">
        <v>823</v>
      </c>
      <c r="CH2" s="17" t="s">
        <v>824</v>
      </c>
      <c r="CI2" s="17" t="s">
        <v>824</v>
      </c>
      <c r="CJ2" s="17" t="s">
        <v>825</v>
      </c>
      <c r="CK2" s="17" t="s">
        <v>825</v>
      </c>
      <c r="CL2" s="17" t="s">
        <v>826</v>
      </c>
      <c r="CM2" s="17" t="s">
        <v>826</v>
      </c>
      <c r="CN2" s="17" t="s">
        <v>827</v>
      </c>
      <c r="CO2" s="17" t="s">
        <v>827</v>
      </c>
      <c r="CP2" s="17" t="s">
        <v>828</v>
      </c>
      <c r="CQ2" s="17" t="s">
        <v>828</v>
      </c>
      <c r="CR2" s="17" t="s">
        <v>829</v>
      </c>
      <c r="CS2" s="17" t="s">
        <v>829</v>
      </c>
      <c r="CT2" s="17" t="s">
        <v>830</v>
      </c>
      <c r="CU2" s="17" t="s">
        <v>830</v>
      </c>
      <c r="CV2" s="17" t="s">
        <v>831</v>
      </c>
      <c r="CW2" s="17" t="s">
        <v>831</v>
      </c>
      <c r="CX2" s="17" t="s">
        <v>832</v>
      </c>
      <c r="CY2" s="17" t="s">
        <v>832</v>
      </c>
      <c r="CZ2" s="17" t="s">
        <v>833</v>
      </c>
      <c r="DA2" s="17" t="s">
        <v>833</v>
      </c>
      <c r="DB2" s="17" t="s">
        <v>834</v>
      </c>
      <c r="DC2" s="17" t="s">
        <v>834</v>
      </c>
      <c r="DD2" s="17" t="s">
        <v>835</v>
      </c>
      <c r="DE2" s="17" t="s">
        <v>835</v>
      </c>
      <c r="DF2" s="17" t="s">
        <v>836</v>
      </c>
      <c r="DG2" s="17" t="s">
        <v>836</v>
      </c>
      <c r="DH2" s="17" t="s">
        <v>837</v>
      </c>
      <c r="DI2" s="17" t="s">
        <v>837</v>
      </c>
      <c r="DJ2" s="17" t="s">
        <v>838</v>
      </c>
      <c r="DK2" s="17" t="s">
        <v>838</v>
      </c>
      <c r="DL2" s="17" t="s">
        <v>827</v>
      </c>
      <c r="DM2" s="17" t="s">
        <v>827</v>
      </c>
      <c r="DN2" s="17" t="s">
        <v>839</v>
      </c>
      <c r="DO2" s="17" t="s">
        <v>839</v>
      </c>
      <c r="DP2" s="17" t="s">
        <v>840</v>
      </c>
      <c r="DQ2" s="17" t="s">
        <v>840</v>
      </c>
      <c r="DR2" s="17" t="s">
        <v>841</v>
      </c>
      <c r="DS2" s="17" t="s">
        <v>841</v>
      </c>
      <c r="DT2" s="17" t="s">
        <v>831</v>
      </c>
      <c r="DU2" s="17" t="s">
        <v>831</v>
      </c>
      <c r="DV2" s="17" t="s">
        <v>842</v>
      </c>
      <c r="DW2" s="17" t="s">
        <v>842</v>
      </c>
      <c r="DX2" s="17" t="s">
        <v>843</v>
      </c>
      <c r="DY2" s="17" t="s">
        <v>843</v>
      </c>
      <c r="DZ2" s="17" t="s">
        <v>844</v>
      </c>
      <c r="EA2" s="17" t="s">
        <v>844</v>
      </c>
      <c r="EB2" s="17" t="s">
        <v>787</v>
      </c>
      <c r="EC2" s="17" t="s">
        <v>787</v>
      </c>
      <c r="ED2" s="17" t="s">
        <v>845</v>
      </c>
      <c r="EE2" s="17" t="s">
        <v>845</v>
      </c>
      <c r="EF2" s="17" t="s">
        <v>846</v>
      </c>
      <c r="EG2" s="17" t="s">
        <v>846</v>
      </c>
      <c r="EH2" s="17" t="s">
        <v>847</v>
      </c>
      <c r="EI2" s="17" t="s">
        <v>847</v>
      </c>
      <c r="EJ2" s="17" t="s">
        <v>790</v>
      </c>
      <c r="EK2" s="17" t="s">
        <v>790</v>
      </c>
      <c r="EL2" s="17" t="s">
        <v>848</v>
      </c>
      <c r="EM2" s="17" t="s">
        <v>848</v>
      </c>
      <c r="EN2" s="17" t="s">
        <v>849</v>
      </c>
      <c r="EO2" s="17" t="s">
        <v>849</v>
      </c>
      <c r="EP2" s="17" t="s">
        <v>850</v>
      </c>
      <c r="EQ2" s="17" t="s">
        <v>850</v>
      </c>
      <c r="ER2" s="17" t="s">
        <v>794</v>
      </c>
      <c r="ES2" s="17" t="s">
        <v>794</v>
      </c>
      <c r="ET2" s="17" t="s">
        <v>851</v>
      </c>
      <c r="EU2" s="17" t="s">
        <v>851</v>
      </c>
      <c r="EV2" s="17" t="s">
        <v>796</v>
      </c>
      <c r="EW2" s="17" t="s">
        <v>796</v>
      </c>
      <c r="EX2" s="17" t="s">
        <v>852</v>
      </c>
      <c r="EY2" s="17" t="s">
        <v>852</v>
      </c>
      <c r="EZ2" s="17" t="s">
        <v>853</v>
      </c>
      <c r="FA2" s="17" t="s">
        <v>853</v>
      </c>
      <c r="FB2" s="17" t="s">
        <v>799</v>
      </c>
      <c r="FC2" s="17" t="s">
        <v>799</v>
      </c>
      <c r="FD2" s="17" t="s">
        <v>800</v>
      </c>
      <c r="FE2" s="17" t="s">
        <v>800</v>
      </c>
      <c r="FF2" s="17" t="s">
        <v>854</v>
      </c>
      <c r="FG2" s="17" t="s">
        <v>854</v>
      </c>
      <c r="FH2" s="17" t="s">
        <v>855</v>
      </c>
      <c r="FI2" s="17" t="s">
        <v>855</v>
      </c>
      <c r="FJ2" s="17" t="s">
        <v>804</v>
      </c>
      <c r="FK2" s="17" t="s">
        <v>804</v>
      </c>
      <c r="FL2" s="17" t="s">
        <v>805</v>
      </c>
      <c r="FM2" s="17" t="s">
        <v>805</v>
      </c>
      <c r="FN2" s="17" t="s">
        <v>856</v>
      </c>
      <c r="FO2" s="17" t="s">
        <v>856</v>
      </c>
      <c r="FP2" s="17" t="s">
        <v>857</v>
      </c>
      <c r="FQ2" s="17" t="s">
        <v>857</v>
      </c>
      <c r="FR2" s="17" t="s">
        <v>858</v>
      </c>
      <c r="FS2" s="17" t="s">
        <v>858</v>
      </c>
      <c r="FT2" s="17" t="s">
        <v>859</v>
      </c>
      <c r="FU2" s="17" t="s">
        <v>859</v>
      </c>
      <c r="FV2" s="17" t="s">
        <v>860</v>
      </c>
      <c r="FW2" s="17" t="s">
        <v>860</v>
      </c>
      <c r="FX2" s="17" t="s">
        <v>820</v>
      </c>
      <c r="FY2" s="17" t="s">
        <v>820</v>
      </c>
      <c r="FZ2" s="17" t="s">
        <v>861</v>
      </c>
      <c r="GA2" s="17" t="s">
        <v>861</v>
      </c>
      <c r="GB2" s="17" t="s">
        <v>862</v>
      </c>
      <c r="GC2" s="17" t="s">
        <v>862</v>
      </c>
      <c r="GD2" s="17" t="s">
        <v>863</v>
      </c>
      <c r="GE2" s="17" t="s">
        <v>863</v>
      </c>
      <c r="GF2" s="17" t="s">
        <v>785</v>
      </c>
      <c r="GG2" s="17" t="s">
        <v>785</v>
      </c>
      <c r="GH2" s="17" t="s">
        <v>864</v>
      </c>
      <c r="GI2" s="17" t="s">
        <v>864</v>
      </c>
      <c r="GJ2" s="17" t="s">
        <v>865</v>
      </c>
      <c r="GK2" s="17" t="s">
        <v>865</v>
      </c>
      <c r="GL2" s="17" t="s">
        <v>866</v>
      </c>
      <c r="GM2" s="17" t="s">
        <v>826</v>
      </c>
      <c r="GN2" s="17" t="s">
        <v>826</v>
      </c>
      <c r="GO2" s="17" t="s">
        <v>827</v>
      </c>
      <c r="GP2" s="17" t="s">
        <v>827</v>
      </c>
      <c r="GQ2" s="17" t="s">
        <v>867</v>
      </c>
      <c r="GR2" s="17" t="s">
        <v>868</v>
      </c>
      <c r="GS2" s="17" t="s">
        <v>868</v>
      </c>
      <c r="GT2" s="17" t="s">
        <v>829</v>
      </c>
      <c r="GU2" s="17" t="s">
        <v>829</v>
      </c>
      <c r="GV2" s="17" t="s">
        <v>869</v>
      </c>
      <c r="GW2" s="17" t="s">
        <v>869</v>
      </c>
      <c r="GX2" s="17" t="s">
        <v>863</v>
      </c>
      <c r="GY2" s="17" t="s">
        <v>863</v>
      </c>
      <c r="GZ2" s="17" t="s">
        <v>832</v>
      </c>
      <c r="HA2" s="17" t="s">
        <v>832</v>
      </c>
      <c r="HB2" s="17" t="s">
        <v>873</v>
      </c>
      <c r="HC2" s="17" t="s">
        <v>785</v>
      </c>
      <c r="HD2" s="17" t="s">
        <v>785</v>
      </c>
      <c r="HE2" s="17" t="s">
        <v>1000</v>
      </c>
      <c r="HF2" s="17" t="s">
        <v>1000</v>
      </c>
      <c r="HG2" s="17" t="s">
        <v>1136</v>
      </c>
      <c r="HH2" s="17" t="s">
        <v>837</v>
      </c>
      <c r="HI2" s="17" t="s">
        <v>837</v>
      </c>
      <c r="HJ2" s="17" t="s">
        <v>1001</v>
      </c>
      <c r="HK2" s="17" t="s">
        <v>878</v>
      </c>
      <c r="HL2" s="17" t="s">
        <v>878</v>
      </c>
      <c r="HM2" s="17" t="s">
        <v>1057</v>
      </c>
      <c r="HN2" s="17" t="s">
        <v>1057</v>
      </c>
      <c r="HO2" s="17" t="s">
        <v>1002</v>
      </c>
      <c r="HP2" s="17" t="s">
        <v>1002</v>
      </c>
      <c r="HQ2" s="17" t="s">
        <v>829</v>
      </c>
      <c r="HR2" s="17" t="s">
        <v>829</v>
      </c>
      <c r="HS2" s="17" t="s">
        <v>1156</v>
      </c>
      <c r="HT2" s="17" t="s">
        <v>1156</v>
      </c>
      <c r="HU2" s="17" t="s">
        <v>783</v>
      </c>
      <c r="HV2" s="17" t="s">
        <v>783</v>
      </c>
      <c r="HW2" s="17" t="s">
        <v>973</v>
      </c>
      <c r="HX2" s="17" t="s">
        <v>973</v>
      </c>
      <c r="HY2" s="17" t="s">
        <v>969</v>
      </c>
      <c r="HZ2" s="17" t="s">
        <v>969</v>
      </c>
      <c r="IA2" s="17" t="s">
        <v>835</v>
      </c>
      <c r="IB2" s="17" t="s">
        <v>835</v>
      </c>
      <c r="IC2" s="17" t="s">
        <v>880</v>
      </c>
      <c r="ID2" s="17" t="s">
        <v>880</v>
      </c>
      <c r="IE2" s="17" t="s">
        <v>881</v>
      </c>
      <c r="IF2" s="17" t="s">
        <v>881</v>
      </c>
      <c r="IG2" s="17" t="s">
        <v>799</v>
      </c>
      <c r="IH2" s="17" t="s">
        <v>799</v>
      </c>
      <c r="II2" s="17" t="s">
        <v>1157</v>
      </c>
      <c r="IJ2" s="17" t="s">
        <v>1157</v>
      </c>
      <c r="IK2" s="17" t="s">
        <v>1158</v>
      </c>
      <c r="IL2" s="17" t="s">
        <v>1158</v>
      </c>
      <c r="IM2" s="17" t="s">
        <v>978</v>
      </c>
      <c r="IN2" s="17" t="s">
        <v>978</v>
      </c>
      <c r="IO2" s="17" t="s">
        <v>1159</v>
      </c>
      <c r="IP2" s="17" t="s">
        <v>1159</v>
      </c>
      <c r="IQ2" s="17" t="s">
        <v>971</v>
      </c>
      <c r="IR2" s="17" t="s">
        <v>971</v>
      </c>
      <c r="IS2" s="17" t="s">
        <v>972</v>
      </c>
      <c r="IT2" s="17" t="s">
        <v>972</v>
      </c>
      <c r="IU2" s="17" t="s">
        <v>805</v>
      </c>
      <c r="IV2" s="17" t="s">
        <v>805</v>
      </c>
      <c r="IW2" s="17" t="s">
        <v>856</v>
      </c>
      <c r="IX2" s="17" t="s">
        <v>856</v>
      </c>
      <c r="IY2" s="17" t="s">
        <v>1391</v>
      </c>
      <c r="IZ2" s="17" t="s">
        <v>1391</v>
      </c>
      <c r="JA2" s="17" t="s">
        <v>1392</v>
      </c>
      <c r="JB2" s="17" t="s">
        <v>1392</v>
      </c>
      <c r="JC2" s="17" t="s">
        <v>859</v>
      </c>
      <c r="JD2" s="17" t="s">
        <v>859</v>
      </c>
      <c r="JE2" s="17" t="s">
        <v>947</v>
      </c>
      <c r="JF2" s="17" t="s">
        <v>947</v>
      </c>
      <c r="JG2" s="17" t="s">
        <v>948</v>
      </c>
      <c r="JH2" s="17" t="s">
        <v>948</v>
      </c>
      <c r="JI2" s="17" t="s">
        <v>959</v>
      </c>
      <c r="JJ2" s="17" t="s">
        <v>959</v>
      </c>
      <c r="JK2" s="17" t="s">
        <v>818</v>
      </c>
      <c r="JL2" s="17" t="s">
        <v>818</v>
      </c>
      <c r="JM2" s="17" t="s">
        <v>949</v>
      </c>
      <c r="JN2" s="17" t="s">
        <v>949</v>
      </c>
      <c r="JO2" s="17" t="s">
        <v>1644</v>
      </c>
      <c r="JP2" s="17" t="s">
        <v>1644</v>
      </c>
      <c r="JQ2" s="17" t="s">
        <v>1645</v>
      </c>
      <c r="JR2" s="17" t="s">
        <v>1645</v>
      </c>
      <c r="JS2" s="17" t="s">
        <v>980</v>
      </c>
      <c r="JT2" s="17" t="s">
        <v>980</v>
      </c>
      <c r="JU2" s="17" t="s">
        <v>1646</v>
      </c>
      <c r="JV2" s="17" t="s">
        <v>1646</v>
      </c>
      <c r="JW2" s="17" t="s">
        <v>1647</v>
      </c>
      <c r="JX2" s="17" t="s">
        <v>1647</v>
      </c>
      <c r="JY2" s="17" t="s">
        <v>954</v>
      </c>
      <c r="JZ2" s="17" t="s">
        <v>954</v>
      </c>
      <c r="KA2" s="17" t="s">
        <v>1648</v>
      </c>
      <c r="KB2" s="17" t="s">
        <v>1648</v>
      </c>
      <c r="KC2" s="17" t="s">
        <v>1649</v>
      </c>
      <c r="KD2" s="17" t="s">
        <v>1649</v>
      </c>
      <c r="KE2" s="17" t="s">
        <v>1650</v>
      </c>
      <c r="KF2" s="17" t="s">
        <v>1650</v>
      </c>
      <c r="KG2" s="17" t="s">
        <v>957</v>
      </c>
      <c r="KH2" s="17" t="s">
        <v>957</v>
      </c>
      <c r="KI2" s="17" t="s">
        <v>958</v>
      </c>
      <c r="KJ2" s="17" t="s">
        <v>958</v>
      </c>
      <c r="KK2" s="17" t="s">
        <v>1651</v>
      </c>
      <c r="KL2" s="17" t="s">
        <v>1651</v>
      </c>
    </row>
    <row r="3" spans="1:298" x14ac:dyDescent="0.25">
      <c r="A3" t="s">
        <v>13</v>
      </c>
      <c r="B3" s="17" t="s">
        <v>870</v>
      </c>
      <c r="C3" s="17" t="s">
        <v>870</v>
      </c>
      <c r="D3" s="17" t="s">
        <v>870</v>
      </c>
      <c r="E3" s="17" t="s">
        <v>870</v>
      </c>
      <c r="F3" s="17" t="s">
        <v>870</v>
      </c>
      <c r="G3" s="17" t="s">
        <v>870</v>
      </c>
      <c r="H3" s="17" t="s">
        <v>870</v>
      </c>
      <c r="I3" s="17" t="s">
        <v>870</v>
      </c>
      <c r="J3" s="17" t="s">
        <v>870</v>
      </c>
      <c r="K3" s="17" t="s">
        <v>870</v>
      </c>
      <c r="L3" s="17" t="s">
        <v>870</v>
      </c>
      <c r="M3" s="17" t="s">
        <v>870</v>
      </c>
      <c r="N3" s="17" t="s">
        <v>870</v>
      </c>
      <c r="O3" s="17" t="s">
        <v>870</v>
      </c>
      <c r="P3" s="17" t="s">
        <v>870</v>
      </c>
      <c r="Q3" s="17" t="s">
        <v>870</v>
      </c>
      <c r="R3" s="17" t="s">
        <v>870</v>
      </c>
      <c r="S3" s="17" t="s">
        <v>870</v>
      </c>
      <c r="T3" s="17" t="s">
        <v>870</v>
      </c>
      <c r="U3" s="17" t="s">
        <v>870</v>
      </c>
      <c r="V3" s="17" t="s">
        <v>870</v>
      </c>
      <c r="W3" s="17" t="s">
        <v>870</v>
      </c>
      <c r="X3" s="17" t="s">
        <v>870</v>
      </c>
      <c r="Y3" s="17" t="s">
        <v>870</v>
      </c>
      <c r="Z3" s="17" t="s">
        <v>870</v>
      </c>
      <c r="AA3" s="17" t="s">
        <v>870</v>
      </c>
      <c r="AB3" s="17" t="s">
        <v>870</v>
      </c>
      <c r="AC3" s="17" t="s">
        <v>870</v>
      </c>
      <c r="AD3" s="17" t="s">
        <v>870</v>
      </c>
      <c r="AE3" s="17" t="s">
        <v>870</v>
      </c>
      <c r="AF3" s="17" t="s">
        <v>870</v>
      </c>
      <c r="AG3" s="17" t="s">
        <v>870</v>
      </c>
      <c r="AH3" s="17" t="s">
        <v>870</v>
      </c>
      <c r="AI3" s="17" t="s">
        <v>870</v>
      </c>
      <c r="AJ3" s="17" t="s">
        <v>870</v>
      </c>
      <c r="AK3" s="17" t="s">
        <v>870</v>
      </c>
      <c r="AL3" s="17" t="s">
        <v>870</v>
      </c>
      <c r="AM3" s="17" t="s">
        <v>870</v>
      </c>
      <c r="AN3" s="17" t="s">
        <v>870</v>
      </c>
      <c r="AO3" s="17" t="s">
        <v>870</v>
      </c>
      <c r="AP3" s="61" t="s">
        <v>2</v>
      </c>
      <c r="AQ3" s="61" t="s">
        <v>2</v>
      </c>
      <c r="AR3" s="61" t="s">
        <v>2</v>
      </c>
      <c r="AS3" s="17" t="s">
        <v>870</v>
      </c>
      <c r="AT3" s="17" t="s">
        <v>870</v>
      </c>
      <c r="AU3" s="17" t="s">
        <v>870</v>
      </c>
      <c r="AV3" s="17" t="s">
        <v>870</v>
      </c>
      <c r="AW3" s="17" t="s">
        <v>870</v>
      </c>
      <c r="AX3" s="17" t="s">
        <v>870</v>
      </c>
      <c r="AY3" s="17" t="s">
        <v>870</v>
      </c>
      <c r="AZ3" s="17" t="s">
        <v>870</v>
      </c>
      <c r="BA3" s="17" t="s">
        <v>870</v>
      </c>
      <c r="BB3" s="61" t="s">
        <v>2</v>
      </c>
      <c r="BC3" s="61" t="s">
        <v>2</v>
      </c>
      <c r="BD3" s="17" t="s">
        <v>870</v>
      </c>
      <c r="BE3" s="61" t="s">
        <v>2</v>
      </c>
      <c r="BF3" s="61" t="s">
        <v>2</v>
      </c>
      <c r="BG3" s="61" t="s">
        <v>2</v>
      </c>
      <c r="BH3" s="61" t="s">
        <v>2</v>
      </c>
      <c r="BI3" s="61" t="s">
        <v>2</v>
      </c>
      <c r="BJ3" s="62"/>
      <c r="BK3" s="61" t="s">
        <v>2</v>
      </c>
      <c r="BL3" s="61" t="s">
        <v>2</v>
      </c>
      <c r="BM3" s="61" t="s">
        <v>2</v>
      </c>
      <c r="BN3" s="61" t="s">
        <v>2</v>
      </c>
      <c r="BO3" s="63"/>
      <c r="BP3" s="61" t="s">
        <v>2</v>
      </c>
      <c r="BQ3" s="61" t="s">
        <v>2</v>
      </c>
      <c r="BR3" s="62"/>
      <c r="BS3" s="61" t="s">
        <v>2</v>
      </c>
      <c r="BT3" s="61" t="s">
        <v>2</v>
      </c>
      <c r="BU3" s="61" t="s">
        <v>2</v>
      </c>
      <c r="BV3" s="63"/>
      <c r="BW3" s="61" t="s">
        <v>2</v>
      </c>
      <c r="BX3" s="61" t="s">
        <v>2</v>
      </c>
      <c r="BY3" s="62"/>
      <c r="BZ3" s="63"/>
      <c r="CA3" s="62"/>
      <c r="CB3" s="61" t="s">
        <v>2</v>
      </c>
      <c r="CC3" s="61" t="s">
        <v>2</v>
      </c>
      <c r="CD3" s="61" t="s">
        <v>2</v>
      </c>
      <c r="CE3" s="17" t="s">
        <v>870</v>
      </c>
      <c r="CF3" s="61" t="s">
        <v>2</v>
      </c>
      <c r="CG3" s="61" t="s">
        <v>2</v>
      </c>
      <c r="CH3" s="61" t="s">
        <v>2</v>
      </c>
      <c r="CI3" s="61" t="s">
        <v>2</v>
      </c>
      <c r="CJ3" s="61" t="s">
        <v>2</v>
      </c>
      <c r="CK3" s="17" t="s">
        <v>870</v>
      </c>
      <c r="CL3" s="61" t="s">
        <v>2</v>
      </c>
      <c r="CM3" s="62"/>
      <c r="CN3" s="61" t="s">
        <v>2</v>
      </c>
      <c r="CO3" s="61" t="s">
        <v>2</v>
      </c>
      <c r="CP3" s="61" t="s">
        <v>2</v>
      </c>
      <c r="CQ3" s="61" t="s">
        <v>2</v>
      </c>
      <c r="CR3" s="62"/>
      <c r="CS3" s="61" t="s">
        <v>2</v>
      </c>
      <c r="CT3" s="61" t="s">
        <v>2</v>
      </c>
      <c r="CU3" s="61" t="s">
        <v>2</v>
      </c>
      <c r="CV3" s="61" t="s">
        <v>2</v>
      </c>
      <c r="CW3" s="62"/>
      <c r="CX3" s="63"/>
      <c r="CY3" s="61" t="s">
        <v>2</v>
      </c>
      <c r="CZ3" s="61" t="s">
        <v>2</v>
      </c>
      <c r="DA3" s="61" t="s">
        <v>2</v>
      </c>
      <c r="DB3" s="61" t="s">
        <v>2</v>
      </c>
      <c r="DC3" s="61" t="s">
        <v>2</v>
      </c>
      <c r="DD3" s="61" t="s">
        <v>2</v>
      </c>
      <c r="DE3" s="61" t="s">
        <v>2</v>
      </c>
      <c r="DF3" s="61" t="s">
        <v>2</v>
      </c>
      <c r="DG3" s="61" t="s">
        <v>2</v>
      </c>
      <c r="DH3" s="61" t="s">
        <v>2</v>
      </c>
      <c r="DI3" s="61" t="s">
        <v>2</v>
      </c>
      <c r="DJ3" s="61" t="s">
        <v>2</v>
      </c>
      <c r="DK3" s="61" t="s">
        <v>2</v>
      </c>
      <c r="DL3" s="62"/>
      <c r="DM3" s="61" t="s">
        <v>2</v>
      </c>
      <c r="DN3" s="61" t="s">
        <v>2</v>
      </c>
      <c r="DO3" s="61" t="s">
        <v>2</v>
      </c>
      <c r="DP3" s="61" t="s">
        <v>2</v>
      </c>
      <c r="DQ3" s="61" t="s">
        <v>2</v>
      </c>
      <c r="DR3" s="61" t="s">
        <v>2</v>
      </c>
      <c r="DS3" s="61" t="s">
        <v>2</v>
      </c>
      <c r="DT3" s="62"/>
      <c r="DU3" s="61" t="s">
        <v>2</v>
      </c>
      <c r="DV3" s="61" t="s">
        <v>2</v>
      </c>
      <c r="DW3" s="62"/>
      <c r="DX3" s="61" t="s">
        <v>2</v>
      </c>
      <c r="DY3" s="61" t="s">
        <v>2</v>
      </c>
      <c r="DZ3" s="61" t="s">
        <v>2</v>
      </c>
      <c r="EA3" s="61" t="s">
        <v>2</v>
      </c>
      <c r="EB3" s="61" t="s">
        <v>2</v>
      </c>
      <c r="EC3" s="61" t="s">
        <v>2</v>
      </c>
      <c r="ED3" s="61" t="s">
        <v>2</v>
      </c>
      <c r="EE3" s="61" t="s">
        <v>2</v>
      </c>
      <c r="EF3" s="61" t="s">
        <v>2</v>
      </c>
      <c r="EG3" s="61" t="s">
        <v>2</v>
      </c>
      <c r="EH3" s="61" t="s">
        <v>2</v>
      </c>
      <c r="EI3" s="61" t="s">
        <v>2</v>
      </c>
      <c r="EJ3" s="61" t="s">
        <v>2</v>
      </c>
      <c r="EK3" s="61" t="s">
        <v>2</v>
      </c>
      <c r="EL3" s="62"/>
      <c r="EM3" s="61" t="s">
        <v>2</v>
      </c>
      <c r="EN3" s="63"/>
      <c r="EO3" s="61" t="s">
        <v>2</v>
      </c>
      <c r="EP3" s="63"/>
      <c r="EQ3" s="61" t="s">
        <v>2</v>
      </c>
      <c r="ER3" s="61" t="s">
        <v>2</v>
      </c>
      <c r="ES3" s="61" t="s">
        <v>2</v>
      </c>
      <c r="ET3" s="63"/>
      <c r="EU3" s="61" t="s">
        <v>2</v>
      </c>
      <c r="EV3" s="61" t="s">
        <v>2</v>
      </c>
      <c r="EW3" s="61" t="s">
        <v>2</v>
      </c>
      <c r="EX3" s="61" t="s">
        <v>2</v>
      </c>
      <c r="EY3" s="63"/>
      <c r="EZ3" s="17" t="s">
        <v>870</v>
      </c>
      <c r="FA3" s="61" t="s">
        <v>2</v>
      </c>
      <c r="FB3" s="63"/>
      <c r="FC3" s="61" t="s">
        <v>2</v>
      </c>
      <c r="FD3" s="61" t="s">
        <v>2</v>
      </c>
      <c r="FE3" s="61" t="s">
        <v>2</v>
      </c>
      <c r="FF3" s="62"/>
      <c r="FG3" s="63"/>
      <c r="FH3" s="61" t="s">
        <v>2</v>
      </c>
      <c r="FI3" s="62"/>
      <c r="FJ3" s="61" t="s">
        <v>2</v>
      </c>
      <c r="FK3" s="61" t="s">
        <v>2</v>
      </c>
      <c r="FL3" s="61" t="s">
        <v>2</v>
      </c>
      <c r="FM3" s="61" t="s">
        <v>2</v>
      </c>
      <c r="FN3" s="63"/>
      <c r="FO3" s="61" t="s">
        <v>2</v>
      </c>
      <c r="FP3" s="61" t="s">
        <v>2</v>
      </c>
      <c r="FQ3" s="61" t="s">
        <v>2</v>
      </c>
      <c r="FR3" s="61" t="s">
        <v>2</v>
      </c>
      <c r="FS3" s="61" t="s">
        <v>2</v>
      </c>
      <c r="FT3" s="62"/>
      <c r="FU3" s="63"/>
      <c r="FV3" s="61" t="s">
        <v>2</v>
      </c>
      <c r="FW3" s="62"/>
      <c r="FX3" s="17" t="s">
        <v>870</v>
      </c>
      <c r="FY3" s="17" t="s">
        <v>870</v>
      </c>
      <c r="FZ3" s="61" t="s">
        <v>2</v>
      </c>
      <c r="GA3" s="61" t="s">
        <v>2</v>
      </c>
      <c r="GB3" s="61" t="s">
        <v>2</v>
      </c>
      <c r="GC3" s="61" t="s">
        <v>2</v>
      </c>
      <c r="GD3" s="62"/>
      <c r="GE3" s="61" t="s">
        <v>2</v>
      </c>
      <c r="GF3" s="61" t="s">
        <v>2</v>
      </c>
      <c r="GG3" s="61" t="s">
        <v>2</v>
      </c>
      <c r="GH3" s="61" t="s">
        <v>2</v>
      </c>
      <c r="GI3" s="61" t="s">
        <v>2</v>
      </c>
      <c r="GJ3" s="63"/>
      <c r="GK3" s="61" t="s">
        <v>2</v>
      </c>
      <c r="GL3" s="61" t="s">
        <v>2</v>
      </c>
      <c r="GM3" s="61" t="s">
        <v>2</v>
      </c>
      <c r="GN3" s="61" t="s">
        <v>2</v>
      </c>
      <c r="GO3" s="61" t="s">
        <v>2</v>
      </c>
      <c r="GP3" s="63"/>
      <c r="GQ3" s="61" t="s">
        <v>2</v>
      </c>
      <c r="GR3" s="61" t="s">
        <v>2</v>
      </c>
      <c r="GS3" s="61" t="s">
        <v>2</v>
      </c>
      <c r="GT3" s="61" t="s">
        <v>2</v>
      </c>
      <c r="GU3" s="61" t="s">
        <v>2</v>
      </c>
      <c r="GV3" s="61" t="s">
        <v>2</v>
      </c>
      <c r="GW3" s="61" t="s">
        <v>2</v>
      </c>
      <c r="GX3" s="61" t="s">
        <v>2</v>
      </c>
      <c r="GY3" s="61" t="s">
        <v>2</v>
      </c>
      <c r="GZ3" s="61" t="s">
        <v>2</v>
      </c>
      <c r="HA3" s="63"/>
      <c r="HB3" s="61" t="s">
        <v>2</v>
      </c>
      <c r="HC3" s="17" t="s">
        <v>870</v>
      </c>
      <c r="HD3" s="17" t="s">
        <v>870</v>
      </c>
      <c r="HE3" s="17" t="s">
        <v>870</v>
      </c>
      <c r="HF3" s="17" t="s">
        <v>870</v>
      </c>
      <c r="HG3" s="61" t="s">
        <v>2</v>
      </c>
      <c r="HH3" s="61" t="s">
        <v>2</v>
      </c>
      <c r="HI3" s="62"/>
      <c r="HJ3" s="61" t="s">
        <v>2</v>
      </c>
      <c r="HK3" s="61" t="s">
        <v>2</v>
      </c>
      <c r="HL3" s="61" t="s">
        <v>2</v>
      </c>
      <c r="HM3" s="61" t="s">
        <v>2</v>
      </c>
      <c r="HN3" s="61" t="s">
        <v>2</v>
      </c>
      <c r="HO3" s="61" t="s">
        <v>2</v>
      </c>
      <c r="HP3" s="61" t="s">
        <v>2</v>
      </c>
      <c r="HQ3" s="61" t="s">
        <v>2</v>
      </c>
      <c r="HR3" s="61" t="s">
        <v>2</v>
      </c>
      <c r="HS3" s="17" t="s">
        <v>870</v>
      </c>
      <c r="HT3" s="17" t="s">
        <v>870</v>
      </c>
      <c r="HU3" s="17" t="s">
        <v>870</v>
      </c>
      <c r="HV3" s="17" t="s">
        <v>870</v>
      </c>
      <c r="HW3" s="17" t="s">
        <v>870</v>
      </c>
      <c r="HX3" s="17" t="s">
        <v>870</v>
      </c>
      <c r="HY3" s="17" t="s">
        <v>870</v>
      </c>
      <c r="HZ3" s="17" t="s">
        <v>870</v>
      </c>
      <c r="IA3" s="17" t="s">
        <v>870</v>
      </c>
      <c r="IB3" s="17" t="s">
        <v>870</v>
      </c>
      <c r="IC3" s="17" t="s">
        <v>870</v>
      </c>
      <c r="ID3" s="17" t="s">
        <v>870</v>
      </c>
      <c r="IE3" s="17" t="s">
        <v>870</v>
      </c>
      <c r="IF3" s="17" t="s">
        <v>870</v>
      </c>
      <c r="IG3" s="17" t="s">
        <v>870</v>
      </c>
      <c r="IH3" s="17" t="s">
        <v>870</v>
      </c>
      <c r="II3" s="17" t="s">
        <v>870</v>
      </c>
      <c r="IJ3" s="17" t="s">
        <v>870</v>
      </c>
      <c r="IK3" s="17" t="s">
        <v>870</v>
      </c>
      <c r="IL3" s="17" t="s">
        <v>870</v>
      </c>
      <c r="IM3" s="17" t="s">
        <v>870</v>
      </c>
      <c r="IN3" s="17" t="s">
        <v>870</v>
      </c>
      <c r="IO3" s="17" t="s">
        <v>870</v>
      </c>
      <c r="IP3" s="62"/>
      <c r="IQ3" s="17" t="s">
        <v>870</v>
      </c>
      <c r="IR3" s="17" t="s">
        <v>870</v>
      </c>
      <c r="IS3" s="17" t="s">
        <v>870</v>
      </c>
      <c r="IT3" s="17" t="s">
        <v>870</v>
      </c>
      <c r="IU3" s="17" t="s">
        <v>870</v>
      </c>
      <c r="IV3" s="17" t="s">
        <v>870</v>
      </c>
      <c r="IW3" s="17" t="s">
        <v>870</v>
      </c>
      <c r="IX3" s="17" t="s">
        <v>870</v>
      </c>
      <c r="IY3" s="17" t="s">
        <v>870</v>
      </c>
      <c r="IZ3" s="17" t="s">
        <v>870</v>
      </c>
      <c r="JA3" s="17" t="s">
        <v>870</v>
      </c>
      <c r="JB3" s="17" t="s">
        <v>870</v>
      </c>
      <c r="JC3" s="17" t="s">
        <v>870</v>
      </c>
      <c r="JD3" s="17" t="s">
        <v>870</v>
      </c>
      <c r="JE3" s="17" t="s">
        <v>870</v>
      </c>
      <c r="JF3" s="17" t="s">
        <v>870</v>
      </c>
      <c r="JG3" s="17" t="s">
        <v>870</v>
      </c>
      <c r="JH3" s="17" t="s">
        <v>870</v>
      </c>
      <c r="JI3" s="17" t="s">
        <v>870</v>
      </c>
      <c r="JJ3" s="17" t="s">
        <v>870</v>
      </c>
      <c r="JK3" s="17" t="s">
        <v>870</v>
      </c>
      <c r="JL3" s="17" t="s">
        <v>870</v>
      </c>
      <c r="JM3" s="17" t="s">
        <v>870</v>
      </c>
      <c r="JN3" s="17" t="s">
        <v>870</v>
      </c>
      <c r="JO3" s="17" t="s">
        <v>870</v>
      </c>
      <c r="JP3" s="17" t="s">
        <v>870</v>
      </c>
      <c r="JQ3" s="17" t="s">
        <v>870</v>
      </c>
      <c r="JR3" s="17" t="s">
        <v>870</v>
      </c>
      <c r="JS3" s="17" t="s">
        <v>870</v>
      </c>
      <c r="JT3" s="17" t="s">
        <v>870</v>
      </c>
    </row>
    <row r="4" spans="1:298" x14ac:dyDescent="0.25">
      <c r="A4" t="s">
        <v>8</v>
      </c>
      <c r="B4" s="61" t="s">
        <v>2</v>
      </c>
      <c r="C4" s="61" t="s">
        <v>2</v>
      </c>
      <c r="D4" s="61" t="s">
        <v>2</v>
      </c>
      <c r="E4" s="63"/>
      <c r="F4" s="63"/>
      <c r="G4" s="63"/>
      <c r="H4" s="62"/>
      <c r="I4" s="63"/>
      <c r="J4" s="61" t="s">
        <v>2</v>
      </c>
      <c r="K4" s="61" t="s">
        <v>2</v>
      </c>
      <c r="L4" s="63"/>
      <c r="M4" s="61" t="s">
        <v>2</v>
      </c>
      <c r="N4" s="63"/>
      <c r="O4" s="61" t="s">
        <v>2</v>
      </c>
      <c r="P4" s="61" t="s">
        <v>2</v>
      </c>
      <c r="Q4" s="62"/>
      <c r="R4" s="63"/>
      <c r="S4" s="61" t="s">
        <v>2</v>
      </c>
      <c r="T4" s="63"/>
      <c r="U4" s="61" t="s">
        <v>2</v>
      </c>
      <c r="V4" s="62"/>
      <c r="W4" s="61" t="s">
        <v>2</v>
      </c>
      <c r="X4" s="61" t="s">
        <v>2</v>
      </c>
      <c r="Y4" s="61" t="s">
        <v>2</v>
      </c>
      <c r="Z4" s="62"/>
      <c r="AA4" s="63"/>
      <c r="AB4" s="62"/>
      <c r="AC4" s="61" t="s">
        <v>2</v>
      </c>
      <c r="AD4" s="61" t="s">
        <v>2</v>
      </c>
      <c r="AE4" s="61" t="s">
        <v>2</v>
      </c>
      <c r="AF4" s="63"/>
      <c r="AG4" s="61" t="s">
        <v>2</v>
      </c>
      <c r="AH4" s="62"/>
      <c r="AI4" s="61" t="s">
        <v>2</v>
      </c>
      <c r="AJ4" s="62"/>
      <c r="AK4" s="61" t="s">
        <v>2</v>
      </c>
      <c r="AL4" s="61" t="s">
        <v>2</v>
      </c>
      <c r="AM4" s="61" t="s">
        <v>2</v>
      </c>
      <c r="AN4" s="61" t="s">
        <v>2</v>
      </c>
      <c r="AO4" s="61" t="s">
        <v>2</v>
      </c>
      <c r="AP4" s="63"/>
      <c r="AQ4" s="62"/>
      <c r="AR4" s="61" t="s">
        <v>2</v>
      </c>
      <c r="AS4" s="61" t="s">
        <v>2</v>
      </c>
      <c r="AT4" s="63"/>
      <c r="AU4" s="17" t="s">
        <v>870</v>
      </c>
      <c r="AV4" s="17" t="s">
        <v>870</v>
      </c>
      <c r="AW4" s="63"/>
      <c r="AX4" s="63"/>
      <c r="AY4" s="61" t="s">
        <v>2</v>
      </c>
      <c r="AZ4" s="61" t="s">
        <v>2</v>
      </c>
      <c r="BA4" s="63"/>
      <c r="BB4" s="61" t="s">
        <v>2</v>
      </c>
      <c r="BC4" s="62"/>
      <c r="BD4" s="61" t="s">
        <v>2</v>
      </c>
      <c r="BE4" s="63"/>
      <c r="BF4" s="63"/>
      <c r="BG4" s="63"/>
      <c r="BH4" s="63"/>
      <c r="BI4" s="63"/>
      <c r="BJ4" s="61" t="s">
        <v>2</v>
      </c>
      <c r="BK4" s="63"/>
      <c r="BL4" s="17" t="s">
        <v>870</v>
      </c>
      <c r="BM4" s="17" t="s">
        <v>870</v>
      </c>
      <c r="BN4" s="61" t="s">
        <v>2</v>
      </c>
      <c r="BO4" s="63"/>
      <c r="BP4" s="63"/>
      <c r="BQ4" s="61" t="s">
        <v>2</v>
      </c>
      <c r="BR4" s="63"/>
      <c r="BS4" s="61" t="s">
        <v>2</v>
      </c>
      <c r="BT4" s="61" t="s">
        <v>2</v>
      </c>
      <c r="BU4" s="63"/>
      <c r="BV4" s="61" t="s">
        <v>2</v>
      </c>
      <c r="BW4" s="61" t="s">
        <v>2</v>
      </c>
      <c r="BX4" s="63"/>
      <c r="BY4" s="61" t="s">
        <v>2</v>
      </c>
      <c r="BZ4" s="62"/>
      <c r="CA4" s="63"/>
      <c r="CB4" s="62"/>
      <c r="CC4" s="61" t="s">
        <v>2</v>
      </c>
      <c r="CD4" s="61" t="s">
        <v>2</v>
      </c>
      <c r="CE4" s="61" t="s">
        <v>2</v>
      </c>
      <c r="CF4" s="62"/>
      <c r="CG4" s="61" t="s">
        <v>2</v>
      </c>
      <c r="CH4" s="62"/>
      <c r="CI4" s="61" t="s">
        <v>2</v>
      </c>
      <c r="CJ4" s="61" t="s">
        <v>2</v>
      </c>
      <c r="CK4" s="61" t="s">
        <v>2</v>
      </c>
      <c r="CL4" s="61" t="s">
        <v>2</v>
      </c>
      <c r="CM4" s="62"/>
      <c r="CN4" s="61" t="s">
        <v>2</v>
      </c>
      <c r="CO4" s="61" t="s">
        <v>2</v>
      </c>
      <c r="CP4" s="61" t="s">
        <v>2</v>
      </c>
      <c r="CQ4" s="61" t="s">
        <v>2</v>
      </c>
      <c r="CR4" s="61" t="s">
        <v>2</v>
      </c>
      <c r="CS4" s="61" t="s">
        <v>2</v>
      </c>
      <c r="CT4" s="63"/>
      <c r="CU4" s="61" t="s">
        <v>2</v>
      </c>
      <c r="CV4" s="17" t="s">
        <v>870</v>
      </c>
      <c r="CW4" s="17" t="s">
        <v>870</v>
      </c>
      <c r="CX4" s="63"/>
      <c r="CY4" s="61" t="s">
        <v>2</v>
      </c>
      <c r="CZ4" s="61" t="s">
        <v>2</v>
      </c>
      <c r="DA4" s="63"/>
      <c r="DB4" s="61" t="s">
        <v>2</v>
      </c>
      <c r="DC4" s="61" t="s">
        <v>2</v>
      </c>
      <c r="DD4" s="61" t="s">
        <v>2</v>
      </c>
      <c r="DE4" s="61" t="s">
        <v>2</v>
      </c>
      <c r="DF4" s="61" t="s">
        <v>2</v>
      </c>
      <c r="DG4" s="62"/>
      <c r="DH4" s="63"/>
      <c r="DI4" s="61" t="s">
        <v>2</v>
      </c>
      <c r="DJ4" s="61" t="s">
        <v>2</v>
      </c>
      <c r="DK4" s="61" t="s">
        <v>2</v>
      </c>
      <c r="DL4" s="61" t="s">
        <v>2</v>
      </c>
      <c r="DM4" s="63"/>
      <c r="DN4" s="61" t="s">
        <v>2</v>
      </c>
      <c r="DO4" s="61" t="s">
        <v>2</v>
      </c>
      <c r="DP4" s="62"/>
      <c r="DQ4" s="63"/>
      <c r="DR4" s="61" t="s">
        <v>2</v>
      </c>
      <c r="DS4" s="63"/>
      <c r="DT4" s="63"/>
      <c r="DU4" s="62"/>
      <c r="DV4" s="63"/>
      <c r="DW4" s="61" t="s">
        <v>2</v>
      </c>
      <c r="DX4" s="17" t="s">
        <v>870</v>
      </c>
      <c r="DY4" s="17" t="s">
        <v>870</v>
      </c>
      <c r="DZ4" s="63"/>
      <c r="EA4" s="62"/>
      <c r="EB4" s="17" t="s">
        <v>870</v>
      </c>
      <c r="EC4" s="17" t="s">
        <v>870</v>
      </c>
      <c r="ED4" s="17" t="s">
        <v>870</v>
      </c>
      <c r="EE4" s="17" t="s">
        <v>870</v>
      </c>
      <c r="EF4" s="61" t="s">
        <v>2</v>
      </c>
      <c r="EG4" s="63"/>
      <c r="EH4" s="61" t="s">
        <v>2</v>
      </c>
      <c r="EI4" s="62"/>
      <c r="EJ4" s="63"/>
      <c r="EK4" s="62"/>
      <c r="EL4" s="61" t="s">
        <v>2</v>
      </c>
      <c r="EM4" s="61" t="s">
        <v>2</v>
      </c>
      <c r="EN4" s="17" t="s">
        <v>870</v>
      </c>
      <c r="EO4" s="17" t="s">
        <v>870</v>
      </c>
      <c r="EP4" s="63"/>
      <c r="EQ4" s="62"/>
      <c r="ER4" s="63"/>
      <c r="ES4" s="62"/>
      <c r="ET4" s="62"/>
      <c r="EU4" s="61" t="s">
        <v>2</v>
      </c>
      <c r="EV4" s="62"/>
      <c r="EW4" s="62"/>
      <c r="EX4" s="61" t="s">
        <v>2</v>
      </c>
      <c r="EY4" s="61" t="s">
        <v>2</v>
      </c>
      <c r="EZ4" s="61" t="s">
        <v>2</v>
      </c>
      <c r="FA4" s="61" t="s">
        <v>2</v>
      </c>
      <c r="FB4" s="62"/>
      <c r="FC4" s="61" t="s">
        <v>2</v>
      </c>
      <c r="FD4" s="61" t="s">
        <v>2</v>
      </c>
      <c r="FE4" s="61" t="s">
        <v>2</v>
      </c>
      <c r="FF4" s="61" t="s">
        <v>2</v>
      </c>
      <c r="FG4" s="61" t="s">
        <v>2</v>
      </c>
      <c r="FH4" s="62"/>
      <c r="FI4" s="61" t="s">
        <v>2</v>
      </c>
      <c r="FJ4" s="61" t="s">
        <v>2</v>
      </c>
      <c r="FK4" s="61" t="s">
        <v>2</v>
      </c>
      <c r="FL4" s="61" t="s">
        <v>2</v>
      </c>
      <c r="FM4" s="61" t="s">
        <v>2</v>
      </c>
      <c r="FN4" s="17" t="s">
        <v>870</v>
      </c>
      <c r="FO4" s="17" t="s">
        <v>870</v>
      </c>
      <c r="FP4" s="62"/>
      <c r="FQ4" s="62"/>
      <c r="FR4" s="61" t="s">
        <v>2</v>
      </c>
      <c r="FS4" s="61" t="s">
        <v>2</v>
      </c>
      <c r="FT4" s="61" t="s">
        <v>2</v>
      </c>
      <c r="FU4" s="61" t="s">
        <v>2</v>
      </c>
      <c r="FV4" s="62"/>
      <c r="FW4" s="61" t="s">
        <v>2</v>
      </c>
      <c r="FX4" s="61" t="s">
        <v>2</v>
      </c>
      <c r="FY4" s="61" t="s">
        <v>2</v>
      </c>
      <c r="FZ4" s="63"/>
      <c r="GA4" s="17" t="s">
        <v>870</v>
      </c>
      <c r="GB4" s="62"/>
      <c r="GC4" s="61" t="s">
        <v>2</v>
      </c>
      <c r="GD4" s="61" t="s">
        <v>2</v>
      </c>
      <c r="GE4" s="61" t="s">
        <v>2</v>
      </c>
      <c r="GF4" s="61" t="s">
        <v>2</v>
      </c>
      <c r="GG4" s="63"/>
      <c r="GH4" s="63"/>
      <c r="GI4" s="61" t="s">
        <v>2</v>
      </c>
      <c r="GJ4" s="61" t="s">
        <v>2</v>
      </c>
      <c r="GK4" s="61" t="s">
        <v>2</v>
      </c>
      <c r="GL4" s="17" t="s">
        <v>870</v>
      </c>
      <c r="GM4" s="17" t="s">
        <v>870</v>
      </c>
      <c r="GN4" s="17" t="s">
        <v>870</v>
      </c>
      <c r="GO4" s="61" t="s">
        <v>2</v>
      </c>
      <c r="GP4" s="63"/>
      <c r="GQ4" s="61" t="s">
        <v>2</v>
      </c>
      <c r="GR4" s="61" t="s">
        <v>2</v>
      </c>
      <c r="GS4" s="63"/>
      <c r="GT4" s="62"/>
      <c r="GU4" s="61" t="s">
        <v>2</v>
      </c>
      <c r="GV4" s="63"/>
      <c r="GW4" s="63"/>
      <c r="GX4" s="17" t="s">
        <v>870</v>
      </c>
      <c r="GY4" s="17" t="s">
        <v>870</v>
      </c>
      <c r="GZ4" s="61" t="s">
        <v>2</v>
      </c>
      <c r="HA4" s="17" t="s">
        <v>870</v>
      </c>
      <c r="HB4" s="17" t="s">
        <v>870</v>
      </c>
      <c r="HC4" s="61" t="s">
        <v>2</v>
      </c>
      <c r="HD4" s="61" t="s">
        <v>2</v>
      </c>
      <c r="HE4" s="17" t="s">
        <v>870</v>
      </c>
      <c r="HF4" s="17" t="s">
        <v>870</v>
      </c>
      <c r="HG4" s="17" t="s">
        <v>870</v>
      </c>
      <c r="HH4" s="62"/>
      <c r="HI4" s="63"/>
      <c r="HJ4" s="17" t="s">
        <v>870</v>
      </c>
      <c r="HK4" s="17" t="s">
        <v>870</v>
      </c>
      <c r="HL4" s="17" t="s">
        <v>870</v>
      </c>
      <c r="HM4" s="63"/>
      <c r="HN4" s="62"/>
      <c r="HO4" s="63"/>
      <c r="HP4" s="61" t="s">
        <v>2</v>
      </c>
      <c r="HQ4" s="17" t="s">
        <v>870</v>
      </c>
      <c r="HR4" s="17" t="s">
        <v>870</v>
      </c>
      <c r="HS4" s="61" t="s">
        <v>2</v>
      </c>
      <c r="HT4" s="61" t="s">
        <v>2</v>
      </c>
      <c r="HU4" s="17" t="s">
        <v>870</v>
      </c>
      <c r="HV4" s="17" t="s">
        <v>870</v>
      </c>
      <c r="HW4" s="61" t="s">
        <v>2</v>
      </c>
      <c r="HX4" s="63"/>
      <c r="HY4" s="17" t="s">
        <v>870</v>
      </c>
      <c r="HZ4" s="17" t="s">
        <v>870</v>
      </c>
      <c r="IA4" s="17" t="s">
        <v>870</v>
      </c>
      <c r="IB4" s="17" t="s">
        <v>870</v>
      </c>
      <c r="IC4" s="17" t="s">
        <v>870</v>
      </c>
      <c r="ID4" s="17" t="s">
        <v>870</v>
      </c>
      <c r="IE4" s="17" t="s">
        <v>870</v>
      </c>
      <c r="IF4" s="17" t="s">
        <v>870</v>
      </c>
      <c r="IG4" s="17" t="s">
        <v>870</v>
      </c>
      <c r="IH4" s="17" t="s">
        <v>870</v>
      </c>
      <c r="II4" s="63"/>
      <c r="IJ4" s="63"/>
      <c r="IK4" s="61" t="s">
        <v>2</v>
      </c>
      <c r="IL4" s="17" t="s">
        <v>870</v>
      </c>
      <c r="IM4" s="61" t="s">
        <v>2</v>
      </c>
      <c r="IN4" s="61" t="s">
        <v>2</v>
      </c>
      <c r="IO4" s="61" t="s">
        <v>2</v>
      </c>
      <c r="IP4" s="63"/>
      <c r="IQ4" s="62"/>
      <c r="IR4" s="63"/>
      <c r="IS4" s="17" t="s">
        <v>870</v>
      </c>
      <c r="IT4" s="17" t="s">
        <v>870</v>
      </c>
      <c r="IU4" s="17" t="s">
        <v>870</v>
      </c>
      <c r="IV4" s="17" t="s">
        <v>870</v>
      </c>
      <c r="IW4" s="17" t="s">
        <v>870</v>
      </c>
      <c r="IX4" s="17" t="s">
        <v>870</v>
      </c>
      <c r="IY4" s="61" t="s">
        <v>2</v>
      </c>
      <c r="IZ4" s="61" t="s">
        <v>2</v>
      </c>
      <c r="JA4" s="17" t="s">
        <v>870</v>
      </c>
      <c r="JB4" s="17" t="s">
        <v>870</v>
      </c>
      <c r="JC4" s="17" t="s">
        <v>870</v>
      </c>
      <c r="JD4" s="17" t="s">
        <v>870</v>
      </c>
      <c r="JE4" s="17" t="s">
        <v>870</v>
      </c>
      <c r="JF4" s="17" t="s">
        <v>870</v>
      </c>
      <c r="JG4" s="17" t="s">
        <v>870</v>
      </c>
      <c r="JH4" s="17" t="s">
        <v>870</v>
      </c>
      <c r="JI4" s="17" t="s">
        <v>870</v>
      </c>
      <c r="JJ4" s="17" t="s">
        <v>870</v>
      </c>
      <c r="JK4" s="17" t="s">
        <v>870</v>
      </c>
      <c r="JL4" s="17" t="s">
        <v>870</v>
      </c>
      <c r="JM4" s="17" t="s">
        <v>870</v>
      </c>
      <c r="JN4" s="17" t="s">
        <v>870</v>
      </c>
      <c r="JO4" s="61" t="s">
        <v>2</v>
      </c>
      <c r="JP4" s="62"/>
      <c r="JQ4" s="17" t="s">
        <v>870</v>
      </c>
      <c r="JR4" s="17" t="s">
        <v>870</v>
      </c>
      <c r="JS4" s="17" t="s">
        <v>870</v>
      </c>
      <c r="JT4" s="17" t="s">
        <v>870</v>
      </c>
    </row>
    <row r="5" spans="1:298" x14ac:dyDescent="0.25">
      <c r="A5" t="s">
        <v>7</v>
      </c>
      <c r="B5" s="17" t="s">
        <v>870</v>
      </c>
      <c r="C5" s="17" t="s">
        <v>870</v>
      </c>
      <c r="D5" s="17" t="s">
        <v>870</v>
      </c>
      <c r="E5" s="17" t="s">
        <v>870</v>
      </c>
      <c r="F5" s="17" t="s">
        <v>870</v>
      </c>
      <c r="G5" s="17" t="s">
        <v>870</v>
      </c>
      <c r="H5" s="17" t="s">
        <v>870</v>
      </c>
      <c r="I5" s="17" t="s">
        <v>870</v>
      </c>
      <c r="J5" s="17" t="s">
        <v>870</v>
      </c>
      <c r="K5" s="17" t="s">
        <v>870</v>
      </c>
      <c r="L5" s="17" t="s">
        <v>870</v>
      </c>
      <c r="M5" s="17" t="s">
        <v>870</v>
      </c>
      <c r="N5" s="17" t="s">
        <v>870</v>
      </c>
      <c r="O5" s="17" t="s">
        <v>870</v>
      </c>
      <c r="P5" s="17" t="s">
        <v>870</v>
      </c>
      <c r="Q5" s="17" t="s">
        <v>870</v>
      </c>
      <c r="R5" s="17" t="s">
        <v>870</v>
      </c>
      <c r="S5" s="17" t="s">
        <v>870</v>
      </c>
      <c r="T5" s="17" t="s">
        <v>870</v>
      </c>
      <c r="U5" s="17" t="s">
        <v>870</v>
      </c>
      <c r="V5" s="17" t="s">
        <v>870</v>
      </c>
      <c r="W5" s="17" t="s">
        <v>870</v>
      </c>
      <c r="X5" s="17" t="s">
        <v>870</v>
      </c>
      <c r="Y5" s="17" t="s">
        <v>870</v>
      </c>
      <c r="Z5" s="17" t="s">
        <v>870</v>
      </c>
      <c r="AA5" s="17" t="s">
        <v>870</v>
      </c>
      <c r="AB5" s="17" t="s">
        <v>870</v>
      </c>
      <c r="AC5" s="17" t="s">
        <v>870</v>
      </c>
      <c r="AD5" s="17" t="s">
        <v>870</v>
      </c>
      <c r="AE5" s="17" t="s">
        <v>870</v>
      </c>
      <c r="AF5" s="17" t="s">
        <v>870</v>
      </c>
      <c r="AG5" s="17" t="s">
        <v>870</v>
      </c>
      <c r="AH5" s="17" t="s">
        <v>870</v>
      </c>
      <c r="AI5" s="17" t="s">
        <v>870</v>
      </c>
      <c r="AJ5" s="17" t="s">
        <v>870</v>
      </c>
      <c r="AK5" s="17" t="s">
        <v>870</v>
      </c>
      <c r="AL5" s="17" t="s">
        <v>870</v>
      </c>
      <c r="AM5" s="17" t="s">
        <v>870</v>
      </c>
      <c r="AN5" s="63"/>
      <c r="AO5" s="61" t="s">
        <v>2</v>
      </c>
      <c r="AP5" s="63"/>
      <c r="AQ5" s="63"/>
      <c r="AR5" s="63"/>
      <c r="AS5" s="17" t="s">
        <v>870</v>
      </c>
      <c r="AT5" s="17" t="s">
        <v>870</v>
      </c>
      <c r="AU5" s="61" t="s">
        <v>2</v>
      </c>
      <c r="AV5" s="61" t="s">
        <v>2</v>
      </c>
      <c r="AW5" s="61" t="s">
        <v>2</v>
      </c>
      <c r="AX5" s="61" t="s">
        <v>2</v>
      </c>
      <c r="AY5" s="62"/>
      <c r="AZ5" s="63"/>
      <c r="BA5" s="63"/>
      <c r="BB5" s="61" t="s">
        <v>2</v>
      </c>
      <c r="BC5" s="61" t="s">
        <v>2</v>
      </c>
      <c r="BD5" s="61" t="s">
        <v>2</v>
      </c>
      <c r="BE5" s="61" t="s">
        <v>2</v>
      </c>
      <c r="BF5" s="61" t="s">
        <v>2</v>
      </c>
      <c r="BG5" s="61" t="s">
        <v>2</v>
      </c>
      <c r="BH5" s="61" t="s">
        <v>2</v>
      </c>
      <c r="BI5" s="61" t="s">
        <v>2</v>
      </c>
      <c r="BJ5" s="61" t="s">
        <v>2</v>
      </c>
      <c r="BK5" s="61" t="s">
        <v>2</v>
      </c>
      <c r="BL5" s="61" t="s">
        <v>2</v>
      </c>
      <c r="BM5" s="61" t="s">
        <v>2</v>
      </c>
      <c r="BN5" s="61" t="s">
        <v>2</v>
      </c>
      <c r="BO5" s="61" t="s">
        <v>2</v>
      </c>
      <c r="BP5" s="17" t="s">
        <v>870</v>
      </c>
      <c r="BQ5" s="61" t="s">
        <v>2</v>
      </c>
      <c r="BR5" s="61" t="s">
        <v>2</v>
      </c>
      <c r="BS5" s="61" t="s">
        <v>2</v>
      </c>
      <c r="BT5" s="61" t="s">
        <v>2</v>
      </c>
      <c r="BU5" s="61" t="s">
        <v>2</v>
      </c>
      <c r="BV5" s="61" t="s">
        <v>2</v>
      </c>
      <c r="BW5" s="62"/>
      <c r="BX5" s="61" t="s">
        <v>2</v>
      </c>
      <c r="BY5" s="61" t="s">
        <v>2</v>
      </c>
      <c r="BZ5" s="17" t="s">
        <v>870</v>
      </c>
      <c r="CA5" s="17" t="s">
        <v>870</v>
      </c>
      <c r="CB5" s="62"/>
      <c r="CC5" s="61" t="s">
        <v>2</v>
      </c>
      <c r="CD5" s="63"/>
      <c r="CE5" s="63"/>
      <c r="CF5" s="61" t="s">
        <v>2</v>
      </c>
      <c r="CG5" s="61" t="s">
        <v>2</v>
      </c>
      <c r="CH5" s="61" t="s">
        <v>2</v>
      </c>
      <c r="CI5" s="61" t="s">
        <v>2</v>
      </c>
      <c r="CJ5" s="17" t="s">
        <v>870</v>
      </c>
      <c r="CK5" s="17" t="s">
        <v>870</v>
      </c>
      <c r="CL5" s="61" t="s">
        <v>2</v>
      </c>
      <c r="CM5" s="61" t="s">
        <v>2</v>
      </c>
      <c r="CN5" s="62"/>
      <c r="CO5" s="61" t="s">
        <v>2</v>
      </c>
      <c r="CP5" s="61" t="s">
        <v>2</v>
      </c>
      <c r="CQ5" s="61" t="s">
        <v>2</v>
      </c>
      <c r="CR5" s="61" t="s">
        <v>2</v>
      </c>
      <c r="CS5" s="61" t="s">
        <v>2</v>
      </c>
      <c r="CT5" s="17" t="s">
        <v>870</v>
      </c>
      <c r="CU5" s="17" t="s">
        <v>870</v>
      </c>
      <c r="CV5" s="61" t="s">
        <v>2</v>
      </c>
      <c r="CW5" s="61" t="s">
        <v>2</v>
      </c>
      <c r="CX5" s="61" t="s">
        <v>2</v>
      </c>
      <c r="CY5" s="61" t="s">
        <v>2</v>
      </c>
      <c r="CZ5" s="61" t="s">
        <v>2</v>
      </c>
      <c r="DA5" s="63"/>
      <c r="DB5" s="63"/>
      <c r="DC5" s="61" t="s">
        <v>2</v>
      </c>
      <c r="DD5" s="61" t="s">
        <v>2</v>
      </c>
      <c r="DE5" s="61" t="s">
        <v>2</v>
      </c>
      <c r="DF5" s="61" t="s">
        <v>2</v>
      </c>
      <c r="DG5" s="61" t="s">
        <v>2</v>
      </c>
      <c r="DH5" s="61" t="s">
        <v>2</v>
      </c>
      <c r="DI5" s="61" t="s">
        <v>2</v>
      </c>
      <c r="DJ5" s="61" t="s">
        <v>2</v>
      </c>
      <c r="DK5" s="61" t="s">
        <v>2</v>
      </c>
      <c r="DL5" s="61" t="s">
        <v>2</v>
      </c>
      <c r="DM5" s="61" t="s">
        <v>2</v>
      </c>
      <c r="DN5" s="17" t="s">
        <v>870</v>
      </c>
      <c r="DO5" s="61" t="s">
        <v>2</v>
      </c>
      <c r="DP5" s="61" t="s">
        <v>2</v>
      </c>
      <c r="DQ5" s="61" t="s">
        <v>2</v>
      </c>
      <c r="DR5" s="17" t="s">
        <v>870</v>
      </c>
      <c r="DS5" s="17" t="s">
        <v>870</v>
      </c>
      <c r="DT5" s="17" t="s">
        <v>870</v>
      </c>
      <c r="DU5" s="17" t="s">
        <v>870</v>
      </c>
      <c r="DV5" s="17" t="s">
        <v>870</v>
      </c>
      <c r="DW5" s="17" t="s">
        <v>870</v>
      </c>
      <c r="DX5" s="61" t="s">
        <v>2</v>
      </c>
      <c r="DY5" s="61" t="s">
        <v>2</v>
      </c>
      <c r="DZ5" s="61" t="s">
        <v>2</v>
      </c>
      <c r="EA5" s="61" t="s">
        <v>2</v>
      </c>
      <c r="EB5" s="61" t="s">
        <v>2</v>
      </c>
      <c r="EC5" s="61" t="s">
        <v>2</v>
      </c>
      <c r="ED5" s="61" t="s">
        <v>2</v>
      </c>
      <c r="EE5" s="61" t="s">
        <v>2</v>
      </c>
      <c r="EF5" s="61" t="s">
        <v>2</v>
      </c>
      <c r="EG5" s="62"/>
      <c r="EH5" s="17" t="s">
        <v>870</v>
      </c>
      <c r="EI5" s="17" t="s">
        <v>870</v>
      </c>
      <c r="EJ5" s="17" t="s">
        <v>870</v>
      </c>
      <c r="EK5" s="17" t="s">
        <v>870</v>
      </c>
      <c r="EL5" s="17" t="s">
        <v>870</v>
      </c>
      <c r="EM5" s="17" t="s">
        <v>870</v>
      </c>
      <c r="EN5" s="17" t="s">
        <v>870</v>
      </c>
      <c r="EO5" s="17" t="s">
        <v>870</v>
      </c>
      <c r="EP5" s="17" t="s">
        <v>870</v>
      </c>
      <c r="EQ5" s="17" t="s">
        <v>870</v>
      </c>
      <c r="ER5" s="17" t="s">
        <v>870</v>
      </c>
      <c r="ES5" s="17" t="s">
        <v>870</v>
      </c>
      <c r="ET5" s="17" t="s">
        <v>870</v>
      </c>
      <c r="EU5" s="17" t="s">
        <v>870</v>
      </c>
      <c r="EV5" s="17" t="s">
        <v>870</v>
      </c>
      <c r="EW5" s="17" t="s">
        <v>870</v>
      </c>
      <c r="EX5" s="17" t="s">
        <v>870</v>
      </c>
      <c r="EY5" s="17" t="s">
        <v>870</v>
      </c>
      <c r="EZ5" s="17" t="s">
        <v>870</v>
      </c>
      <c r="FA5" s="17" t="s">
        <v>870</v>
      </c>
      <c r="FB5" s="17" t="s">
        <v>870</v>
      </c>
      <c r="FC5" s="17" t="s">
        <v>870</v>
      </c>
      <c r="FD5" s="17" t="s">
        <v>870</v>
      </c>
      <c r="FE5" s="17" t="s">
        <v>870</v>
      </c>
      <c r="FF5" s="17" t="s">
        <v>870</v>
      </c>
      <c r="FG5" s="17" t="s">
        <v>870</v>
      </c>
      <c r="FH5" s="61" t="s">
        <v>2</v>
      </c>
      <c r="FI5" s="61" t="s">
        <v>2</v>
      </c>
      <c r="FJ5" s="17" t="s">
        <v>870</v>
      </c>
      <c r="FK5" s="17" t="s">
        <v>870</v>
      </c>
      <c r="FL5" s="17" t="s">
        <v>870</v>
      </c>
      <c r="FM5" s="17" t="s">
        <v>870</v>
      </c>
      <c r="FN5" s="61" t="s">
        <v>2</v>
      </c>
      <c r="FO5" s="62"/>
      <c r="FP5" s="17" t="s">
        <v>870</v>
      </c>
      <c r="FQ5" s="17" t="s">
        <v>870</v>
      </c>
      <c r="FR5" s="17" t="s">
        <v>870</v>
      </c>
      <c r="FS5" s="17" t="s">
        <v>870</v>
      </c>
      <c r="FT5" s="17" t="s">
        <v>870</v>
      </c>
      <c r="FU5" s="17" t="s">
        <v>870</v>
      </c>
      <c r="FV5" s="17" t="s">
        <v>870</v>
      </c>
      <c r="FW5" s="17" t="s">
        <v>870</v>
      </c>
      <c r="FX5" s="17" t="s">
        <v>870</v>
      </c>
      <c r="FY5" s="17" t="s">
        <v>870</v>
      </c>
      <c r="FZ5" s="17" t="s">
        <v>870</v>
      </c>
      <c r="GA5" s="17" t="s">
        <v>870</v>
      </c>
      <c r="GB5" s="62"/>
      <c r="GC5" s="17" t="s">
        <v>870</v>
      </c>
      <c r="GD5" s="61" t="s">
        <v>2</v>
      </c>
      <c r="GE5" s="61" t="s">
        <v>2</v>
      </c>
      <c r="GF5" s="61" t="s">
        <v>2</v>
      </c>
      <c r="GG5" s="62"/>
      <c r="GH5" s="17" t="s">
        <v>870</v>
      </c>
      <c r="GI5" s="17" t="s">
        <v>870</v>
      </c>
      <c r="GJ5" s="61" t="s">
        <v>2</v>
      </c>
      <c r="GK5" s="61" t="s">
        <v>2</v>
      </c>
      <c r="GL5" s="61" t="s">
        <v>2</v>
      </c>
      <c r="GM5" s="61" t="s">
        <v>2</v>
      </c>
      <c r="GN5" s="61" t="s">
        <v>2</v>
      </c>
      <c r="GO5" s="61" t="s">
        <v>2</v>
      </c>
      <c r="GP5" s="61" t="s">
        <v>2</v>
      </c>
      <c r="GQ5" s="63"/>
      <c r="GR5" s="17" t="s">
        <v>870</v>
      </c>
      <c r="GS5" s="17" t="s">
        <v>870</v>
      </c>
      <c r="GT5" s="61" t="s">
        <v>2</v>
      </c>
      <c r="GU5" s="62"/>
      <c r="GV5" s="61" t="s">
        <v>2</v>
      </c>
      <c r="GW5" s="61" t="s">
        <v>2</v>
      </c>
      <c r="GX5" s="61" t="s">
        <v>2</v>
      </c>
      <c r="GY5" s="61" t="s">
        <v>2</v>
      </c>
      <c r="GZ5" s="61" t="s">
        <v>2</v>
      </c>
      <c r="HA5" s="63"/>
      <c r="HB5" s="61" t="s">
        <v>2</v>
      </c>
      <c r="HC5" s="62"/>
      <c r="HD5" s="63"/>
      <c r="HE5" s="61" t="s">
        <v>2</v>
      </c>
      <c r="HF5" s="61" t="s">
        <v>2</v>
      </c>
      <c r="HG5" s="61" t="s">
        <v>2</v>
      </c>
      <c r="HH5" s="62"/>
      <c r="HI5" s="61" t="s">
        <v>2</v>
      </c>
      <c r="HJ5" s="63"/>
      <c r="HK5" s="61" t="s">
        <v>2</v>
      </c>
      <c r="HL5" s="63"/>
      <c r="HM5" s="63"/>
      <c r="HN5" s="61" t="s">
        <v>2</v>
      </c>
      <c r="HO5" s="63"/>
      <c r="HP5" s="61" t="s">
        <v>2</v>
      </c>
      <c r="HQ5" s="61" t="s">
        <v>2</v>
      </c>
      <c r="HR5" s="61" t="s">
        <v>2</v>
      </c>
      <c r="HS5" s="62"/>
      <c r="HT5" s="61" t="s">
        <v>2</v>
      </c>
      <c r="HU5" s="62"/>
      <c r="HV5" s="63"/>
      <c r="HW5" s="61" t="s">
        <v>2</v>
      </c>
      <c r="HX5" s="61" t="s">
        <v>2</v>
      </c>
      <c r="HY5" s="17" t="s">
        <v>870</v>
      </c>
      <c r="HZ5" s="17" t="s">
        <v>870</v>
      </c>
      <c r="IA5" s="61" t="s">
        <v>2</v>
      </c>
      <c r="IB5" s="63"/>
      <c r="IC5" s="62"/>
      <c r="ID5" s="61" t="s">
        <v>2</v>
      </c>
      <c r="IE5" s="63"/>
      <c r="IF5" s="61" t="s">
        <v>2</v>
      </c>
      <c r="IG5" s="61" t="s">
        <v>2</v>
      </c>
      <c r="IH5" s="61" t="s">
        <v>2</v>
      </c>
      <c r="II5" s="63"/>
      <c r="IJ5" s="61" t="s">
        <v>2</v>
      </c>
      <c r="IK5" s="61" t="s">
        <v>2</v>
      </c>
      <c r="IL5" s="61" t="s">
        <v>2</v>
      </c>
      <c r="IM5" s="61" t="s">
        <v>2</v>
      </c>
      <c r="IN5" s="62"/>
      <c r="IO5" s="61" t="s">
        <v>2</v>
      </c>
      <c r="IP5" s="63"/>
      <c r="IQ5" s="17" t="s">
        <v>870</v>
      </c>
      <c r="IR5" s="17" t="s">
        <v>870</v>
      </c>
      <c r="IS5" s="63"/>
      <c r="IT5" s="61" t="s">
        <v>2</v>
      </c>
      <c r="IU5" s="61" t="s">
        <v>2</v>
      </c>
      <c r="IV5" s="63"/>
      <c r="IW5" s="63"/>
      <c r="IX5" s="61" t="s">
        <v>2</v>
      </c>
      <c r="IY5" s="61" t="s">
        <v>2</v>
      </c>
      <c r="IZ5" s="63"/>
      <c r="JA5" s="62"/>
      <c r="JB5" s="61" t="s">
        <v>2</v>
      </c>
      <c r="JC5" s="62"/>
      <c r="JD5" s="61" t="s">
        <v>2</v>
      </c>
      <c r="JE5" s="61" t="s">
        <v>2</v>
      </c>
      <c r="JF5" s="61" t="s">
        <v>2</v>
      </c>
      <c r="JG5" s="61" t="s">
        <v>2</v>
      </c>
      <c r="JH5" s="61" t="s">
        <v>2</v>
      </c>
      <c r="JI5" s="61" t="s">
        <v>2</v>
      </c>
      <c r="JJ5" s="63"/>
      <c r="JK5" s="61" t="s">
        <v>2</v>
      </c>
      <c r="JL5" s="63"/>
      <c r="JM5" s="63"/>
      <c r="JN5" s="62"/>
      <c r="JO5" s="17" t="s">
        <v>870</v>
      </c>
      <c r="JP5" s="17" t="s">
        <v>870</v>
      </c>
      <c r="JQ5" s="17" t="s">
        <v>870</v>
      </c>
      <c r="JR5" s="17" t="s">
        <v>870</v>
      </c>
      <c r="JS5" s="61" t="s">
        <v>2</v>
      </c>
      <c r="JT5" s="61" t="s">
        <v>2</v>
      </c>
    </row>
    <row r="6" spans="1:298" x14ac:dyDescent="0.25">
      <c r="A6" t="s">
        <v>10</v>
      </c>
      <c r="B6" s="62"/>
      <c r="C6" s="63"/>
      <c r="D6" s="62"/>
      <c r="E6" s="61" t="s">
        <v>2</v>
      </c>
      <c r="F6" s="63"/>
      <c r="G6" s="63"/>
      <c r="H6" s="61" t="s">
        <v>2</v>
      </c>
      <c r="I6" s="61" t="s">
        <v>2</v>
      </c>
      <c r="J6" s="62"/>
      <c r="K6" s="63"/>
      <c r="L6" s="63"/>
      <c r="M6" s="61" t="s">
        <v>2</v>
      </c>
      <c r="N6" s="62"/>
      <c r="O6" s="63"/>
      <c r="P6" s="61" t="s">
        <v>2</v>
      </c>
      <c r="Q6" s="63"/>
      <c r="R6" s="62"/>
      <c r="S6" s="61" t="s">
        <v>2</v>
      </c>
      <c r="T6" s="61" t="s">
        <v>2</v>
      </c>
      <c r="U6" s="17" t="s">
        <v>870</v>
      </c>
      <c r="V6" s="63"/>
      <c r="W6" s="63"/>
      <c r="X6" s="63"/>
      <c r="Y6" s="63"/>
      <c r="Z6" s="61" t="s">
        <v>2</v>
      </c>
      <c r="AA6" s="62"/>
      <c r="AB6" s="62"/>
      <c r="AC6" s="17" t="s">
        <v>870</v>
      </c>
      <c r="AD6" s="17" t="s">
        <v>870</v>
      </c>
      <c r="AE6" s="61" t="s">
        <v>2</v>
      </c>
      <c r="AF6" s="62"/>
      <c r="AG6" s="62"/>
      <c r="AH6" s="61" t="s">
        <v>2</v>
      </c>
      <c r="AI6" s="61" t="s">
        <v>2</v>
      </c>
      <c r="AJ6" s="61" t="s">
        <v>2</v>
      </c>
      <c r="AK6" s="63"/>
      <c r="AL6" s="63"/>
      <c r="AM6" s="62"/>
      <c r="AN6" s="63"/>
      <c r="AO6" s="61" t="s">
        <v>2</v>
      </c>
      <c r="AP6" s="63"/>
      <c r="AQ6" s="62"/>
      <c r="AR6" s="62"/>
      <c r="AS6" s="61" t="s">
        <v>2</v>
      </c>
      <c r="AT6" s="63"/>
      <c r="AU6" s="61" t="s">
        <v>2</v>
      </c>
      <c r="AV6" s="63"/>
      <c r="AW6" s="62"/>
      <c r="AX6" s="61" t="s">
        <v>2</v>
      </c>
      <c r="AY6" s="61" t="s">
        <v>2</v>
      </c>
      <c r="AZ6" s="62"/>
      <c r="BA6" s="63"/>
      <c r="BB6" s="62"/>
      <c r="BC6" s="61" t="s">
        <v>2</v>
      </c>
      <c r="BD6" s="63"/>
      <c r="BE6" s="63"/>
      <c r="BF6" s="61" t="s">
        <v>2</v>
      </c>
      <c r="BG6" s="63"/>
      <c r="BH6" s="63"/>
      <c r="BI6" s="61" t="s">
        <v>2</v>
      </c>
      <c r="BJ6" s="63"/>
      <c r="BK6" s="63"/>
      <c r="BL6" s="61" t="s">
        <v>2</v>
      </c>
      <c r="BM6" s="63"/>
      <c r="BN6" s="63"/>
      <c r="BO6" s="63"/>
      <c r="BP6" s="63"/>
      <c r="BQ6" s="62"/>
      <c r="BR6" s="63"/>
      <c r="BS6" s="61" t="s">
        <v>2</v>
      </c>
      <c r="BT6" s="63"/>
      <c r="BU6" s="63"/>
      <c r="BV6" s="63"/>
      <c r="BW6" s="61" t="s">
        <v>2</v>
      </c>
      <c r="BX6" s="17" t="s">
        <v>870</v>
      </c>
      <c r="BY6" s="17" t="s">
        <v>870</v>
      </c>
      <c r="BZ6" s="62"/>
      <c r="CA6" s="63"/>
      <c r="CB6" s="63"/>
      <c r="CC6" s="62"/>
      <c r="CD6" s="63"/>
      <c r="CE6" s="62"/>
      <c r="CF6" s="63"/>
      <c r="CG6" s="61" t="s">
        <v>2</v>
      </c>
      <c r="CH6" s="61" t="s">
        <v>2</v>
      </c>
      <c r="CI6" s="63"/>
      <c r="CJ6" s="62"/>
      <c r="CK6" s="61" t="s">
        <v>2</v>
      </c>
      <c r="CL6" s="61" t="s">
        <v>2</v>
      </c>
      <c r="CM6" s="61" t="s">
        <v>2</v>
      </c>
      <c r="CN6" s="61" t="s">
        <v>2</v>
      </c>
      <c r="CO6" s="61" t="s">
        <v>2</v>
      </c>
      <c r="CP6" s="62"/>
      <c r="CQ6" s="62"/>
      <c r="CR6" s="61" t="s">
        <v>2</v>
      </c>
      <c r="CS6" s="63"/>
      <c r="CT6" s="61" t="s">
        <v>2</v>
      </c>
      <c r="CU6" s="61" t="s">
        <v>2</v>
      </c>
      <c r="CV6" s="17" t="s">
        <v>870</v>
      </c>
      <c r="CW6" s="17" t="s">
        <v>870</v>
      </c>
      <c r="CX6" s="17" t="s">
        <v>870</v>
      </c>
      <c r="CY6" s="17" t="s">
        <v>870</v>
      </c>
      <c r="CZ6" s="63"/>
      <c r="DA6" s="63"/>
      <c r="DB6" s="63"/>
      <c r="DC6" s="61" t="s">
        <v>2</v>
      </c>
      <c r="DD6" s="63"/>
      <c r="DE6" s="61" t="s">
        <v>2</v>
      </c>
      <c r="DF6" s="61" t="s">
        <v>2</v>
      </c>
      <c r="DG6" s="61" t="s">
        <v>2</v>
      </c>
      <c r="DH6" s="61" t="s">
        <v>2</v>
      </c>
      <c r="DI6" s="63"/>
      <c r="DJ6" s="61" t="s">
        <v>2</v>
      </c>
      <c r="DK6" s="62"/>
      <c r="DL6" s="61" t="s">
        <v>2</v>
      </c>
      <c r="DM6" s="63"/>
      <c r="DN6" s="63"/>
      <c r="DO6" s="61" t="s">
        <v>2</v>
      </c>
      <c r="DP6" s="61" t="s">
        <v>2</v>
      </c>
      <c r="DQ6" s="63"/>
      <c r="DR6" s="61" t="s">
        <v>2</v>
      </c>
      <c r="DS6" s="61" t="s">
        <v>2</v>
      </c>
      <c r="DT6" s="63"/>
      <c r="DU6" s="61" t="s">
        <v>2</v>
      </c>
      <c r="DV6" s="63"/>
      <c r="DW6" s="61" t="s">
        <v>2</v>
      </c>
      <c r="DX6" s="61" t="s">
        <v>2</v>
      </c>
      <c r="DY6" s="62"/>
      <c r="DZ6" s="63"/>
      <c r="EA6" s="63"/>
      <c r="EB6" s="17" t="s">
        <v>870</v>
      </c>
      <c r="EC6" s="63"/>
      <c r="ED6" s="63"/>
      <c r="EE6" s="63"/>
      <c r="EF6" s="63"/>
      <c r="EG6" s="63"/>
      <c r="EH6" s="63"/>
      <c r="EI6" s="61" t="s">
        <v>2</v>
      </c>
      <c r="EJ6" s="61" t="s">
        <v>2</v>
      </c>
      <c r="EK6" s="63"/>
      <c r="EL6" s="61" t="s">
        <v>2</v>
      </c>
      <c r="EM6" s="62"/>
      <c r="EN6" s="17" t="s">
        <v>870</v>
      </c>
      <c r="EO6" s="17" t="s">
        <v>870</v>
      </c>
      <c r="EP6" s="61" t="s">
        <v>2</v>
      </c>
      <c r="EQ6" s="63"/>
      <c r="ER6" s="62"/>
      <c r="ES6" s="61" t="s">
        <v>2</v>
      </c>
      <c r="ET6" s="63"/>
      <c r="EU6" s="63"/>
      <c r="EV6" s="63"/>
      <c r="EW6" s="63"/>
      <c r="EX6" s="63"/>
      <c r="EY6" s="61" t="s">
        <v>2</v>
      </c>
      <c r="EZ6" s="62"/>
      <c r="FA6" s="61" t="s">
        <v>2</v>
      </c>
      <c r="FB6" s="61" t="s">
        <v>2</v>
      </c>
      <c r="FC6" s="61" t="s">
        <v>2</v>
      </c>
      <c r="FD6" s="61" t="s">
        <v>2</v>
      </c>
      <c r="FE6" s="62"/>
      <c r="FF6" s="63"/>
      <c r="FG6" s="63"/>
      <c r="FH6" s="61" t="s">
        <v>2</v>
      </c>
      <c r="FI6" s="61" t="s">
        <v>2</v>
      </c>
      <c r="FJ6" s="62"/>
      <c r="FK6" s="62"/>
      <c r="FL6" s="61" t="s">
        <v>2</v>
      </c>
      <c r="FM6" s="61" t="s">
        <v>2</v>
      </c>
      <c r="FN6" s="62"/>
      <c r="FO6" s="61" t="s">
        <v>2</v>
      </c>
      <c r="FP6" s="61" t="s">
        <v>2</v>
      </c>
      <c r="FQ6" s="61" t="s">
        <v>2</v>
      </c>
      <c r="FR6" s="61" t="s">
        <v>2</v>
      </c>
      <c r="FS6" s="62"/>
      <c r="FT6" s="63"/>
      <c r="FU6" s="63"/>
      <c r="FV6" s="63"/>
      <c r="FW6" s="63"/>
      <c r="FX6" s="63"/>
      <c r="FY6" s="62"/>
      <c r="FZ6" s="62"/>
      <c r="GA6" s="62"/>
      <c r="GB6" s="61" t="s">
        <v>2</v>
      </c>
      <c r="GC6" s="62"/>
      <c r="GD6" s="17" t="s">
        <v>870</v>
      </c>
      <c r="GE6" s="17" t="s">
        <v>870</v>
      </c>
      <c r="GF6" s="61" t="s">
        <v>2</v>
      </c>
      <c r="GG6" s="61" t="s">
        <v>2</v>
      </c>
      <c r="GH6" s="61" t="s">
        <v>2</v>
      </c>
      <c r="GI6" s="17" t="s">
        <v>870</v>
      </c>
      <c r="GJ6" s="63"/>
      <c r="GK6" s="62"/>
      <c r="GL6" s="63"/>
      <c r="GM6" s="62"/>
      <c r="GN6" s="62"/>
      <c r="GO6" s="61" t="s">
        <v>2</v>
      </c>
      <c r="GP6" s="61" t="s">
        <v>2</v>
      </c>
      <c r="GQ6" s="61" t="s">
        <v>2</v>
      </c>
      <c r="GR6" s="61" t="s">
        <v>2</v>
      </c>
      <c r="GS6" s="63"/>
      <c r="GT6" s="61" t="s">
        <v>2</v>
      </c>
      <c r="GU6" s="17" t="s">
        <v>870</v>
      </c>
      <c r="GV6" s="17" t="s">
        <v>870</v>
      </c>
      <c r="GW6" s="17" t="s">
        <v>870</v>
      </c>
      <c r="GX6" s="61" t="s">
        <v>2</v>
      </c>
      <c r="GY6" s="62"/>
      <c r="GZ6" s="62"/>
      <c r="HA6" s="62"/>
      <c r="HB6" s="61" t="s">
        <v>2</v>
      </c>
      <c r="HC6" s="63"/>
      <c r="HD6" s="63"/>
      <c r="HE6" s="63"/>
      <c r="HF6" s="62"/>
      <c r="HG6" s="17" t="s">
        <v>870</v>
      </c>
      <c r="HH6" s="62"/>
      <c r="HI6" s="63"/>
      <c r="HJ6" s="61" t="s">
        <v>2</v>
      </c>
      <c r="HK6" s="63"/>
      <c r="HL6" s="61" t="s">
        <v>2</v>
      </c>
      <c r="HM6" s="63"/>
      <c r="HN6" s="62"/>
      <c r="HO6" s="63"/>
      <c r="HP6" s="61" t="s">
        <v>2</v>
      </c>
      <c r="HQ6" s="17" t="s">
        <v>870</v>
      </c>
      <c r="HR6" s="17" t="s">
        <v>870</v>
      </c>
      <c r="HS6" s="63"/>
      <c r="HT6" s="61" t="s">
        <v>2</v>
      </c>
      <c r="HU6" s="17" t="s">
        <v>870</v>
      </c>
      <c r="HV6" s="17" t="s">
        <v>870</v>
      </c>
      <c r="HW6" s="63"/>
      <c r="HX6" s="62"/>
      <c r="HY6" s="62"/>
      <c r="HZ6" s="61" t="s">
        <v>2</v>
      </c>
      <c r="IA6" s="61" t="s">
        <v>2</v>
      </c>
      <c r="IB6" s="63"/>
      <c r="IC6" s="61" t="s">
        <v>2</v>
      </c>
      <c r="ID6" s="62"/>
      <c r="IE6" s="63"/>
      <c r="IF6" s="62"/>
      <c r="IG6" s="63"/>
      <c r="IH6" s="63"/>
      <c r="II6" s="61" t="s">
        <v>2</v>
      </c>
      <c r="IJ6" s="62"/>
      <c r="IK6" s="61" t="s">
        <v>2</v>
      </c>
      <c r="IL6" s="62"/>
      <c r="IM6" s="17" t="s">
        <v>870</v>
      </c>
      <c r="IN6" s="17" t="s">
        <v>870</v>
      </c>
      <c r="IO6" s="17" t="s">
        <v>870</v>
      </c>
      <c r="IP6" s="17" t="s">
        <v>870</v>
      </c>
      <c r="IQ6" s="17" t="s">
        <v>870</v>
      </c>
      <c r="IR6" s="17" t="s">
        <v>870</v>
      </c>
      <c r="IS6" s="63"/>
      <c r="IT6" s="61" t="s">
        <v>2</v>
      </c>
      <c r="IU6" s="17" t="s">
        <v>870</v>
      </c>
      <c r="IV6" s="63"/>
      <c r="IW6" s="63"/>
      <c r="IX6" s="62"/>
      <c r="IY6" s="63"/>
      <c r="IZ6" s="61" t="s">
        <v>2</v>
      </c>
      <c r="JA6" s="17" t="s">
        <v>870</v>
      </c>
      <c r="JB6" s="17" t="s">
        <v>870</v>
      </c>
      <c r="JC6" s="63"/>
      <c r="JD6" s="63"/>
      <c r="JE6" s="61" t="s">
        <v>2</v>
      </c>
      <c r="JF6" s="61" t="s">
        <v>2</v>
      </c>
      <c r="JG6" s="17" t="s">
        <v>870</v>
      </c>
      <c r="JH6" s="17" t="s">
        <v>870</v>
      </c>
      <c r="JI6" s="63"/>
      <c r="JJ6" s="61" t="s">
        <v>2</v>
      </c>
      <c r="JK6" s="63"/>
      <c r="JL6" s="63"/>
      <c r="JM6" s="17" t="s">
        <v>870</v>
      </c>
      <c r="JN6" s="17" t="s">
        <v>870</v>
      </c>
      <c r="JO6" s="17" t="s">
        <v>870</v>
      </c>
      <c r="JP6" s="17" t="s">
        <v>870</v>
      </c>
      <c r="JQ6" s="61" t="s">
        <v>2</v>
      </c>
      <c r="JR6" s="63"/>
    </row>
    <row r="7" spans="1:298" x14ac:dyDescent="0.25">
      <c r="A7" t="s">
        <v>30</v>
      </c>
      <c r="B7" s="17" t="s">
        <v>870</v>
      </c>
      <c r="C7" s="17" t="s">
        <v>870</v>
      </c>
      <c r="D7" s="17" t="s">
        <v>870</v>
      </c>
      <c r="E7" s="17" t="s">
        <v>870</v>
      </c>
      <c r="F7" s="17" t="s">
        <v>870</v>
      </c>
      <c r="G7" s="17" t="s">
        <v>870</v>
      </c>
      <c r="H7" s="17" t="s">
        <v>870</v>
      </c>
      <c r="I7" s="17" t="s">
        <v>870</v>
      </c>
      <c r="J7" s="17" t="s">
        <v>870</v>
      </c>
      <c r="K7" s="17" t="s">
        <v>870</v>
      </c>
      <c r="L7" s="17" t="s">
        <v>870</v>
      </c>
      <c r="M7" s="17" t="s">
        <v>870</v>
      </c>
      <c r="N7" s="17" t="s">
        <v>870</v>
      </c>
      <c r="O7" s="17" t="s">
        <v>870</v>
      </c>
      <c r="P7" s="17" t="s">
        <v>870</v>
      </c>
      <c r="Q7" s="17" t="s">
        <v>870</v>
      </c>
      <c r="R7" s="17" t="s">
        <v>870</v>
      </c>
      <c r="S7" s="17" t="s">
        <v>870</v>
      </c>
      <c r="T7" s="17" t="s">
        <v>870</v>
      </c>
      <c r="U7" s="17" t="s">
        <v>870</v>
      </c>
      <c r="V7" s="17" t="s">
        <v>870</v>
      </c>
      <c r="W7" s="17" t="s">
        <v>870</v>
      </c>
      <c r="X7" s="17" t="s">
        <v>870</v>
      </c>
      <c r="Y7" s="17" t="s">
        <v>870</v>
      </c>
      <c r="Z7" s="17" t="s">
        <v>870</v>
      </c>
      <c r="AA7" s="17" t="s">
        <v>870</v>
      </c>
      <c r="AB7" s="17" t="s">
        <v>870</v>
      </c>
      <c r="AC7" s="17" t="s">
        <v>870</v>
      </c>
      <c r="AD7" s="17" t="s">
        <v>870</v>
      </c>
      <c r="AE7" s="17" t="s">
        <v>870</v>
      </c>
      <c r="AF7" s="17" t="s">
        <v>870</v>
      </c>
      <c r="AG7" s="17" t="s">
        <v>870</v>
      </c>
      <c r="AH7" s="17" t="s">
        <v>870</v>
      </c>
      <c r="AI7" s="17" t="s">
        <v>870</v>
      </c>
      <c r="AJ7" s="17" t="s">
        <v>870</v>
      </c>
      <c r="AK7" s="17" t="s">
        <v>870</v>
      </c>
      <c r="AL7" s="17" t="s">
        <v>870</v>
      </c>
      <c r="AM7" s="17" t="s">
        <v>870</v>
      </c>
      <c r="AN7" s="17" t="s">
        <v>870</v>
      </c>
      <c r="AO7" s="17" t="s">
        <v>870</v>
      </c>
      <c r="AP7" s="17" t="s">
        <v>870</v>
      </c>
      <c r="AQ7" s="17" t="s">
        <v>870</v>
      </c>
      <c r="AR7" s="17" t="s">
        <v>870</v>
      </c>
      <c r="AS7" s="17" t="s">
        <v>870</v>
      </c>
      <c r="AT7" s="17" t="s">
        <v>870</v>
      </c>
      <c r="AU7" s="17" t="s">
        <v>870</v>
      </c>
      <c r="AV7" s="17" t="s">
        <v>870</v>
      </c>
      <c r="AW7" s="17" t="s">
        <v>870</v>
      </c>
      <c r="AX7" s="17" t="s">
        <v>870</v>
      </c>
      <c r="AY7" s="17" t="s">
        <v>870</v>
      </c>
      <c r="AZ7" s="17" t="s">
        <v>870</v>
      </c>
      <c r="BA7" s="17" t="s">
        <v>870</v>
      </c>
      <c r="BB7" s="17" t="s">
        <v>870</v>
      </c>
      <c r="BC7" s="17" t="s">
        <v>870</v>
      </c>
      <c r="BD7" s="17" t="s">
        <v>870</v>
      </c>
      <c r="BE7" s="17" t="s">
        <v>870</v>
      </c>
      <c r="BF7" s="17" t="s">
        <v>870</v>
      </c>
      <c r="BG7" s="17" t="s">
        <v>870</v>
      </c>
      <c r="BH7" s="63"/>
      <c r="BI7" s="63"/>
      <c r="BJ7" s="61" t="s">
        <v>2</v>
      </c>
      <c r="BK7" s="63"/>
      <c r="BL7" s="61" t="s">
        <v>2</v>
      </c>
      <c r="BM7" s="17" t="s">
        <v>870</v>
      </c>
      <c r="BN7" s="17" t="s">
        <v>870</v>
      </c>
      <c r="BO7" s="62"/>
      <c r="BP7" s="17" t="s">
        <v>870</v>
      </c>
      <c r="BQ7" s="17" t="s">
        <v>870</v>
      </c>
      <c r="BR7" s="17" t="s">
        <v>870</v>
      </c>
      <c r="BS7" s="17" t="s">
        <v>870</v>
      </c>
      <c r="BT7" s="63"/>
      <c r="BU7" s="63"/>
      <c r="BV7" s="63"/>
      <c r="BW7" s="63"/>
      <c r="BX7" s="17" t="s">
        <v>870</v>
      </c>
      <c r="BY7" s="17" t="s">
        <v>870</v>
      </c>
      <c r="BZ7" s="63"/>
      <c r="CA7" s="63"/>
      <c r="CB7" s="17" t="s">
        <v>870</v>
      </c>
      <c r="CC7" s="17" t="s">
        <v>870</v>
      </c>
      <c r="CD7" s="61" t="s">
        <v>2</v>
      </c>
      <c r="CE7" s="63"/>
      <c r="CF7" s="17" t="s">
        <v>870</v>
      </c>
      <c r="CG7" s="17" t="s">
        <v>870</v>
      </c>
      <c r="CH7" s="63"/>
      <c r="CI7" s="61" t="s">
        <v>2</v>
      </c>
      <c r="CJ7" s="61" t="s">
        <v>2</v>
      </c>
      <c r="CK7" s="62"/>
      <c r="CL7" s="63"/>
      <c r="CM7" s="63"/>
      <c r="CN7" s="61" t="s">
        <v>2</v>
      </c>
      <c r="CO7" s="61" t="s">
        <v>2</v>
      </c>
      <c r="CP7" s="63"/>
      <c r="CQ7" s="62"/>
      <c r="CR7" s="17" t="s">
        <v>870</v>
      </c>
      <c r="CS7" s="17" t="s">
        <v>870</v>
      </c>
      <c r="CT7" s="61" t="s">
        <v>2</v>
      </c>
      <c r="CU7" s="61" t="s">
        <v>2</v>
      </c>
      <c r="CV7" s="61" t="s">
        <v>2</v>
      </c>
      <c r="CW7" s="63"/>
      <c r="CX7" s="61" t="s">
        <v>2</v>
      </c>
      <c r="CY7" s="61" t="s">
        <v>2</v>
      </c>
      <c r="CZ7" s="61" t="s">
        <v>2</v>
      </c>
      <c r="DA7" s="63"/>
      <c r="DB7" s="62"/>
      <c r="DC7" s="61" t="s">
        <v>2</v>
      </c>
      <c r="DD7" s="61" t="s">
        <v>2</v>
      </c>
      <c r="DE7" s="61" t="s">
        <v>2</v>
      </c>
      <c r="DF7" s="61" t="s">
        <v>2</v>
      </c>
      <c r="DG7" s="62"/>
      <c r="DH7" s="62"/>
      <c r="DI7" s="17" t="s">
        <v>870</v>
      </c>
      <c r="DJ7" s="17" t="s">
        <v>870</v>
      </c>
      <c r="DK7" s="17" t="s">
        <v>870</v>
      </c>
      <c r="DL7" s="17" t="s">
        <v>870</v>
      </c>
      <c r="DM7" s="17" t="s">
        <v>870</v>
      </c>
      <c r="DN7" s="62"/>
      <c r="DO7" s="62"/>
      <c r="DP7" s="61" t="s">
        <v>2</v>
      </c>
      <c r="DQ7" s="61" t="s">
        <v>2</v>
      </c>
      <c r="DR7" s="61" t="s">
        <v>2</v>
      </c>
      <c r="DS7" s="61" t="s">
        <v>2</v>
      </c>
      <c r="DT7" s="61" t="s">
        <v>2</v>
      </c>
      <c r="DU7" s="62"/>
      <c r="DV7" s="61" t="s">
        <v>2</v>
      </c>
      <c r="DW7" s="61" t="s">
        <v>2</v>
      </c>
      <c r="DX7" s="61" t="s">
        <v>2</v>
      </c>
      <c r="DY7" s="62"/>
      <c r="DZ7" s="62"/>
      <c r="EA7" s="61" t="s">
        <v>2</v>
      </c>
      <c r="EB7" s="17" t="s">
        <v>870</v>
      </c>
      <c r="EC7" s="17" t="s">
        <v>870</v>
      </c>
      <c r="ED7" s="17" t="s">
        <v>870</v>
      </c>
      <c r="EE7" s="17" t="s">
        <v>870</v>
      </c>
      <c r="EF7" s="61" t="s">
        <v>2</v>
      </c>
      <c r="EG7" s="63"/>
      <c r="EH7" s="17" t="s">
        <v>870</v>
      </c>
      <c r="EI7" s="17" t="s">
        <v>870</v>
      </c>
      <c r="EJ7" s="63"/>
      <c r="EK7" s="62"/>
      <c r="EL7" s="61" t="s">
        <v>2</v>
      </c>
      <c r="EM7" s="62"/>
      <c r="EN7" s="61" t="s">
        <v>2</v>
      </c>
      <c r="EO7" s="61" t="s">
        <v>2</v>
      </c>
      <c r="EP7" s="17" t="s">
        <v>870</v>
      </c>
      <c r="EQ7" s="17" t="s">
        <v>870</v>
      </c>
      <c r="ER7" s="63"/>
      <c r="ES7" s="61" t="s">
        <v>2</v>
      </c>
      <c r="ET7" s="61" t="s">
        <v>2</v>
      </c>
      <c r="EU7" s="61" t="s">
        <v>2</v>
      </c>
      <c r="EV7" s="63"/>
      <c r="EW7" s="62"/>
      <c r="EX7" s="61" t="s">
        <v>2</v>
      </c>
      <c r="EY7" s="63"/>
      <c r="EZ7" s="63"/>
      <c r="FA7" s="62"/>
      <c r="FB7" s="61" t="s">
        <v>2</v>
      </c>
      <c r="FC7" s="63"/>
      <c r="FD7" s="61" t="s">
        <v>2</v>
      </c>
      <c r="FE7" s="61" t="s">
        <v>2</v>
      </c>
      <c r="FF7" s="61" t="s">
        <v>2</v>
      </c>
      <c r="FG7" s="62"/>
      <c r="FH7" s="61" t="s">
        <v>2</v>
      </c>
      <c r="FI7" s="61" t="s">
        <v>2</v>
      </c>
      <c r="FJ7" s="63"/>
      <c r="FK7" s="63"/>
      <c r="FL7" s="63"/>
      <c r="FM7" s="62"/>
      <c r="FN7" s="63"/>
      <c r="FO7" s="61" t="s">
        <v>2</v>
      </c>
      <c r="FP7" s="62"/>
      <c r="FQ7" s="63"/>
      <c r="FR7" s="61" t="s">
        <v>2</v>
      </c>
      <c r="FS7" s="61" t="s">
        <v>2</v>
      </c>
      <c r="FT7" s="63"/>
      <c r="FU7" s="63"/>
      <c r="FV7" s="61" t="s">
        <v>2</v>
      </c>
      <c r="FW7" s="63"/>
      <c r="FX7" s="61" t="s">
        <v>2</v>
      </c>
      <c r="FY7" s="61" t="s">
        <v>2</v>
      </c>
      <c r="FZ7" s="61" t="s">
        <v>2</v>
      </c>
      <c r="GA7" s="61" t="s">
        <v>2</v>
      </c>
      <c r="GB7" s="62"/>
      <c r="GC7" s="61" t="s">
        <v>2</v>
      </c>
      <c r="GD7" s="62"/>
      <c r="GE7" s="61" t="s">
        <v>2</v>
      </c>
      <c r="GF7" s="61" t="s">
        <v>2</v>
      </c>
      <c r="GG7" s="61" t="s">
        <v>2</v>
      </c>
      <c r="GH7" s="61" t="s">
        <v>2</v>
      </c>
      <c r="GI7" s="61" t="s">
        <v>2</v>
      </c>
      <c r="GJ7" s="63"/>
      <c r="GK7" s="61" t="s">
        <v>2</v>
      </c>
      <c r="GL7" s="61" t="s">
        <v>2</v>
      </c>
      <c r="GM7" s="61" t="s">
        <v>2</v>
      </c>
      <c r="GN7" s="62"/>
      <c r="GO7" s="61" t="s">
        <v>2</v>
      </c>
      <c r="GP7" s="62"/>
      <c r="GQ7" s="17" t="s">
        <v>870</v>
      </c>
      <c r="GR7" s="62"/>
      <c r="GS7" s="61" t="s">
        <v>2</v>
      </c>
      <c r="GT7" s="62"/>
      <c r="GU7" s="61" t="s">
        <v>2</v>
      </c>
      <c r="GV7" s="61" t="s">
        <v>2</v>
      </c>
      <c r="GW7" s="62"/>
      <c r="GX7" s="61" t="s">
        <v>2</v>
      </c>
      <c r="GY7" s="61" t="s">
        <v>2</v>
      </c>
      <c r="GZ7" s="62"/>
      <c r="HA7" s="61" t="s">
        <v>2</v>
      </c>
      <c r="HB7" s="62"/>
      <c r="HC7" s="62"/>
      <c r="HD7" s="62"/>
      <c r="HE7" s="62"/>
      <c r="HF7" s="61" t="s">
        <v>2</v>
      </c>
      <c r="HG7" s="61" t="s">
        <v>2</v>
      </c>
      <c r="HH7" s="17" t="s">
        <v>870</v>
      </c>
      <c r="HI7" s="17" t="s">
        <v>870</v>
      </c>
      <c r="HJ7" s="63"/>
      <c r="HK7" s="62"/>
      <c r="HL7" s="61" t="s">
        <v>2</v>
      </c>
      <c r="HM7" s="63"/>
      <c r="HN7" s="62"/>
      <c r="HO7" s="63"/>
      <c r="HP7" s="61" t="s">
        <v>2</v>
      </c>
      <c r="HQ7" s="63"/>
      <c r="HR7" s="61" t="s">
        <v>2</v>
      </c>
      <c r="HS7" s="63"/>
      <c r="HT7" s="61" t="s">
        <v>2</v>
      </c>
      <c r="HU7" s="61" t="s">
        <v>2</v>
      </c>
      <c r="HV7" s="61" t="s">
        <v>2</v>
      </c>
      <c r="HW7" s="62"/>
      <c r="HX7" s="62"/>
      <c r="HY7" s="63"/>
      <c r="HZ7" s="63"/>
      <c r="IA7" s="63"/>
      <c r="IB7" s="61" t="s">
        <v>2</v>
      </c>
      <c r="IC7" s="61" t="s">
        <v>2</v>
      </c>
      <c r="ID7" s="62"/>
      <c r="IE7" s="63"/>
      <c r="IF7" s="61" t="s">
        <v>2</v>
      </c>
      <c r="IG7" s="62"/>
      <c r="IH7" s="61" t="s">
        <v>2</v>
      </c>
      <c r="II7" s="61" t="s">
        <v>2</v>
      </c>
      <c r="IJ7" s="62"/>
      <c r="IK7" s="63"/>
      <c r="IL7" s="62"/>
      <c r="IM7" s="62"/>
      <c r="IN7" s="17" t="s">
        <v>870</v>
      </c>
      <c r="IO7" s="63"/>
      <c r="IP7" s="17" t="s">
        <v>870</v>
      </c>
      <c r="IQ7" s="61" t="s">
        <v>2</v>
      </c>
      <c r="IR7" s="61" t="s">
        <v>2</v>
      </c>
      <c r="IS7" s="62"/>
      <c r="IT7" s="61" t="s">
        <v>2</v>
      </c>
      <c r="IU7" s="61" t="s">
        <v>2</v>
      </c>
      <c r="IV7" s="62"/>
      <c r="IW7" s="61" t="s">
        <v>2</v>
      </c>
      <c r="IX7" s="61" t="s">
        <v>2</v>
      </c>
      <c r="IY7" s="63"/>
      <c r="IZ7" s="61" t="s">
        <v>2</v>
      </c>
      <c r="JA7" s="61" t="s">
        <v>2</v>
      </c>
      <c r="JB7" s="63"/>
      <c r="JC7" s="62"/>
      <c r="JD7" s="61" t="s">
        <v>2</v>
      </c>
      <c r="JE7" s="63"/>
      <c r="JF7" s="62"/>
      <c r="JG7" s="63"/>
      <c r="JH7" s="63"/>
      <c r="JI7" s="61" t="s">
        <v>2</v>
      </c>
      <c r="JJ7" s="63"/>
      <c r="JK7" s="61" t="s">
        <v>2</v>
      </c>
      <c r="JL7" s="63"/>
      <c r="JM7" s="62"/>
      <c r="JN7" s="61" t="s">
        <v>2</v>
      </c>
      <c r="JO7" s="61" t="s">
        <v>2</v>
      </c>
      <c r="JP7" s="61" t="s">
        <v>2</v>
      </c>
      <c r="JQ7" s="62"/>
      <c r="JR7" s="61" t="s">
        <v>2</v>
      </c>
      <c r="JS7" s="61" t="s">
        <v>2</v>
      </c>
      <c r="JT7" s="61" t="s">
        <v>2</v>
      </c>
    </row>
    <row r="8" spans="1:298" x14ac:dyDescent="0.25">
      <c r="A8" t="s">
        <v>39</v>
      </c>
      <c r="B8" s="17" t="s">
        <v>870</v>
      </c>
      <c r="C8" s="17" t="s">
        <v>870</v>
      </c>
      <c r="D8" s="17" t="s">
        <v>870</v>
      </c>
      <c r="E8" s="17" t="s">
        <v>870</v>
      </c>
      <c r="F8" s="17" t="s">
        <v>870</v>
      </c>
      <c r="G8" s="17" t="s">
        <v>870</v>
      </c>
      <c r="H8" s="17" t="s">
        <v>870</v>
      </c>
      <c r="I8" s="17" t="s">
        <v>870</v>
      </c>
      <c r="J8" s="17" t="s">
        <v>870</v>
      </c>
      <c r="K8" s="17" t="s">
        <v>870</v>
      </c>
      <c r="L8" s="17" t="s">
        <v>870</v>
      </c>
      <c r="M8" s="17" t="s">
        <v>870</v>
      </c>
      <c r="N8" s="17" t="s">
        <v>870</v>
      </c>
      <c r="O8" s="17" t="s">
        <v>870</v>
      </c>
      <c r="P8" s="17" t="s">
        <v>870</v>
      </c>
      <c r="Q8" s="17" t="s">
        <v>870</v>
      </c>
      <c r="R8" s="17" t="s">
        <v>870</v>
      </c>
      <c r="S8" s="17" t="s">
        <v>870</v>
      </c>
      <c r="T8" s="17" t="s">
        <v>870</v>
      </c>
      <c r="U8" s="17" t="s">
        <v>870</v>
      </c>
      <c r="V8" s="17" t="s">
        <v>870</v>
      </c>
      <c r="W8" s="17" t="s">
        <v>870</v>
      </c>
      <c r="X8" s="17" t="s">
        <v>870</v>
      </c>
      <c r="Y8" s="17" t="s">
        <v>870</v>
      </c>
      <c r="Z8" s="17" t="s">
        <v>870</v>
      </c>
      <c r="AA8" s="17" t="s">
        <v>870</v>
      </c>
      <c r="AB8" s="17" t="s">
        <v>870</v>
      </c>
      <c r="AC8" s="17" t="s">
        <v>870</v>
      </c>
      <c r="AD8" s="17" t="s">
        <v>870</v>
      </c>
      <c r="AE8" s="17" t="s">
        <v>870</v>
      </c>
      <c r="AF8" s="17" t="s">
        <v>870</v>
      </c>
      <c r="AG8" s="17" t="s">
        <v>870</v>
      </c>
      <c r="AH8" s="17" t="s">
        <v>870</v>
      </c>
      <c r="AI8" s="17" t="s">
        <v>870</v>
      </c>
      <c r="AJ8" s="17" t="s">
        <v>870</v>
      </c>
      <c r="AK8" s="17" t="s">
        <v>870</v>
      </c>
      <c r="AL8" s="17" t="s">
        <v>870</v>
      </c>
      <c r="AM8" s="17" t="s">
        <v>870</v>
      </c>
      <c r="AN8" s="17" t="s">
        <v>870</v>
      </c>
      <c r="AO8" s="17" t="s">
        <v>870</v>
      </c>
      <c r="AP8" s="17" t="s">
        <v>870</v>
      </c>
      <c r="AQ8" s="17" t="s">
        <v>870</v>
      </c>
      <c r="AR8" s="17" t="s">
        <v>870</v>
      </c>
      <c r="AS8" s="17" t="s">
        <v>870</v>
      </c>
      <c r="AT8" s="17" t="s">
        <v>870</v>
      </c>
      <c r="AU8" s="17" t="s">
        <v>870</v>
      </c>
      <c r="AV8" s="17" t="s">
        <v>870</v>
      </c>
      <c r="AW8" s="17" t="s">
        <v>870</v>
      </c>
      <c r="AX8" s="17" t="s">
        <v>870</v>
      </c>
      <c r="AY8" s="17" t="s">
        <v>870</v>
      </c>
      <c r="AZ8" s="17" t="s">
        <v>870</v>
      </c>
      <c r="BA8" s="17" t="s">
        <v>870</v>
      </c>
      <c r="BB8" s="17" t="s">
        <v>870</v>
      </c>
      <c r="BC8" s="17" t="s">
        <v>870</v>
      </c>
      <c r="BD8" s="17" t="s">
        <v>870</v>
      </c>
      <c r="BE8" s="17" t="s">
        <v>870</v>
      </c>
      <c r="BF8" s="63"/>
      <c r="BG8" s="61" t="s">
        <v>2</v>
      </c>
      <c r="BH8" s="17" t="s">
        <v>870</v>
      </c>
      <c r="BI8" s="17" t="s">
        <v>870</v>
      </c>
      <c r="BJ8" s="61" t="s">
        <v>2</v>
      </c>
      <c r="BK8" s="61" t="s">
        <v>2</v>
      </c>
      <c r="BL8" s="61" t="s">
        <v>2</v>
      </c>
      <c r="BM8" s="63"/>
      <c r="BN8" s="61" t="s">
        <v>2</v>
      </c>
      <c r="BO8" s="63"/>
      <c r="BP8" s="61" t="s">
        <v>2</v>
      </c>
      <c r="BQ8" s="61" t="s">
        <v>2</v>
      </c>
      <c r="BR8" s="63"/>
      <c r="BS8" s="63"/>
      <c r="BT8" s="62"/>
      <c r="BU8" s="61" t="s">
        <v>2</v>
      </c>
      <c r="BV8" s="62"/>
      <c r="BW8" s="61" t="s">
        <v>2</v>
      </c>
      <c r="BX8" s="17" t="s">
        <v>870</v>
      </c>
      <c r="BY8" s="17" t="s">
        <v>870</v>
      </c>
      <c r="BZ8" s="61" t="s">
        <v>2</v>
      </c>
      <c r="CA8" s="61" t="s">
        <v>2</v>
      </c>
      <c r="CB8" s="61" t="s">
        <v>2</v>
      </c>
      <c r="CC8" s="63"/>
      <c r="CD8" s="62"/>
      <c r="CE8" s="63"/>
      <c r="CF8" s="63"/>
      <c r="CG8" s="62"/>
      <c r="CH8" s="61" t="s">
        <v>2</v>
      </c>
      <c r="CI8" s="62"/>
      <c r="CJ8" s="61" t="s">
        <v>2</v>
      </c>
      <c r="CK8" s="63"/>
      <c r="CL8" s="62"/>
      <c r="CM8" s="62"/>
      <c r="CN8" s="61" t="s">
        <v>2</v>
      </c>
      <c r="CO8" s="61" t="s">
        <v>2</v>
      </c>
      <c r="CP8" s="63"/>
      <c r="CQ8" s="63"/>
      <c r="CR8" s="61" t="s">
        <v>2</v>
      </c>
      <c r="CS8" s="61" t="s">
        <v>2</v>
      </c>
      <c r="CT8" s="61" t="s">
        <v>2</v>
      </c>
      <c r="CU8" s="61" t="s">
        <v>2</v>
      </c>
      <c r="CV8" s="63"/>
      <c r="CW8" s="61" t="s">
        <v>2</v>
      </c>
      <c r="CX8" s="63"/>
      <c r="CY8" s="63"/>
      <c r="CZ8" s="62"/>
      <c r="DA8" s="61" t="s">
        <v>2</v>
      </c>
      <c r="DB8" s="17" t="s">
        <v>870</v>
      </c>
      <c r="DC8" s="17" t="s">
        <v>870</v>
      </c>
      <c r="DD8" s="17" t="s">
        <v>870</v>
      </c>
      <c r="DE8" s="17" t="s">
        <v>870</v>
      </c>
      <c r="DF8" s="17" t="s">
        <v>870</v>
      </c>
      <c r="DG8" s="17" t="s">
        <v>870</v>
      </c>
      <c r="DH8" s="17" t="s">
        <v>870</v>
      </c>
      <c r="DI8" s="17" t="s">
        <v>870</v>
      </c>
      <c r="DJ8" s="17" t="s">
        <v>870</v>
      </c>
      <c r="DK8" s="17" t="s">
        <v>870</v>
      </c>
      <c r="DL8" s="61" t="s">
        <v>2</v>
      </c>
      <c r="DM8" s="63"/>
      <c r="DN8" s="63"/>
      <c r="DO8" s="61" t="s">
        <v>2</v>
      </c>
      <c r="DP8" s="61" t="s">
        <v>2</v>
      </c>
      <c r="DQ8" s="63"/>
      <c r="DR8" s="62"/>
      <c r="DS8" s="62"/>
      <c r="DT8" s="63"/>
      <c r="DU8" s="61" t="s">
        <v>2</v>
      </c>
      <c r="DV8" s="61" t="s">
        <v>2</v>
      </c>
      <c r="DW8" s="63"/>
      <c r="DX8" s="62"/>
      <c r="DY8" s="63"/>
      <c r="DZ8" s="61" t="s">
        <v>2</v>
      </c>
      <c r="EA8" s="62"/>
      <c r="EB8" s="62"/>
      <c r="EC8" s="61" t="s">
        <v>2</v>
      </c>
      <c r="ED8" s="62"/>
      <c r="EE8" s="62"/>
      <c r="EF8" s="63"/>
      <c r="EG8" s="63"/>
      <c r="EH8" s="61" t="s">
        <v>2</v>
      </c>
      <c r="EI8" s="61" t="s">
        <v>2</v>
      </c>
      <c r="EJ8" s="62"/>
      <c r="EK8" s="61" t="s">
        <v>2</v>
      </c>
      <c r="EL8" s="61" t="s">
        <v>2</v>
      </c>
      <c r="EM8" s="61" t="s">
        <v>2</v>
      </c>
      <c r="EN8" s="63"/>
      <c r="EO8" s="61" t="s">
        <v>2</v>
      </c>
      <c r="EP8" s="17" t="s">
        <v>870</v>
      </c>
      <c r="EQ8" s="17" t="s">
        <v>870</v>
      </c>
      <c r="ER8" s="17" t="s">
        <v>870</v>
      </c>
      <c r="ES8" s="17" t="s">
        <v>870</v>
      </c>
      <c r="ET8" s="63"/>
      <c r="EU8" s="62"/>
      <c r="EV8" s="61" t="s">
        <v>2</v>
      </c>
      <c r="EW8" s="62"/>
      <c r="EX8" s="17" t="s">
        <v>870</v>
      </c>
      <c r="EY8" s="17" t="s">
        <v>870</v>
      </c>
      <c r="EZ8" s="61" t="s">
        <v>2</v>
      </c>
      <c r="FA8" s="61" t="s">
        <v>2</v>
      </c>
      <c r="FB8" s="62"/>
      <c r="FC8" s="61" t="s">
        <v>2</v>
      </c>
      <c r="FD8" s="63"/>
      <c r="FE8" s="61" t="s">
        <v>2</v>
      </c>
      <c r="FF8" s="61" t="s">
        <v>2</v>
      </c>
      <c r="FG8" s="63"/>
      <c r="FH8" s="63"/>
      <c r="FI8" s="63"/>
      <c r="FJ8" s="61" t="s">
        <v>2</v>
      </c>
      <c r="FK8" s="63"/>
      <c r="FL8" s="62"/>
      <c r="FM8" s="62"/>
      <c r="FN8" s="63"/>
      <c r="FO8" s="62"/>
      <c r="FP8" s="61" t="s">
        <v>2</v>
      </c>
      <c r="FQ8" s="63"/>
      <c r="FR8" s="61" t="s">
        <v>2</v>
      </c>
      <c r="FS8" s="63"/>
      <c r="FT8" s="63"/>
      <c r="FU8" s="61" t="s">
        <v>2</v>
      </c>
      <c r="FV8" s="61" t="s">
        <v>2</v>
      </c>
      <c r="FW8" s="61" t="s">
        <v>2</v>
      </c>
      <c r="FX8" s="63"/>
      <c r="FY8" s="61" t="s">
        <v>2</v>
      </c>
      <c r="FZ8" s="62"/>
      <c r="GA8" s="63"/>
      <c r="GB8" s="61" t="s">
        <v>2</v>
      </c>
      <c r="GC8" s="61" t="s">
        <v>2</v>
      </c>
      <c r="GD8" s="61" t="s">
        <v>2</v>
      </c>
      <c r="GE8" s="61" t="s">
        <v>2</v>
      </c>
      <c r="GF8" s="61" t="s">
        <v>2</v>
      </c>
      <c r="GG8" s="63"/>
      <c r="GH8" s="63"/>
      <c r="GI8" s="63"/>
      <c r="GJ8" s="17" t="s">
        <v>870</v>
      </c>
      <c r="GK8" s="17" t="s">
        <v>870</v>
      </c>
      <c r="GL8" s="61" t="s">
        <v>2</v>
      </c>
      <c r="GM8" s="63"/>
      <c r="GN8" s="61" t="s">
        <v>2</v>
      </c>
      <c r="GO8" s="61" t="s">
        <v>2</v>
      </c>
      <c r="GP8" s="61" t="s">
        <v>2</v>
      </c>
      <c r="GQ8" s="62"/>
      <c r="GR8" s="61" t="s">
        <v>2</v>
      </c>
      <c r="GS8" s="62"/>
      <c r="GT8" s="61" t="s">
        <v>2</v>
      </c>
      <c r="GU8" s="61" t="s">
        <v>2</v>
      </c>
      <c r="GV8" s="61" t="s">
        <v>2</v>
      </c>
      <c r="GW8" s="63"/>
      <c r="GX8" s="63"/>
      <c r="GY8" s="61" t="s">
        <v>2</v>
      </c>
      <c r="GZ8" s="63"/>
      <c r="HA8" s="63"/>
      <c r="HB8" s="61" t="s">
        <v>2</v>
      </c>
      <c r="HC8" s="62"/>
      <c r="HD8" s="62"/>
      <c r="HE8" s="17" t="s">
        <v>870</v>
      </c>
      <c r="HF8" s="17" t="s">
        <v>870</v>
      </c>
      <c r="HG8" s="61" t="s">
        <v>2</v>
      </c>
      <c r="HH8" s="61" t="s">
        <v>2</v>
      </c>
      <c r="HI8" s="61" t="s">
        <v>2</v>
      </c>
      <c r="HJ8" s="63"/>
      <c r="HK8" s="63"/>
      <c r="HL8" s="63"/>
      <c r="HM8" s="62"/>
      <c r="HN8" s="61" t="s">
        <v>2</v>
      </c>
      <c r="HO8" s="17" t="s">
        <v>870</v>
      </c>
      <c r="HP8" s="62"/>
      <c r="HQ8" s="63"/>
      <c r="HR8" s="62"/>
      <c r="HS8" s="61" t="s">
        <v>2</v>
      </c>
      <c r="HT8" s="63"/>
      <c r="HU8" s="61" t="s">
        <v>2</v>
      </c>
      <c r="HV8" s="63"/>
      <c r="HW8" s="63"/>
      <c r="HX8" s="63"/>
      <c r="HY8" s="61" t="s">
        <v>2</v>
      </c>
      <c r="HZ8" s="61" t="s">
        <v>2</v>
      </c>
      <c r="IA8" s="62"/>
      <c r="IB8" s="61" t="s">
        <v>2</v>
      </c>
      <c r="IC8" s="63"/>
      <c r="ID8" s="63"/>
      <c r="IE8" s="63"/>
      <c r="IF8" s="63"/>
      <c r="IG8" s="62"/>
      <c r="IH8" s="63"/>
      <c r="II8" s="63"/>
      <c r="IJ8" s="63"/>
      <c r="IK8" s="63"/>
      <c r="IL8" s="63"/>
      <c r="IM8" s="63"/>
      <c r="IN8" s="62"/>
      <c r="IO8" s="63"/>
      <c r="IP8" s="63"/>
      <c r="IQ8" s="61" t="s">
        <v>2</v>
      </c>
      <c r="IR8" s="62"/>
      <c r="IS8" s="63"/>
      <c r="IT8" s="61" t="s">
        <v>2</v>
      </c>
      <c r="IU8" s="61" t="s">
        <v>2</v>
      </c>
      <c r="IV8" s="61" t="s">
        <v>2</v>
      </c>
      <c r="IW8" s="17" t="s">
        <v>870</v>
      </c>
      <c r="IX8" s="17" t="s">
        <v>870</v>
      </c>
      <c r="IY8" s="63"/>
      <c r="IZ8" s="63"/>
      <c r="JA8" s="63"/>
      <c r="JB8" s="63"/>
      <c r="JC8" s="62"/>
      <c r="JD8" s="62"/>
      <c r="JE8" s="63"/>
      <c r="JF8" s="61" t="s">
        <v>2</v>
      </c>
      <c r="JG8" s="63"/>
      <c r="JH8" s="63"/>
      <c r="JI8" s="63"/>
      <c r="JJ8" s="63"/>
      <c r="JK8" s="17" t="s">
        <v>870</v>
      </c>
      <c r="JL8" s="17" t="s">
        <v>870</v>
      </c>
      <c r="JM8" s="63"/>
      <c r="JN8" s="62"/>
      <c r="JO8" s="17" t="s">
        <v>870</v>
      </c>
      <c r="JP8" s="17" t="s">
        <v>870</v>
      </c>
      <c r="JQ8" s="17" t="s">
        <v>870</v>
      </c>
      <c r="JR8" s="17" t="s">
        <v>870</v>
      </c>
      <c r="JS8" s="17" t="s">
        <v>870</v>
      </c>
      <c r="JT8" s="17" t="s">
        <v>870</v>
      </c>
    </row>
    <row r="9" spans="1:298" x14ac:dyDescent="0.25">
      <c r="A9" t="s">
        <v>9</v>
      </c>
      <c r="B9" s="61" t="s">
        <v>2</v>
      </c>
      <c r="C9" s="63"/>
      <c r="D9" s="63"/>
      <c r="E9" s="63"/>
      <c r="F9" s="63"/>
      <c r="G9" s="63"/>
      <c r="H9" s="61" t="s">
        <v>2</v>
      </c>
      <c r="I9" s="62"/>
      <c r="J9" s="63"/>
      <c r="K9" s="17" t="s">
        <v>870</v>
      </c>
      <c r="L9" s="63"/>
      <c r="M9" s="61" t="s">
        <v>2</v>
      </c>
      <c r="N9" s="62"/>
      <c r="O9" s="63"/>
      <c r="P9" s="63"/>
      <c r="Q9" s="63"/>
      <c r="R9" s="63"/>
      <c r="S9" s="63"/>
      <c r="T9" s="63"/>
      <c r="U9" s="63"/>
      <c r="V9" s="61" t="s">
        <v>2</v>
      </c>
      <c r="W9" s="63"/>
      <c r="X9" s="62"/>
      <c r="Y9" s="61" t="s">
        <v>2</v>
      </c>
      <c r="Z9" s="63"/>
      <c r="AA9" s="61" t="s">
        <v>2</v>
      </c>
      <c r="AB9" s="63"/>
      <c r="AC9" s="63"/>
      <c r="AD9" s="63"/>
      <c r="AE9" s="61" t="s">
        <v>2</v>
      </c>
      <c r="AF9" s="62"/>
      <c r="AG9" s="17" t="s">
        <v>870</v>
      </c>
      <c r="AH9" s="17" t="s">
        <v>870</v>
      </c>
      <c r="AI9" s="61" t="s">
        <v>2</v>
      </c>
      <c r="AJ9" s="61" t="s">
        <v>2</v>
      </c>
      <c r="AK9" s="63"/>
      <c r="AL9" s="17" t="s">
        <v>870</v>
      </c>
      <c r="AM9" s="17" t="s">
        <v>870</v>
      </c>
      <c r="AN9" s="63"/>
      <c r="AO9" s="63"/>
      <c r="AP9" s="63"/>
      <c r="AQ9" s="63"/>
      <c r="AR9" s="61" t="s">
        <v>2</v>
      </c>
      <c r="AS9" s="61" t="s">
        <v>2</v>
      </c>
      <c r="AT9" s="61" t="s">
        <v>2</v>
      </c>
      <c r="AU9" s="61" t="s">
        <v>2</v>
      </c>
      <c r="AV9" s="61" t="s">
        <v>2</v>
      </c>
      <c r="AW9" s="63"/>
      <c r="AX9" s="61" t="s">
        <v>2</v>
      </c>
      <c r="AY9" s="61" t="s">
        <v>2</v>
      </c>
      <c r="AZ9" s="63"/>
      <c r="BA9" s="63"/>
      <c r="BB9" s="63"/>
      <c r="BC9" s="62"/>
      <c r="BD9" s="63"/>
      <c r="BE9" s="62"/>
      <c r="BF9" s="63"/>
      <c r="BG9" s="61" t="s">
        <v>2</v>
      </c>
      <c r="BH9" s="17" t="s">
        <v>870</v>
      </c>
      <c r="BI9" s="17" t="s">
        <v>870</v>
      </c>
      <c r="BJ9" s="17" t="s">
        <v>870</v>
      </c>
      <c r="BK9" s="17" t="s">
        <v>870</v>
      </c>
      <c r="BL9" s="62"/>
      <c r="BM9" s="63"/>
      <c r="BN9" s="62"/>
      <c r="BO9" s="61" t="s">
        <v>2</v>
      </c>
      <c r="BP9" s="63"/>
      <c r="BQ9" s="61" t="s">
        <v>2</v>
      </c>
      <c r="BR9" s="63"/>
      <c r="BS9" s="61" t="s">
        <v>2</v>
      </c>
      <c r="BT9" s="17" t="s">
        <v>870</v>
      </c>
      <c r="BU9" s="17" t="s">
        <v>870</v>
      </c>
      <c r="BV9" s="63"/>
      <c r="BW9" s="62"/>
      <c r="BX9" s="63"/>
      <c r="BY9" s="63"/>
      <c r="BZ9" s="61" t="s">
        <v>2</v>
      </c>
      <c r="CA9" s="61" t="s">
        <v>2</v>
      </c>
      <c r="CB9" s="62"/>
      <c r="CC9" s="63"/>
      <c r="CD9" s="17" t="s">
        <v>870</v>
      </c>
      <c r="CE9" s="17" t="s">
        <v>870</v>
      </c>
      <c r="CF9" s="61" t="s">
        <v>2</v>
      </c>
      <c r="CG9" s="61" t="s">
        <v>2</v>
      </c>
      <c r="CH9" s="61" t="s">
        <v>2</v>
      </c>
      <c r="CI9" s="63"/>
      <c r="CJ9" s="62"/>
      <c r="CK9" s="61" t="s">
        <v>2</v>
      </c>
      <c r="CL9" s="61" t="s">
        <v>2</v>
      </c>
      <c r="CM9" s="61" t="s">
        <v>2</v>
      </c>
      <c r="CN9" s="63"/>
      <c r="CO9" s="63"/>
      <c r="CP9" s="63"/>
      <c r="CQ9" s="63"/>
      <c r="CR9" s="62"/>
      <c r="CS9" s="62"/>
      <c r="CT9" s="17" t="s">
        <v>870</v>
      </c>
      <c r="CU9" s="17" t="s">
        <v>870</v>
      </c>
      <c r="CV9" s="17" t="s">
        <v>870</v>
      </c>
      <c r="CW9" s="17" t="s">
        <v>870</v>
      </c>
      <c r="CX9" s="17" t="s">
        <v>870</v>
      </c>
      <c r="CY9" s="17" t="s">
        <v>870</v>
      </c>
      <c r="CZ9" s="17" t="s">
        <v>870</v>
      </c>
      <c r="DA9" s="17" t="s">
        <v>870</v>
      </c>
      <c r="DB9" s="17" t="s">
        <v>870</v>
      </c>
      <c r="DC9" s="17" t="s">
        <v>870</v>
      </c>
      <c r="DD9" s="17" t="s">
        <v>870</v>
      </c>
      <c r="DE9" s="17" t="s">
        <v>870</v>
      </c>
      <c r="DF9" s="17" t="s">
        <v>870</v>
      </c>
      <c r="DG9" s="17" t="s">
        <v>870</v>
      </c>
      <c r="DH9" s="17" t="s">
        <v>870</v>
      </c>
      <c r="DI9" s="17" t="s">
        <v>870</v>
      </c>
      <c r="DJ9" s="17" t="s">
        <v>870</v>
      </c>
      <c r="DK9" s="17" t="s">
        <v>870</v>
      </c>
      <c r="DL9" s="63"/>
      <c r="DM9" s="63"/>
      <c r="DN9" s="17" t="s">
        <v>870</v>
      </c>
      <c r="DO9" s="63"/>
      <c r="DP9" s="63"/>
      <c r="DQ9" s="63"/>
      <c r="DR9" s="62"/>
      <c r="DS9" s="63"/>
      <c r="DT9" s="63"/>
      <c r="DU9" s="63"/>
      <c r="DV9" s="61" t="s">
        <v>2</v>
      </c>
      <c r="DW9" s="63"/>
      <c r="DX9" s="62"/>
      <c r="DY9" s="63"/>
      <c r="DZ9" s="63"/>
      <c r="EA9" s="63"/>
      <c r="EB9" s="62"/>
      <c r="EC9" s="61" t="s">
        <v>2</v>
      </c>
      <c r="ED9" s="63"/>
      <c r="EE9" s="63"/>
      <c r="EF9" s="62"/>
      <c r="EG9" s="63"/>
      <c r="EH9" s="63"/>
      <c r="EI9" s="61" t="s">
        <v>2</v>
      </c>
      <c r="EJ9" s="61" t="s">
        <v>2</v>
      </c>
      <c r="EK9" s="63"/>
      <c r="EL9" s="63"/>
      <c r="EM9" s="61" t="s">
        <v>2</v>
      </c>
      <c r="EN9" s="63"/>
      <c r="EO9" s="61" t="s">
        <v>2</v>
      </c>
      <c r="EP9" s="63"/>
      <c r="EQ9" s="61" t="s">
        <v>2</v>
      </c>
      <c r="ER9" s="17" t="s">
        <v>870</v>
      </c>
      <c r="ES9" s="17" t="s">
        <v>870</v>
      </c>
      <c r="ET9" s="63"/>
      <c r="EU9" s="63"/>
      <c r="EV9" s="63"/>
      <c r="EW9" s="62"/>
      <c r="EX9" s="62"/>
      <c r="EY9" s="62"/>
      <c r="EZ9" s="63"/>
      <c r="FA9" s="63"/>
      <c r="FB9" s="61" t="s">
        <v>2</v>
      </c>
      <c r="FC9" s="62"/>
      <c r="FD9" s="61" t="s">
        <v>2</v>
      </c>
      <c r="FE9" s="63"/>
      <c r="FF9" s="62"/>
      <c r="FG9" s="63"/>
      <c r="FH9" s="17" t="s">
        <v>870</v>
      </c>
      <c r="FI9" s="17" t="s">
        <v>870</v>
      </c>
      <c r="FJ9" s="17" t="s">
        <v>870</v>
      </c>
      <c r="FK9" s="17" t="s">
        <v>870</v>
      </c>
      <c r="FL9" s="63"/>
      <c r="FM9" s="63"/>
      <c r="FN9" s="63"/>
      <c r="FO9" s="63"/>
      <c r="FP9" s="62"/>
      <c r="FQ9" s="62"/>
      <c r="FR9" s="62"/>
      <c r="FS9" s="63"/>
      <c r="FT9" s="63"/>
      <c r="FU9" s="63"/>
      <c r="FV9" s="61" t="s">
        <v>2</v>
      </c>
      <c r="FW9" s="61" t="s">
        <v>2</v>
      </c>
      <c r="FX9" s="62"/>
      <c r="FY9" s="63"/>
      <c r="FZ9" s="62"/>
      <c r="GA9" s="63"/>
      <c r="GB9" s="63"/>
      <c r="GC9" s="17" t="s">
        <v>870</v>
      </c>
      <c r="GD9" s="63"/>
      <c r="GE9" s="61" t="s">
        <v>2</v>
      </c>
      <c r="GF9" s="61" t="s">
        <v>2</v>
      </c>
      <c r="GG9" s="61" t="s">
        <v>2</v>
      </c>
      <c r="GH9" s="62"/>
      <c r="GI9" s="62"/>
      <c r="GJ9" s="62"/>
      <c r="GK9" s="61" t="s">
        <v>2</v>
      </c>
      <c r="GL9" s="63"/>
      <c r="GM9" s="63"/>
      <c r="GN9" s="61" t="s">
        <v>2</v>
      </c>
      <c r="GO9" s="17" t="s">
        <v>870</v>
      </c>
      <c r="GP9" s="17" t="s">
        <v>870</v>
      </c>
      <c r="GQ9" s="17" t="s">
        <v>870</v>
      </c>
      <c r="GR9" s="17" t="s">
        <v>870</v>
      </c>
      <c r="GS9" s="17" t="s">
        <v>870</v>
      </c>
      <c r="GT9" s="62"/>
      <c r="GU9" s="63"/>
      <c r="GV9" s="17" t="s">
        <v>870</v>
      </c>
      <c r="GW9" s="17" t="s">
        <v>870</v>
      </c>
      <c r="GX9" s="17" t="s">
        <v>870</v>
      </c>
      <c r="GY9" s="17" t="s">
        <v>870</v>
      </c>
      <c r="GZ9" s="63"/>
      <c r="HA9" s="17" t="s">
        <v>870</v>
      </c>
      <c r="HB9" s="17" t="s">
        <v>870</v>
      </c>
      <c r="HC9" s="17" t="s">
        <v>870</v>
      </c>
      <c r="HD9" s="17" t="s">
        <v>870</v>
      </c>
      <c r="HE9" s="61" t="s">
        <v>2</v>
      </c>
      <c r="HF9" s="63"/>
      <c r="HG9" s="17" t="s">
        <v>870</v>
      </c>
      <c r="HH9" s="17" t="s">
        <v>870</v>
      </c>
      <c r="HI9" s="17" t="s">
        <v>870</v>
      </c>
      <c r="HJ9" s="17" t="s">
        <v>870</v>
      </c>
      <c r="HK9" s="63"/>
      <c r="HL9" s="63"/>
      <c r="HM9" s="63"/>
      <c r="HN9" s="62"/>
      <c r="HO9" s="17" t="s">
        <v>870</v>
      </c>
      <c r="HP9" s="17" t="s">
        <v>870</v>
      </c>
      <c r="HQ9" s="17" t="s">
        <v>870</v>
      </c>
      <c r="HR9" s="17" t="s">
        <v>870</v>
      </c>
      <c r="HS9" s="17" t="s">
        <v>870</v>
      </c>
      <c r="HT9" s="17" t="s">
        <v>870</v>
      </c>
      <c r="HU9" s="63"/>
      <c r="HV9" s="63"/>
      <c r="HW9" s="17" t="s">
        <v>870</v>
      </c>
      <c r="HX9" s="17" t="s">
        <v>870</v>
      </c>
      <c r="HY9" s="17" t="s">
        <v>870</v>
      </c>
      <c r="HZ9" s="17" t="s">
        <v>870</v>
      </c>
      <c r="IA9" s="17" t="s">
        <v>870</v>
      </c>
      <c r="IB9" s="17" t="s">
        <v>870</v>
      </c>
      <c r="IC9" s="17" t="s">
        <v>870</v>
      </c>
      <c r="ID9" s="17" t="s">
        <v>870</v>
      </c>
      <c r="IE9" s="17" t="s">
        <v>870</v>
      </c>
      <c r="IF9" s="17" t="s">
        <v>870</v>
      </c>
      <c r="IG9" s="17" t="s">
        <v>870</v>
      </c>
      <c r="IH9" s="17" t="s">
        <v>870</v>
      </c>
      <c r="II9" s="17" t="s">
        <v>870</v>
      </c>
      <c r="IJ9" s="17" t="s">
        <v>870</v>
      </c>
      <c r="IK9" s="17" t="s">
        <v>870</v>
      </c>
      <c r="IL9" s="17" t="s">
        <v>870</v>
      </c>
      <c r="IM9" s="17" t="s">
        <v>870</v>
      </c>
      <c r="IN9" s="17" t="s">
        <v>870</v>
      </c>
      <c r="IO9" s="17" t="s">
        <v>870</v>
      </c>
      <c r="IP9" s="17" t="s">
        <v>870</v>
      </c>
      <c r="IQ9" s="63"/>
      <c r="IR9" s="63"/>
      <c r="IS9" s="17" t="s">
        <v>870</v>
      </c>
      <c r="IT9" s="17" t="s">
        <v>870</v>
      </c>
      <c r="IU9" s="17" t="s">
        <v>870</v>
      </c>
      <c r="IV9" s="17" t="s">
        <v>870</v>
      </c>
      <c r="IW9" s="17" t="s">
        <v>870</v>
      </c>
      <c r="IX9" s="17" t="s">
        <v>870</v>
      </c>
      <c r="IY9" s="17" t="s">
        <v>870</v>
      </c>
      <c r="IZ9" s="17" t="s">
        <v>870</v>
      </c>
      <c r="JA9" s="17" t="s">
        <v>870</v>
      </c>
      <c r="JB9" s="17" t="s">
        <v>870</v>
      </c>
      <c r="JC9" s="17" t="s">
        <v>870</v>
      </c>
      <c r="JD9" s="17" t="s">
        <v>870</v>
      </c>
      <c r="JE9" s="17" t="s">
        <v>870</v>
      </c>
      <c r="JF9" s="17" t="s">
        <v>870</v>
      </c>
      <c r="JG9" s="17" t="s">
        <v>870</v>
      </c>
      <c r="JH9" s="17" t="s">
        <v>870</v>
      </c>
      <c r="JI9" s="17" t="s">
        <v>870</v>
      </c>
      <c r="JJ9" s="17" t="s">
        <v>870</v>
      </c>
      <c r="JK9" s="17" t="s">
        <v>870</v>
      </c>
      <c r="JL9" s="17" t="s">
        <v>870</v>
      </c>
      <c r="JM9" s="17" t="s">
        <v>870</v>
      </c>
      <c r="JN9" s="17" t="s">
        <v>870</v>
      </c>
      <c r="JO9" s="17" t="s">
        <v>870</v>
      </c>
      <c r="JP9" s="17" t="s">
        <v>870</v>
      </c>
      <c r="JQ9" s="17" t="s">
        <v>870</v>
      </c>
      <c r="JR9" s="17" t="s">
        <v>870</v>
      </c>
      <c r="JS9" s="17" t="s">
        <v>870</v>
      </c>
      <c r="JT9" s="17" t="s">
        <v>870</v>
      </c>
    </row>
    <row r="10" spans="1:298" x14ac:dyDescent="0.25">
      <c r="A10" t="s">
        <v>14</v>
      </c>
      <c r="B10" s="17" t="s">
        <v>870</v>
      </c>
      <c r="C10" s="17" t="s">
        <v>870</v>
      </c>
      <c r="D10" s="17" t="s">
        <v>870</v>
      </c>
      <c r="E10" s="17" t="s">
        <v>870</v>
      </c>
      <c r="F10" s="17" t="s">
        <v>870</v>
      </c>
      <c r="G10" s="17" t="s">
        <v>870</v>
      </c>
      <c r="H10" s="17" t="s">
        <v>870</v>
      </c>
      <c r="I10" s="17" t="s">
        <v>870</v>
      </c>
      <c r="J10" s="17" t="s">
        <v>870</v>
      </c>
      <c r="K10" s="17" t="s">
        <v>870</v>
      </c>
      <c r="L10" s="17" t="s">
        <v>870</v>
      </c>
      <c r="M10" s="17" t="s">
        <v>870</v>
      </c>
      <c r="N10" s="17" t="s">
        <v>870</v>
      </c>
      <c r="O10" s="17" t="s">
        <v>870</v>
      </c>
      <c r="P10" s="17" t="s">
        <v>870</v>
      </c>
      <c r="Q10" s="17" t="s">
        <v>870</v>
      </c>
      <c r="R10" s="17" t="s">
        <v>870</v>
      </c>
      <c r="S10" s="17" t="s">
        <v>870</v>
      </c>
      <c r="T10" s="61" t="s">
        <v>2</v>
      </c>
      <c r="U10" s="61" t="s">
        <v>2</v>
      </c>
      <c r="V10" s="62"/>
      <c r="W10" s="63"/>
      <c r="X10" s="63"/>
      <c r="Y10" s="62"/>
      <c r="Z10" s="61" t="s">
        <v>2</v>
      </c>
      <c r="AA10" s="62"/>
      <c r="AB10" s="62"/>
      <c r="AC10" s="61" t="s">
        <v>2</v>
      </c>
      <c r="AD10" s="63"/>
      <c r="AE10" s="61" t="s">
        <v>2</v>
      </c>
      <c r="AF10" s="61" t="s">
        <v>2</v>
      </c>
      <c r="AG10" s="61" t="s">
        <v>2</v>
      </c>
      <c r="AH10" s="62"/>
      <c r="AI10" s="61" t="s">
        <v>2</v>
      </c>
      <c r="AJ10" s="61" t="s">
        <v>2</v>
      </c>
      <c r="AK10" s="61" t="s">
        <v>2</v>
      </c>
      <c r="AL10" s="17" t="s">
        <v>870</v>
      </c>
      <c r="AM10" s="17" t="s">
        <v>870</v>
      </c>
      <c r="AN10" s="63"/>
      <c r="AO10" s="63"/>
      <c r="AP10" s="17" t="s">
        <v>870</v>
      </c>
      <c r="AQ10" s="63"/>
      <c r="AR10" s="61" t="s">
        <v>2</v>
      </c>
      <c r="AS10" s="61" t="s">
        <v>2</v>
      </c>
      <c r="AT10" s="63"/>
      <c r="AU10" s="17" t="s">
        <v>870</v>
      </c>
      <c r="AV10" s="17" t="s">
        <v>870</v>
      </c>
      <c r="AW10" s="62"/>
      <c r="AX10" s="62"/>
      <c r="AY10" s="62"/>
      <c r="AZ10" s="61" t="s">
        <v>2</v>
      </c>
      <c r="BA10" s="61" t="s">
        <v>2</v>
      </c>
      <c r="BB10" s="17" t="s">
        <v>870</v>
      </c>
      <c r="BC10" s="17" t="s">
        <v>870</v>
      </c>
      <c r="BD10" s="62"/>
      <c r="BE10" s="63"/>
      <c r="BF10" s="17" t="s">
        <v>870</v>
      </c>
      <c r="BG10" s="17" t="s">
        <v>870</v>
      </c>
      <c r="BH10" s="63"/>
      <c r="BI10" s="63"/>
      <c r="BJ10" s="63"/>
      <c r="BK10" s="63"/>
      <c r="BL10" s="63"/>
      <c r="BM10" s="63"/>
      <c r="BN10" s="17" t="s">
        <v>870</v>
      </c>
      <c r="BO10" s="17" t="s">
        <v>870</v>
      </c>
      <c r="BP10" s="17" t="s">
        <v>870</v>
      </c>
      <c r="BQ10" s="17" t="s">
        <v>870</v>
      </c>
      <c r="BR10" s="61" t="s">
        <v>2</v>
      </c>
      <c r="BS10" s="63"/>
      <c r="BT10" s="62"/>
      <c r="BU10" s="63"/>
      <c r="BV10" s="17" t="s">
        <v>870</v>
      </c>
      <c r="BW10" s="17" t="s">
        <v>870</v>
      </c>
      <c r="BX10" s="62"/>
      <c r="BY10" s="63"/>
      <c r="BZ10" s="63"/>
      <c r="CA10" s="63"/>
      <c r="CB10" s="63"/>
      <c r="CC10" s="63"/>
      <c r="CD10" s="63"/>
      <c r="CE10" s="62"/>
      <c r="CF10" s="61" t="s">
        <v>2</v>
      </c>
      <c r="CG10" s="63"/>
      <c r="CH10" s="61" t="s">
        <v>2</v>
      </c>
      <c r="CI10" s="63"/>
      <c r="CJ10" s="62"/>
      <c r="CK10" s="63"/>
      <c r="CL10" s="62"/>
      <c r="CM10" s="61" t="s">
        <v>2</v>
      </c>
      <c r="CN10" s="17" t="s">
        <v>870</v>
      </c>
      <c r="CO10" s="17" t="s">
        <v>870</v>
      </c>
      <c r="CP10" s="61" t="s">
        <v>2</v>
      </c>
      <c r="CQ10" s="61" t="s">
        <v>2</v>
      </c>
      <c r="CR10" s="62"/>
      <c r="CS10" s="63"/>
      <c r="CT10" s="61" t="s">
        <v>2</v>
      </c>
      <c r="CU10" s="63"/>
      <c r="CV10" s="63"/>
      <c r="CW10" s="62"/>
      <c r="CX10" s="61" t="s">
        <v>2</v>
      </c>
      <c r="CY10" s="61" t="s">
        <v>2</v>
      </c>
      <c r="CZ10" s="63"/>
      <c r="DA10" s="61" t="s">
        <v>2</v>
      </c>
      <c r="DB10" s="61" t="s">
        <v>2</v>
      </c>
      <c r="DC10" s="63"/>
      <c r="DD10" s="62"/>
      <c r="DE10" s="62"/>
      <c r="DF10" s="63"/>
      <c r="DG10" s="63"/>
      <c r="DH10" s="17" t="s">
        <v>870</v>
      </c>
      <c r="DI10" s="17" t="s">
        <v>870</v>
      </c>
      <c r="DJ10" s="63"/>
      <c r="DK10" s="63"/>
      <c r="DL10" s="61" t="s">
        <v>2</v>
      </c>
      <c r="DM10" s="63"/>
      <c r="DN10" s="61" t="s">
        <v>2</v>
      </c>
      <c r="DO10" s="63"/>
      <c r="DP10" s="63"/>
      <c r="DQ10" s="63"/>
      <c r="DR10" s="61" t="s">
        <v>2</v>
      </c>
      <c r="DS10" s="63"/>
      <c r="DT10" s="17" t="s">
        <v>870</v>
      </c>
      <c r="DU10" s="17" t="s">
        <v>870</v>
      </c>
      <c r="DV10" s="63"/>
      <c r="DW10" s="61" t="s">
        <v>2</v>
      </c>
      <c r="DX10" s="62"/>
      <c r="DY10" s="62"/>
      <c r="DZ10" s="61" t="s">
        <v>2</v>
      </c>
      <c r="EA10" s="61" t="s">
        <v>2</v>
      </c>
      <c r="EB10" s="61" t="s">
        <v>2</v>
      </c>
      <c r="EC10" s="61" t="s">
        <v>2</v>
      </c>
      <c r="ED10" s="63"/>
      <c r="EE10" s="63"/>
      <c r="EF10" s="63"/>
      <c r="EG10" s="63"/>
      <c r="EH10" s="62"/>
      <c r="EI10" s="61" t="s">
        <v>2</v>
      </c>
      <c r="EJ10" s="61" t="s">
        <v>2</v>
      </c>
      <c r="EK10" s="63"/>
      <c r="EL10" s="63"/>
      <c r="EM10" s="62"/>
      <c r="EN10" s="63"/>
      <c r="EO10" s="63"/>
      <c r="EP10" s="61" t="s">
        <v>2</v>
      </c>
      <c r="EQ10" s="61" t="s">
        <v>2</v>
      </c>
      <c r="ER10" s="63"/>
      <c r="ES10" s="63"/>
      <c r="ET10" s="63"/>
      <c r="EU10" s="61" t="s">
        <v>2</v>
      </c>
      <c r="EV10" s="63"/>
      <c r="EW10" s="61" t="s">
        <v>2</v>
      </c>
      <c r="EX10" s="62"/>
      <c r="EY10" s="62"/>
      <c r="EZ10" s="63"/>
      <c r="FA10" s="63"/>
      <c r="FB10" s="17" t="s">
        <v>870</v>
      </c>
      <c r="FC10" s="17" t="s">
        <v>870</v>
      </c>
      <c r="FD10" s="61" t="s">
        <v>2</v>
      </c>
      <c r="FE10" s="17" t="s">
        <v>870</v>
      </c>
      <c r="FF10" s="63"/>
      <c r="FG10" s="62"/>
      <c r="FH10" s="63"/>
      <c r="FI10" s="61" t="s">
        <v>2</v>
      </c>
      <c r="FJ10" s="62"/>
      <c r="FK10" s="61" t="s">
        <v>2</v>
      </c>
      <c r="FL10" s="61" t="s">
        <v>2</v>
      </c>
      <c r="FM10" s="62"/>
      <c r="FN10" s="63"/>
      <c r="FO10" s="63"/>
      <c r="FP10" s="63"/>
      <c r="FQ10" s="62"/>
      <c r="FR10" s="63"/>
      <c r="FS10" s="62"/>
      <c r="FT10" s="61" t="s">
        <v>2</v>
      </c>
      <c r="FU10" s="62"/>
      <c r="FV10" s="17" t="s">
        <v>870</v>
      </c>
      <c r="FW10" s="17" t="s">
        <v>870</v>
      </c>
      <c r="FX10" s="61" t="s">
        <v>2</v>
      </c>
      <c r="FY10" s="63"/>
      <c r="FZ10" s="61" t="s">
        <v>2</v>
      </c>
      <c r="GA10" s="61" t="s">
        <v>2</v>
      </c>
      <c r="GB10" s="63"/>
      <c r="GC10" s="61" t="s">
        <v>2</v>
      </c>
      <c r="GD10" s="63"/>
      <c r="GE10" s="63"/>
      <c r="GF10" s="63"/>
      <c r="GG10" s="61" t="s">
        <v>2</v>
      </c>
      <c r="GH10" s="62"/>
      <c r="GI10" s="61" t="s">
        <v>2</v>
      </c>
      <c r="GJ10" s="63"/>
      <c r="GK10" s="63"/>
      <c r="GL10" s="62"/>
      <c r="GM10" s="62"/>
      <c r="GN10" s="62"/>
      <c r="GO10" s="63"/>
      <c r="GP10" s="62"/>
      <c r="GQ10" s="61" t="s">
        <v>2</v>
      </c>
      <c r="GR10" s="63"/>
      <c r="GS10" s="63"/>
      <c r="GT10" s="63"/>
      <c r="GU10" s="63"/>
      <c r="GV10" s="62"/>
      <c r="GW10" s="62"/>
      <c r="GX10" s="17" t="s">
        <v>870</v>
      </c>
      <c r="GY10" s="17" t="s">
        <v>870</v>
      </c>
      <c r="GZ10" s="17" t="s">
        <v>870</v>
      </c>
      <c r="HA10" s="17" t="s">
        <v>870</v>
      </c>
      <c r="HB10" s="62"/>
      <c r="HC10" s="63"/>
      <c r="HD10" s="61" t="s">
        <v>2</v>
      </c>
      <c r="HE10" s="61" t="s">
        <v>2</v>
      </c>
      <c r="HF10" s="63"/>
      <c r="HG10" s="61" t="s">
        <v>2</v>
      </c>
      <c r="HH10" s="61" t="s">
        <v>2</v>
      </c>
      <c r="HI10" s="62"/>
      <c r="HJ10" s="63"/>
      <c r="HK10" s="62"/>
      <c r="HL10" s="62"/>
      <c r="HM10" s="61" t="s">
        <v>2</v>
      </c>
      <c r="HN10" s="63"/>
      <c r="HO10" s="17" t="s">
        <v>870</v>
      </c>
      <c r="HP10" s="17" t="s">
        <v>870</v>
      </c>
      <c r="HQ10" s="17" t="s">
        <v>870</v>
      </c>
      <c r="HR10" s="17" t="s">
        <v>870</v>
      </c>
      <c r="HS10" s="63"/>
      <c r="HT10" s="63"/>
      <c r="HU10" s="17" t="s">
        <v>870</v>
      </c>
      <c r="HV10" s="17" t="s">
        <v>870</v>
      </c>
      <c r="HW10" s="17" t="s">
        <v>870</v>
      </c>
      <c r="HX10" s="63"/>
      <c r="HY10" s="17" t="s">
        <v>870</v>
      </c>
      <c r="HZ10" s="17" t="s">
        <v>870</v>
      </c>
      <c r="IA10" s="17" t="s">
        <v>870</v>
      </c>
      <c r="IB10" s="17" t="s">
        <v>870</v>
      </c>
      <c r="IC10" s="17" t="s">
        <v>870</v>
      </c>
      <c r="ID10" s="17" t="s">
        <v>870</v>
      </c>
      <c r="IE10" s="17" t="s">
        <v>870</v>
      </c>
      <c r="IF10" s="17" t="s">
        <v>870</v>
      </c>
      <c r="IG10" s="17" t="s">
        <v>870</v>
      </c>
      <c r="IH10" s="17" t="s">
        <v>870</v>
      </c>
      <c r="II10" s="17" t="s">
        <v>870</v>
      </c>
      <c r="IJ10" s="17" t="s">
        <v>870</v>
      </c>
      <c r="IK10" s="17" t="s">
        <v>870</v>
      </c>
      <c r="IL10" s="17" t="s">
        <v>870</v>
      </c>
      <c r="IM10" s="17" t="s">
        <v>870</v>
      </c>
      <c r="IN10" s="17" t="s">
        <v>870</v>
      </c>
      <c r="IO10" s="17" t="s">
        <v>870</v>
      </c>
      <c r="IP10" s="17" t="s">
        <v>870</v>
      </c>
      <c r="IQ10" s="63"/>
      <c r="IR10" s="63"/>
      <c r="IS10" s="17" t="s">
        <v>870</v>
      </c>
      <c r="IT10" s="17" t="s">
        <v>870</v>
      </c>
      <c r="IU10" s="62"/>
      <c r="IV10" s="63"/>
      <c r="IW10" s="63"/>
      <c r="IX10" s="63"/>
      <c r="IY10" s="63"/>
      <c r="IZ10" s="63"/>
      <c r="JA10" s="61" t="s">
        <v>2</v>
      </c>
      <c r="JB10" s="63"/>
      <c r="JC10" s="61" t="s">
        <v>2</v>
      </c>
      <c r="JD10" s="63"/>
      <c r="JE10" s="61" t="s">
        <v>2</v>
      </c>
      <c r="JF10" s="62"/>
      <c r="JG10" s="63"/>
      <c r="JH10" s="62"/>
      <c r="JI10" s="17" t="s">
        <v>870</v>
      </c>
      <c r="JJ10" s="17" t="s">
        <v>870</v>
      </c>
      <c r="JK10" s="17" t="s">
        <v>870</v>
      </c>
      <c r="JL10" s="17" t="s">
        <v>870</v>
      </c>
      <c r="JM10" s="17" t="s">
        <v>870</v>
      </c>
      <c r="JN10" s="17" t="s">
        <v>870</v>
      </c>
      <c r="JO10" s="17" t="s">
        <v>870</v>
      </c>
      <c r="JP10" s="17" t="s">
        <v>870</v>
      </c>
      <c r="JQ10" s="17" t="s">
        <v>870</v>
      </c>
      <c r="JR10" s="17" t="s">
        <v>870</v>
      </c>
      <c r="JS10" s="17" t="s">
        <v>870</v>
      </c>
      <c r="JT10" s="17" t="s">
        <v>870</v>
      </c>
    </row>
    <row r="11" spans="1:298" x14ac:dyDescent="0.25">
      <c r="A11" t="s">
        <v>12</v>
      </c>
      <c r="B11" s="17" t="s">
        <v>870</v>
      </c>
      <c r="C11" s="17" t="s">
        <v>870</v>
      </c>
      <c r="D11" s="17" t="s">
        <v>870</v>
      </c>
      <c r="E11" s="17" t="s">
        <v>870</v>
      </c>
      <c r="F11" s="17" t="s">
        <v>870</v>
      </c>
      <c r="G11" s="17" t="s">
        <v>870</v>
      </c>
      <c r="H11" s="17" t="s">
        <v>870</v>
      </c>
      <c r="I11" s="17" t="s">
        <v>870</v>
      </c>
      <c r="J11" s="17" t="s">
        <v>870</v>
      </c>
      <c r="K11" s="17" t="s">
        <v>870</v>
      </c>
      <c r="L11" s="17" t="s">
        <v>870</v>
      </c>
      <c r="M11" s="17" t="s">
        <v>870</v>
      </c>
      <c r="N11" s="17" t="s">
        <v>870</v>
      </c>
      <c r="O11" s="17" t="s">
        <v>870</v>
      </c>
      <c r="P11" s="17" t="s">
        <v>870</v>
      </c>
      <c r="Q11" s="17" t="s">
        <v>870</v>
      </c>
      <c r="R11" s="17" t="s">
        <v>870</v>
      </c>
      <c r="S11" s="17" t="s">
        <v>870</v>
      </c>
      <c r="T11" s="63"/>
      <c r="U11" s="62"/>
      <c r="V11" s="17" t="s">
        <v>870</v>
      </c>
      <c r="W11" s="17" t="s">
        <v>870</v>
      </c>
      <c r="X11" s="62"/>
      <c r="Y11" s="62"/>
      <c r="Z11" s="17" t="s">
        <v>870</v>
      </c>
      <c r="AA11" s="63"/>
      <c r="AB11" s="63"/>
      <c r="AC11" s="63"/>
      <c r="AD11" s="63"/>
      <c r="AE11" s="63"/>
      <c r="AF11" s="63"/>
      <c r="AG11" s="61" t="s">
        <v>2</v>
      </c>
      <c r="AH11" s="61" t="s">
        <v>2</v>
      </c>
      <c r="AI11" s="63"/>
      <c r="AJ11" s="63"/>
      <c r="AK11" s="62"/>
      <c r="AL11" s="62"/>
      <c r="AM11" s="62"/>
      <c r="AN11" s="62"/>
      <c r="AO11" s="63"/>
      <c r="AP11" s="63"/>
      <c r="AQ11" s="63"/>
      <c r="AR11" s="62"/>
      <c r="AS11" s="62"/>
      <c r="AT11" s="61" t="s">
        <v>2</v>
      </c>
      <c r="AU11" s="61" t="s">
        <v>2</v>
      </c>
      <c r="AV11" s="63"/>
      <c r="AW11" s="63"/>
      <c r="AX11" s="63"/>
      <c r="AY11" s="63"/>
      <c r="AZ11" s="63"/>
      <c r="BA11" s="62"/>
      <c r="BB11" s="62"/>
      <c r="BC11" s="61" t="s">
        <v>2</v>
      </c>
      <c r="BD11" s="63"/>
      <c r="BE11" s="63"/>
      <c r="BF11" s="63"/>
      <c r="BG11" s="63"/>
      <c r="BH11" s="63"/>
      <c r="BI11" s="62"/>
      <c r="BJ11" s="63"/>
      <c r="BK11" s="63"/>
      <c r="BL11" s="63"/>
      <c r="BM11" s="63"/>
      <c r="BN11" s="62"/>
      <c r="BO11" s="63"/>
      <c r="BP11" s="63"/>
      <c r="BQ11" s="62"/>
      <c r="BR11" s="63"/>
      <c r="BS11" s="63"/>
      <c r="BT11" s="62"/>
      <c r="BU11" s="63"/>
      <c r="BV11" s="62"/>
      <c r="BW11" s="63"/>
      <c r="BX11" s="61" t="s">
        <v>2</v>
      </c>
      <c r="BY11" s="63"/>
      <c r="BZ11" s="63"/>
      <c r="CA11" s="63"/>
      <c r="CB11" s="61" t="s">
        <v>2</v>
      </c>
      <c r="CC11" s="63"/>
      <c r="CD11" s="62"/>
      <c r="CE11" s="63"/>
      <c r="CF11" s="62"/>
      <c r="CG11" s="63"/>
      <c r="CH11" s="62"/>
      <c r="CI11" s="62"/>
      <c r="CJ11" s="62"/>
      <c r="CK11" s="62"/>
      <c r="CL11" s="61" t="s">
        <v>2</v>
      </c>
      <c r="CM11" s="63"/>
      <c r="CN11" s="62"/>
      <c r="CO11" s="17" t="s">
        <v>870</v>
      </c>
      <c r="CP11" s="63"/>
      <c r="CQ11" s="62"/>
      <c r="CR11" s="63"/>
      <c r="CS11" s="62"/>
      <c r="CT11" s="63"/>
      <c r="CU11" s="62"/>
      <c r="CV11" s="63"/>
      <c r="CW11" s="63"/>
      <c r="CX11" s="63"/>
      <c r="CY11" s="63"/>
      <c r="CZ11" s="61" t="s">
        <v>2</v>
      </c>
      <c r="DA11" s="63"/>
      <c r="DB11" s="17" t="s">
        <v>870</v>
      </c>
      <c r="DC11" s="17" t="s">
        <v>870</v>
      </c>
      <c r="DD11" s="62"/>
      <c r="DE11" s="61" t="s">
        <v>2</v>
      </c>
      <c r="DF11" s="62"/>
      <c r="DG11" s="63"/>
      <c r="DH11" s="63"/>
      <c r="DI11" s="17" t="s">
        <v>870</v>
      </c>
      <c r="DJ11" s="62"/>
      <c r="DK11" s="62"/>
      <c r="DL11" s="63"/>
      <c r="DM11" s="63"/>
      <c r="DN11" s="63"/>
      <c r="DO11" s="63"/>
      <c r="DP11" s="17" t="s">
        <v>870</v>
      </c>
      <c r="DQ11" s="17" t="s">
        <v>870</v>
      </c>
      <c r="DR11" s="61" t="s">
        <v>2</v>
      </c>
      <c r="DS11" s="63"/>
      <c r="DT11" s="63"/>
      <c r="DU11" s="62"/>
      <c r="DV11" s="63"/>
      <c r="DW11" s="63"/>
      <c r="DX11" s="17" t="s">
        <v>870</v>
      </c>
      <c r="DY11" s="17" t="s">
        <v>870</v>
      </c>
      <c r="DZ11" s="63"/>
      <c r="EA11" s="63"/>
      <c r="EB11" s="62"/>
      <c r="EC11" s="63"/>
      <c r="ED11" s="17" t="s">
        <v>870</v>
      </c>
      <c r="EE11" s="62"/>
      <c r="EF11" s="17" t="s">
        <v>870</v>
      </c>
      <c r="EG11" s="17" t="s">
        <v>870</v>
      </c>
      <c r="EH11" s="17" t="s">
        <v>870</v>
      </c>
      <c r="EI11" s="17" t="s">
        <v>870</v>
      </c>
      <c r="EJ11" s="17" t="s">
        <v>870</v>
      </c>
      <c r="EK11" s="63"/>
      <c r="EL11" s="17" t="s">
        <v>870</v>
      </c>
      <c r="EM11" s="17" t="s">
        <v>870</v>
      </c>
      <c r="EN11" s="62"/>
      <c r="EO11" s="62"/>
      <c r="EP11" s="17" t="s">
        <v>870</v>
      </c>
      <c r="EQ11" s="63"/>
      <c r="ER11" s="63"/>
      <c r="ES11" s="62"/>
      <c r="ET11" s="17" t="s">
        <v>870</v>
      </c>
      <c r="EU11" s="17" t="s">
        <v>870</v>
      </c>
      <c r="EV11" s="63"/>
      <c r="EW11" s="61" t="s">
        <v>2</v>
      </c>
      <c r="EX11" s="17" t="s">
        <v>870</v>
      </c>
      <c r="EY11" s="17" t="s">
        <v>870</v>
      </c>
      <c r="EZ11" s="61" t="s">
        <v>2</v>
      </c>
      <c r="FA11" s="61" t="s">
        <v>2</v>
      </c>
      <c r="FB11" s="61" t="s">
        <v>2</v>
      </c>
      <c r="FC11" s="61" t="s">
        <v>2</v>
      </c>
      <c r="FD11" s="63"/>
      <c r="FE11" s="62"/>
      <c r="FF11" s="63"/>
      <c r="FG11" s="61" t="s">
        <v>2</v>
      </c>
      <c r="FH11" s="63"/>
      <c r="FI11" s="63"/>
      <c r="FJ11" s="61" t="s">
        <v>2</v>
      </c>
      <c r="FK11" s="17" t="s">
        <v>870</v>
      </c>
      <c r="FL11" s="62"/>
      <c r="FM11" s="63"/>
      <c r="FN11" s="63"/>
      <c r="FO11" s="63"/>
      <c r="FP11" s="63"/>
      <c r="FQ11" s="61" t="s">
        <v>2</v>
      </c>
      <c r="FR11" s="63"/>
      <c r="FS11" s="63"/>
      <c r="FT11" s="63"/>
      <c r="FU11" s="63"/>
      <c r="FV11" s="62"/>
      <c r="FW11" s="63"/>
      <c r="FX11" s="17" t="s">
        <v>870</v>
      </c>
      <c r="FY11" s="17" t="s">
        <v>870</v>
      </c>
      <c r="FZ11" s="17" t="s">
        <v>870</v>
      </c>
      <c r="GA11" s="17" t="s">
        <v>870</v>
      </c>
      <c r="GB11" s="61" t="s">
        <v>2</v>
      </c>
      <c r="GC11" s="63"/>
      <c r="GD11" s="61" t="s">
        <v>2</v>
      </c>
      <c r="GE11" s="61" t="s">
        <v>2</v>
      </c>
      <c r="GF11" s="61" t="s">
        <v>2</v>
      </c>
      <c r="GG11" s="62"/>
      <c r="GH11" s="17" t="s">
        <v>870</v>
      </c>
      <c r="GI11" s="17" t="s">
        <v>870</v>
      </c>
      <c r="GJ11" s="63"/>
      <c r="GK11" s="63"/>
      <c r="GL11" s="17" t="s">
        <v>870</v>
      </c>
      <c r="GM11" s="63"/>
      <c r="GN11" s="63"/>
      <c r="GO11" s="63"/>
      <c r="GP11" s="63"/>
      <c r="GQ11" s="62"/>
      <c r="GR11" s="61" t="s">
        <v>2</v>
      </c>
      <c r="GS11" s="63"/>
      <c r="GT11" s="63"/>
      <c r="GU11" s="62"/>
      <c r="GV11" s="62"/>
      <c r="GW11" s="63"/>
      <c r="GX11" s="63"/>
      <c r="GY11" s="62"/>
      <c r="GZ11" s="17" t="s">
        <v>870</v>
      </c>
      <c r="HA11" s="63"/>
      <c r="HB11" s="63"/>
      <c r="HC11" s="17" t="s">
        <v>870</v>
      </c>
      <c r="HD11" s="17" t="s">
        <v>870</v>
      </c>
      <c r="HE11" s="62"/>
      <c r="HF11" s="63"/>
      <c r="HG11" s="63"/>
      <c r="HH11" s="63"/>
      <c r="HI11" s="62"/>
      <c r="HJ11" s="17" t="s">
        <v>870</v>
      </c>
      <c r="HK11" s="17" t="s">
        <v>870</v>
      </c>
      <c r="HL11" s="17" t="s">
        <v>870</v>
      </c>
      <c r="HM11" s="17" t="s">
        <v>870</v>
      </c>
      <c r="HN11" s="17" t="s">
        <v>870</v>
      </c>
      <c r="HO11" s="17" t="s">
        <v>870</v>
      </c>
      <c r="HP11" s="17" t="s">
        <v>870</v>
      </c>
      <c r="HQ11" s="17" t="s">
        <v>870</v>
      </c>
      <c r="HR11" s="17" t="s">
        <v>870</v>
      </c>
      <c r="HS11" s="17" t="s">
        <v>870</v>
      </c>
      <c r="HT11" s="17" t="s">
        <v>870</v>
      </c>
      <c r="HU11" s="62"/>
      <c r="HV11" s="17" t="s">
        <v>870</v>
      </c>
      <c r="HW11" s="17" t="s">
        <v>870</v>
      </c>
      <c r="HX11" s="17" t="s">
        <v>870</v>
      </c>
      <c r="HY11" s="17" t="s">
        <v>870</v>
      </c>
      <c r="HZ11" s="61" t="s">
        <v>2</v>
      </c>
      <c r="IA11" s="17" t="s">
        <v>870</v>
      </c>
      <c r="IB11" s="17" t="s">
        <v>870</v>
      </c>
      <c r="IC11" s="17" t="s">
        <v>870</v>
      </c>
      <c r="ID11" s="17" t="s">
        <v>870</v>
      </c>
      <c r="IE11" s="17" t="s">
        <v>870</v>
      </c>
      <c r="IF11" s="17" t="s">
        <v>870</v>
      </c>
      <c r="IG11" s="17" t="s">
        <v>870</v>
      </c>
      <c r="IH11" s="17" t="s">
        <v>870</v>
      </c>
      <c r="II11" s="63"/>
      <c r="IJ11" s="62"/>
      <c r="IK11" s="17" t="s">
        <v>870</v>
      </c>
      <c r="IL11" s="17" t="s">
        <v>870</v>
      </c>
      <c r="IM11" s="63"/>
      <c r="IN11" s="63"/>
      <c r="IO11" s="63"/>
      <c r="IP11" s="61" t="s">
        <v>2</v>
      </c>
      <c r="IQ11" s="17" t="s">
        <v>870</v>
      </c>
      <c r="IR11" s="17" t="s">
        <v>870</v>
      </c>
      <c r="IS11" s="17" t="s">
        <v>870</v>
      </c>
      <c r="IT11" s="17" t="s">
        <v>870</v>
      </c>
      <c r="IU11" s="63"/>
      <c r="IV11" s="63"/>
      <c r="IW11" s="17" t="s">
        <v>870</v>
      </c>
      <c r="IX11" s="17" t="s">
        <v>870</v>
      </c>
      <c r="IY11" s="17" t="s">
        <v>870</v>
      </c>
      <c r="IZ11" s="17" t="s">
        <v>870</v>
      </c>
      <c r="JA11" s="17" t="s">
        <v>870</v>
      </c>
      <c r="JB11" s="17" t="s">
        <v>870</v>
      </c>
      <c r="JC11" s="17" t="s">
        <v>870</v>
      </c>
      <c r="JD11" s="17" t="s">
        <v>870</v>
      </c>
      <c r="JE11" s="17" t="s">
        <v>870</v>
      </c>
      <c r="JF11" s="17" t="s">
        <v>870</v>
      </c>
      <c r="JG11" s="17" t="s">
        <v>870</v>
      </c>
      <c r="JH11" s="17" t="s">
        <v>870</v>
      </c>
      <c r="JI11" s="17" t="s">
        <v>870</v>
      </c>
      <c r="JJ11" s="17" t="s">
        <v>870</v>
      </c>
      <c r="JK11" s="17" t="s">
        <v>870</v>
      </c>
      <c r="JL11" s="17" t="s">
        <v>870</v>
      </c>
      <c r="JM11" s="17" t="s">
        <v>870</v>
      </c>
      <c r="JN11" s="17" t="s">
        <v>870</v>
      </c>
      <c r="JO11" s="17" t="s">
        <v>870</v>
      </c>
      <c r="JP11" s="17" t="s">
        <v>870</v>
      </c>
      <c r="JQ11" s="17" t="s">
        <v>870</v>
      </c>
      <c r="JR11" s="17" t="s">
        <v>870</v>
      </c>
      <c r="JS11" s="17" t="s">
        <v>870</v>
      </c>
      <c r="JT11" s="17" t="s">
        <v>870</v>
      </c>
    </row>
    <row r="12" spans="1:298" x14ac:dyDescent="0.25">
      <c r="A12" t="s">
        <v>6</v>
      </c>
      <c r="B12" s="63"/>
      <c r="C12" s="61" t="s">
        <v>2</v>
      </c>
      <c r="D12" s="61" t="s">
        <v>2</v>
      </c>
      <c r="E12" s="62"/>
      <c r="F12" s="63"/>
      <c r="G12" s="63"/>
      <c r="H12" s="61" t="s">
        <v>2</v>
      </c>
      <c r="I12" s="63"/>
      <c r="J12" s="61" t="s">
        <v>2</v>
      </c>
      <c r="K12" s="63"/>
      <c r="L12" s="17" t="s">
        <v>870</v>
      </c>
      <c r="M12" s="17" t="s">
        <v>870</v>
      </c>
      <c r="N12" s="61" t="s">
        <v>2</v>
      </c>
      <c r="O12" s="17" t="s">
        <v>870</v>
      </c>
      <c r="P12" s="61" t="s">
        <v>2</v>
      </c>
      <c r="Q12" s="17" t="s">
        <v>870</v>
      </c>
      <c r="R12" s="61" t="s">
        <v>2</v>
      </c>
      <c r="S12" s="63"/>
      <c r="T12" s="62"/>
      <c r="U12" s="61" t="s">
        <v>2</v>
      </c>
      <c r="V12" s="61" t="s">
        <v>2</v>
      </c>
      <c r="W12" s="62"/>
      <c r="X12" s="61" t="s">
        <v>2</v>
      </c>
      <c r="Y12" s="61" t="s">
        <v>2</v>
      </c>
      <c r="Z12" s="61" t="s">
        <v>2</v>
      </c>
      <c r="AA12" s="61" t="s">
        <v>2</v>
      </c>
      <c r="AB12" s="61" t="s">
        <v>2</v>
      </c>
      <c r="AC12" s="61" t="s">
        <v>2</v>
      </c>
      <c r="AD12" s="62"/>
      <c r="AE12" s="61" t="s">
        <v>2</v>
      </c>
      <c r="AF12" s="61" t="s">
        <v>2</v>
      </c>
      <c r="AG12" s="61" t="s">
        <v>2</v>
      </c>
      <c r="AH12" s="61" t="s">
        <v>2</v>
      </c>
      <c r="AI12" s="61" t="s">
        <v>2</v>
      </c>
      <c r="AJ12" s="62"/>
      <c r="AK12" s="61" t="s">
        <v>2</v>
      </c>
      <c r="AL12" s="62"/>
      <c r="AM12" s="63"/>
      <c r="AN12" s="61" t="s">
        <v>2</v>
      </c>
      <c r="AO12" s="61" t="s">
        <v>2</v>
      </c>
      <c r="AP12" s="63"/>
      <c r="AQ12" s="61" t="s">
        <v>2</v>
      </c>
      <c r="AR12" s="61" t="s">
        <v>2</v>
      </c>
      <c r="AS12" s="61" t="s">
        <v>2</v>
      </c>
      <c r="AT12" s="62"/>
      <c r="AU12" s="61" t="s">
        <v>2</v>
      </c>
      <c r="AV12" s="61" t="s">
        <v>2</v>
      </c>
      <c r="AW12" s="63"/>
      <c r="AX12" s="61" t="s">
        <v>2</v>
      </c>
      <c r="AY12" s="61" t="s">
        <v>2</v>
      </c>
      <c r="AZ12" s="61" t="s">
        <v>2</v>
      </c>
      <c r="BA12" s="61" t="s">
        <v>2</v>
      </c>
      <c r="BB12" s="61" t="s">
        <v>2</v>
      </c>
      <c r="BC12" s="61" t="s">
        <v>2</v>
      </c>
      <c r="BD12" s="61" t="s">
        <v>2</v>
      </c>
      <c r="BE12" s="63"/>
      <c r="BF12" s="62"/>
      <c r="BG12" s="63"/>
      <c r="BH12" s="17" t="s">
        <v>870</v>
      </c>
      <c r="BI12" s="17" t="s">
        <v>870</v>
      </c>
      <c r="BJ12" s="17" t="s">
        <v>870</v>
      </c>
      <c r="BK12" s="17" t="s">
        <v>870</v>
      </c>
      <c r="BL12" s="17" t="s">
        <v>870</v>
      </c>
      <c r="BM12" s="17" t="s">
        <v>870</v>
      </c>
      <c r="BN12" s="17" t="s">
        <v>870</v>
      </c>
      <c r="BO12" s="17" t="s">
        <v>870</v>
      </c>
      <c r="BP12" s="61" t="s">
        <v>2</v>
      </c>
      <c r="BQ12" s="61" t="s">
        <v>2</v>
      </c>
      <c r="BR12" s="17" t="s">
        <v>870</v>
      </c>
      <c r="BS12" s="17" t="s">
        <v>870</v>
      </c>
      <c r="BT12" s="17" t="s">
        <v>870</v>
      </c>
      <c r="BU12" s="17" t="s">
        <v>870</v>
      </c>
      <c r="BV12" s="17" t="s">
        <v>870</v>
      </c>
      <c r="BW12" s="17" t="s">
        <v>870</v>
      </c>
      <c r="BX12" s="17" t="s">
        <v>870</v>
      </c>
      <c r="BY12" s="17" t="s">
        <v>870</v>
      </c>
      <c r="BZ12" s="17" t="s">
        <v>870</v>
      </c>
      <c r="CA12" s="17" t="s">
        <v>870</v>
      </c>
      <c r="CB12" s="17" t="s">
        <v>870</v>
      </c>
      <c r="CC12" s="17" t="s">
        <v>870</v>
      </c>
      <c r="CD12" s="17" t="s">
        <v>870</v>
      </c>
      <c r="CE12" s="17" t="s">
        <v>870</v>
      </c>
      <c r="CF12" s="17" t="s">
        <v>870</v>
      </c>
      <c r="CG12" s="17" t="s">
        <v>870</v>
      </c>
      <c r="CH12" s="17" t="s">
        <v>870</v>
      </c>
      <c r="CI12" s="17" t="s">
        <v>870</v>
      </c>
      <c r="CJ12" s="17" t="s">
        <v>870</v>
      </c>
      <c r="CK12" s="17" t="s">
        <v>870</v>
      </c>
      <c r="CL12" s="17" t="s">
        <v>870</v>
      </c>
      <c r="CM12" s="17" t="s">
        <v>870</v>
      </c>
      <c r="CN12" s="17" t="s">
        <v>870</v>
      </c>
      <c r="CO12" s="17" t="s">
        <v>870</v>
      </c>
      <c r="CP12" s="17" t="s">
        <v>870</v>
      </c>
      <c r="CQ12" s="17" t="s">
        <v>870</v>
      </c>
      <c r="CR12" s="17" t="s">
        <v>870</v>
      </c>
      <c r="CS12" s="17" t="s">
        <v>870</v>
      </c>
      <c r="CT12" s="17" t="s">
        <v>870</v>
      </c>
      <c r="CU12" s="17" t="s">
        <v>870</v>
      </c>
      <c r="CV12" s="17" t="s">
        <v>870</v>
      </c>
      <c r="CW12" s="17" t="s">
        <v>870</v>
      </c>
      <c r="CX12" s="17" t="s">
        <v>870</v>
      </c>
      <c r="CY12" s="17" t="s">
        <v>870</v>
      </c>
      <c r="CZ12" s="17" t="s">
        <v>870</v>
      </c>
      <c r="DA12" s="17" t="s">
        <v>870</v>
      </c>
      <c r="DB12" s="17" t="s">
        <v>870</v>
      </c>
      <c r="DC12" s="17" t="s">
        <v>870</v>
      </c>
      <c r="DD12" s="17" t="s">
        <v>870</v>
      </c>
      <c r="DE12" s="17" t="s">
        <v>870</v>
      </c>
      <c r="DF12" s="17" t="s">
        <v>870</v>
      </c>
      <c r="DG12" s="17" t="s">
        <v>870</v>
      </c>
      <c r="DH12" s="17" t="s">
        <v>870</v>
      </c>
      <c r="DI12" s="17" t="s">
        <v>870</v>
      </c>
      <c r="DJ12" s="17" t="s">
        <v>870</v>
      </c>
      <c r="DK12" s="17" t="s">
        <v>870</v>
      </c>
      <c r="DL12" s="17" t="s">
        <v>870</v>
      </c>
      <c r="DM12" s="17" t="s">
        <v>870</v>
      </c>
      <c r="DN12" s="17" t="s">
        <v>870</v>
      </c>
      <c r="DO12" s="17" t="s">
        <v>870</v>
      </c>
      <c r="DP12" s="17" t="s">
        <v>870</v>
      </c>
      <c r="DQ12" s="17" t="s">
        <v>870</v>
      </c>
      <c r="DR12" s="17" t="s">
        <v>870</v>
      </c>
      <c r="DS12" s="17" t="s">
        <v>870</v>
      </c>
      <c r="DT12" s="17" t="s">
        <v>870</v>
      </c>
      <c r="DU12" s="17" t="s">
        <v>870</v>
      </c>
      <c r="DV12" s="17" t="s">
        <v>870</v>
      </c>
      <c r="DW12" s="17" t="s">
        <v>870</v>
      </c>
      <c r="DX12" s="17" t="s">
        <v>870</v>
      </c>
      <c r="DY12" s="17" t="s">
        <v>870</v>
      </c>
      <c r="DZ12" s="17" t="s">
        <v>870</v>
      </c>
      <c r="EA12" s="17" t="s">
        <v>870</v>
      </c>
      <c r="EB12" s="17" t="s">
        <v>870</v>
      </c>
      <c r="EC12" s="17" t="s">
        <v>870</v>
      </c>
      <c r="ED12" s="17" t="s">
        <v>870</v>
      </c>
      <c r="EE12" s="17" t="s">
        <v>870</v>
      </c>
      <c r="EF12" s="17" t="s">
        <v>870</v>
      </c>
      <c r="EG12" s="17" t="s">
        <v>870</v>
      </c>
      <c r="EH12" s="17" t="s">
        <v>870</v>
      </c>
      <c r="EI12" s="17" t="s">
        <v>870</v>
      </c>
      <c r="EJ12" s="17" t="s">
        <v>870</v>
      </c>
      <c r="EK12" s="17" t="s">
        <v>870</v>
      </c>
      <c r="EL12" s="17" t="s">
        <v>870</v>
      </c>
      <c r="EM12" s="17" t="s">
        <v>870</v>
      </c>
      <c r="EN12" s="17" t="s">
        <v>870</v>
      </c>
      <c r="EO12" s="17" t="s">
        <v>870</v>
      </c>
      <c r="EP12" s="17" t="s">
        <v>870</v>
      </c>
      <c r="EQ12" s="17" t="s">
        <v>870</v>
      </c>
      <c r="ER12" s="17" t="s">
        <v>870</v>
      </c>
      <c r="ES12" s="17" t="s">
        <v>870</v>
      </c>
      <c r="ET12" s="17" t="s">
        <v>870</v>
      </c>
      <c r="EU12" s="17" t="s">
        <v>870</v>
      </c>
      <c r="EV12" s="17" t="s">
        <v>870</v>
      </c>
      <c r="EW12" s="17" t="s">
        <v>870</v>
      </c>
      <c r="EX12" s="17" t="s">
        <v>870</v>
      </c>
      <c r="EY12" s="17" t="s">
        <v>870</v>
      </c>
      <c r="EZ12" s="17" t="s">
        <v>870</v>
      </c>
      <c r="FA12" s="17" t="s">
        <v>870</v>
      </c>
      <c r="FB12" s="17" t="s">
        <v>870</v>
      </c>
      <c r="FC12" s="17" t="s">
        <v>870</v>
      </c>
      <c r="FD12" s="17" t="s">
        <v>870</v>
      </c>
      <c r="FE12" s="17" t="s">
        <v>870</v>
      </c>
      <c r="FF12" s="17" t="s">
        <v>870</v>
      </c>
      <c r="FG12" s="17" t="s">
        <v>870</v>
      </c>
      <c r="FH12" s="17" t="s">
        <v>870</v>
      </c>
      <c r="FI12" s="17" t="s">
        <v>870</v>
      </c>
      <c r="FJ12" s="17" t="s">
        <v>870</v>
      </c>
      <c r="FK12" s="17" t="s">
        <v>870</v>
      </c>
      <c r="FL12" s="17" t="s">
        <v>870</v>
      </c>
      <c r="FM12" s="17" t="s">
        <v>870</v>
      </c>
      <c r="FN12" s="17" t="s">
        <v>870</v>
      </c>
      <c r="FO12" s="17" t="s">
        <v>870</v>
      </c>
      <c r="FP12" s="17" t="s">
        <v>870</v>
      </c>
      <c r="FQ12" s="17" t="s">
        <v>870</v>
      </c>
      <c r="FR12" s="17" t="s">
        <v>870</v>
      </c>
      <c r="FS12" s="17" t="s">
        <v>870</v>
      </c>
      <c r="FT12" s="17" t="s">
        <v>870</v>
      </c>
      <c r="FU12" s="17" t="s">
        <v>870</v>
      </c>
      <c r="FV12" s="17" t="s">
        <v>870</v>
      </c>
      <c r="FW12" s="17" t="s">
        <v>870</v>
      </c>
      <c r="FX12" s="17" t="s">
        <v>870</v>
      </c>
      <c r="FY12" s="17" t="s">
        <v>870</v>
      </c>
      <c r="FZ12" s="17" t="s">
        <v>870</v>
      </c>
      <c r="GA12" s="17" t="s">
        <v>870</v>
      </c>
      <c r="GB12" s="17" t="s">
        <v>870</v>
      </c>
      <c r="GC12" s="17" t="s">
        <v>870</v>
      </c>
      <c r="GD12" s="17" t="s">
        <v>870</v>
      </c>
      <c r="GE12" s="17" t="s">
        <v>870</v>
      </c>
      <c r="GF12" s="17" t="s">
        <v>870</v>
      </c>
      <c r="GG12" s="17" t="s">
        <v>870</v>
      </c>
      <c r="GH12" s="17" t="s">
        <v>870</v>
      </c>
      <c r="GI12" s="17" t="s">
        <v>870</v>
      </c>
      <c r="GJ12" s="17" t="s">
        <v>870</v>
      </c>
      <c r="GK12" s="17" t="s">
        <v>870</v>
      </c>
      <c r="GL12" s="17" t="s">
        <v>870</v>
      </c>
      <c r="GM12" s="17" t="s">
        <v>870</v>
      </c>
      <c r="GN12" s="17" t="s">
        <v>870</v>
      </c>
      <c r="GO12" s="17" t="s">
        <v>870</v>
      </c>
      <c r="GP12" s="17" t="s">
        <v>870</v>
      </c>
      <c r="GQ12" s="17" t="s">
        <v>870</v>
      </c>
      <c r="GR12" s="17" t="s">
        <v>870</v>
      </c>
      <c r="GS12" s="17" t="s">
        <v>870</v>
      </c>
      <c r="GT12" s="17" t="s">
        <v>870</v>
      </c>
      <c r="GU12" s="17" t="s">
        <v>870</v>
      </c>
      <c r="GV12" s="17" t="s">
        <v>870</v>
      </c>
      <c r="GW12" s="17" t="s">
        <v>870</v>
      </c>
      <c r="GX12" s="17" t="s">
        <v>870</v>
      </c>
      <c r="GY12" s="17" t="s">
        <v>870</v>
      </c>
      <c r="GZ12" s="17" t="s">
        <v>870</v>
      </c>
      <c r="HA12" s="17" t="s">
        <v>870</v>
      </c>
      <c r="HB12" s="17" t="s">
        <v>870</v>
      </c>
      <c r="HC12" s="17" t="s">
        <v>870</v>
      </c>
      <c r="HD12" s="17" t="s">
        <v>870</v>
      </c>
      <c r="HE12" s="17" t="s">
        <v>870</v>
      </c>
      <c r="HF12" s="17" t="s">
        <v>870</v>
      </c>
      <c r="HG12" s="17" t="s">
        <v>870</v>
      </c>
      <c r="HH12" s="17" t="s">
        <v>870</v>
      </c>
      <c r="HI12" s="17" t="s">
        <v>870</v>
      </c>
      <c r="HJ12" s="17" t="s">
        <v>870</v>
      </c>
      <c r="HK12" s="17" t="s">
        <v>870</v>
      </c>
      <c r="HL12" s="17" t="s">
        <v>870</v>
      </c>
      <c r="HM12" s="17" t="s">
        <v>870</v>
      </c>
      <c r="HN12" s="17" t="s">
        <v>870</v>
      </c>
      <c r="HO12" s="17" t="s">
        <v>870</v>
      </c>
      <c r="HP12" s="17" t="s">
        <v>870</v>
      </c>
      <c r="HQ12" s="17" t="s">
        <v>870</v>
      </c>
      <c r="HR12" s="17" t="s">
        <v>870</v>
      </c>
      <c r="HS12" s="17" t="s">
        <v>870</v>
      </c>
      <c r="HT12" s="17" t="s">
        <v>870</v>
      </c>
      <c r="HU12" s="17" t="s">
        <v>870</v>
      </c>
      <c r="HV12" s="17" t="s">
        <v>870</v>
      </c>
      <c r="HW12" s="17" t="s">
        <v>870</v>
      </c>
      <c r="HX12" s="17" t="s">
        <v>870</v>
      </c>
      <c r="HY12" s="17" t="s">
        <v>870</v>
      </c>
      <c r="HZ12" s="17" t="s">
        <v>870</v>
      </c>
      <c r="IA12" s="17" t="s">
        <v>870</v>
      </c>
      <c r="IB12" s="17" t="s">
        <v>870</v>
      </c>
      <c r="IC12" s="17" t="s">
        <v>870</v>
      </c>
      <c r="ID12" s="17" t="s">
        <v>870</v>
      </c>
      <c r="IE12" s="17" t="s">
        <v>870</v>
      </c>
      <c r="IF12" s="17" t="s">
        <v>870</v>
      </c>
      <c r="IG12" s="17" t="s">
        <v>870</v>
      </c>
      <c r="IH12" s="17" t="s">
        <v>870</v>
      </c>
      <c r="II12" s="17" t="s">
        <v>870</v>
      </c>
      <c r="IJ12" s="17" t="s">
        <v>870</v>
      </c>
      <c r="IK12" s="17" t="s">
        <v>870</v>
      </c>
      <c r="IL12" s="17" t="s">
        <v>870</v>
      </c>
      <c r="IM12" s="17" t="s">
        <v>870</v>
      </c>
      <c r="IN12" s="17" t="s">
        <v>870</v>
      </c>
      <c r="IO12" s="17" t="s">
        <v>870</v>
      </c>
      <c r="IP12" s="17" t="s">
        <v>870</v>
      </c>
      <c r="IQ12" s="17" t="s">
        <v>870</v>
      </c>
      <c r="IR12" s="17" t="s">
        <v>870</v>
      </c>
      <c r="IS12" s="17" t="s">
        <v>870</v>
      </c>
      <c r="IT12" s="17" t="s">
        <v>870</v>
      </c>
      <c r="IU12" s="17" t="s">
        <v>870</v>
      </c>
      <c r="IV12" s="17" t="s">
        <v>870</v>
      </c>
      <c r="IW12" s="17" t="s">
        <v>870</v>
      </c>
      <c r="IX12" s="17" t="s">
        <v>870</v>
      </c>
      <c r="IY12" s="17" t="s">
        <v>870</v>
      </c>
      <c r="IZ12" s="17" t="s">
        <v>870</v>
      </c>
      <c r="JA12" s="17" t="s">
        <v>870</v>
      </c>
      <c r="JB12" s="17" t="s">
        <v>870</v>
      </c>
      <c r="JC12" s="17" t="s">
        <v>870</v>
      </c>
      <c r="JD12" s="17" t="s">
        <v>870</v>
      </c>
      <c r="JE12" s="17" t="s">
        <v>870</v>
      </c>
      <c r="JF12" s="17" t="s">
        <v>870</v>
      </c>
      <c r="JG12" s="17" t="s">
        <v>870</v>
      </c>
      <c r="JH12" s="17" t="s">
        <v>870</v>
      </c>
      <c r="JI12" s="17" t="s">
        <v>870</v>
      </c>
      <c r="JJ12" s="17" t="s">
        <v>870</v>
      </c>
      <c r="JK12" s="17" t="s">
        <v>870</v>
      </c>
      <c r="JL12" s="17" t="s">
        <v>870</v>
      </c>
      <c r="JM12" s="17" t="s">
        <v>870</v>
      </c>
      <c r="JN12" s="17" t="s">
        <v>870</v>
      </c>
      <c r="JO12" s="17" t="s">
        <v>870</v>
      </c>
      <c r="JP12" s="17" t="s">
        <v>870</v>
      </c>
      <c r="JQ12" s="17" t="s">
        <v>870</v>
      </c>
      <c r="JR12" s="17" t="s">
        <v>870</v>
      </c>
      <c r="JS12" s="17" t="s">
        <v>870</v>
      </c>
      <c r="JT12" s="17" t="s">
        <v>870</v>
      </c>
    </row>
    <row r="13" spans="1:298" x14ac:dyDescent="0.25">
      <c r="A13" t="s">
        <v>356</v>
      </c>
      <c r="B13" s="17" t="s">
        <v>870</v>
      </c>
      <c r="C13" s="17" t="s">
        <v>870</v>
      </c>
      <c r="D13" s="17" t="s">
        <v>870</v>
      </c>
      <c r="E13" s="17" t="s">
        <v>870</v>
      </c>
      <c r="F13" s="17" t="s">
        <v>870</v>
      </c>
      <c r="G13" s="17" t="s">
        <v>870</v>
      </c>
      <c r="H13" s="17" t="s">
        <v>870</v>
      </c>
      <c r="I13" s="17" t="s">
        <v>870</v>
      </c>
      <c r="J13" s="17" t="s">
        <v>870</v>
      </c>
      <c r="K13" s="17" t="s">
        <v>870</v>
      </c>
      <c r="L13" s="17" t="s">
        <v>870</v>
      </c>
      <c r="M13" s="17" t="s">
        <v>870</v>
      </c>
      <c r="N13" s="17" t="s">
        <v>870</v>
      </c>
      <c r="O13" s="17" t="s">
        <v>870</v>
      </c>
      <c r="P13" s="17" t="s">
        <v>870</v>
      </c>
      <c r="Q13" s="17" t="s">
        <v>870</v>
      </c>
      <c r="R13" s="17" t="s">
        <v>870</v>
      </c>
      <c r="S13" s="17" t="s">
        <v>870</v>
      </c>
      <c r="T13" s="17" t="s">
        <v>870</v>
      </c>
      <c r="U13" s="17" t="s">
        <v>870</v>
      </c>
      <c r="V13" s="17" t="s">
        <v>870</v>
      </c>
      <c r="W13" s="17" t="s">
        <v>870</v>
      </c>
      <c r="X13" s="17" t="s">
        <v>870</v>
      </c>
      <c r="Y13" s="17" t="s">
        <v>870</v>
      </c>
      <c r="Z13" s="17" t="s">
        <v>870</v>
      </c>
      <c r="AA13" s="17" t="s">
        <v>870</v>
      </c>
      <c r="AB13" s="17" t="s">
        <v>870</v>
      </c>
      <c r="AC13" s="17" t="s">
        <v>870</v>
      </c>
      <c r="AD13" s="17" t="s">
        <v>870</v>
      </c>
      <c r="AE13" s="17" t="s">
        <v>870</v>
      </c>
      <c r="AF13" s="17" t="s">
        <v>870</v>
      </c>
      <c r="AG13" s="17" t="s">
        <v>870</v>
      </c>
      <c r="AH13" s="17" t="s">
        <v>870</v>
      </c>
      <c r="AI13" s="17" t="s">
        <v>870</v>
      </c>
      <c r="AJ13" s="17" t="s">
        <v>870</v>
      </c>
      <c r="AK13" s="17" t="s">
        <v>870</v>
      </c>
      <c r="AL13" s="17" t="s">
        <v>870</v>
      </c>
      <c r="AM13" s="17" t="s">
        <v>870</v>
      </c>
      <c r="AN13" s="17" t="s">
        <v>870</v>
      </c>
      <c r="AO13" s="17" t="s">
        <v>870</v>
      </c>
      <c r="AP13" s="17" t="s">
        <v>870</v>
      </c>
      <c r="AQ13" s="17" t="s">
        <v>870</v>
      </c>
      <c r="AR13" s="17" t="s">
        <v>870</v>
      </c>
      <c r="AS13" s="17" t="s">
        <v>870</v>
      </c>
      <c r="AT13" s="17" t="s">
        <v>870</v>
      </c>
      <c r="AU13" s="17" t="s">
        <v>870</v>
      </c>
      <c r="AV13" s="17" t="s">
        <v>870</v>
      </c>
      <c r="AW13" s="17" t="s">
        <v>870</v>
      </c>
      <c r="AX13" s="17" t="s">
        <v>870</v>
      </c>
      <c r="AY13" s="17" t="s">
        <v>870</v>
      </c>
      <c r="AZ13" s="17" t="s">
        <v>870</v>
      </c>
      <c r="BA13" s="17" t="s">
        <v>870</v>
      </c>
      <c r="BB13" s="17" t="s">
        <v>870</v>
      </c>
      <c r="BC13" s="17" t="s">
        <v>870</v>
      </c>
      <c r="BD13" s="17" t="s">
        <v>870</v>
      </c>
      <c r="BE13" s="17" t="s">
        <v>870</v>
      </c>
      <c r="BF13" s="17" t="s">
        <v>870</v>
      </c>
      <c r="BG13" s="17" t="s">
        <v>870</v>
      </c>
      <c r="BH13" s="17" t="s">
        <v>870</v>
      </c>
      <c r="BI13" s="17" t="s">
        <v>870</v>
      </c>
      <c r="BJ13" s="17" t="s">
        <v>870</v>
      </c>
      <c r="BK13" s="17" t="s">
        <v>870</v>
      </c>
      <c r="BL13" s="17" t="s">
        <v>870</v>
      </c>
      <c r="BM13" s="17" t="s">
        <v>870</v>
      </c>
      <c r="BN13" s="17" t="s">
        <v>870</v>
      </c>
      <c r="BO13" s="17" t="s">
        <v>870</v>
      </c>
      <c r="BP13" s="17" t="s">
        <v>870</v>
      </c>
      <c r="BQ13" s="17" t="s">
        <v>870</v>
      </c>
      <c r="BR13" s="17" t="s">
        <v>870</v>
      </c>
      <c r="BS13" s="17" t="s">
        <v>870</v>
      </c>
      <c r="BT13" s="17" t="s">
        <v>870</v>
      </c>
      <c r="BU13" s="17" t="s">
        <v>870</v>
      </c>
      <c r="BV13" s="17" t="s">
        <v>870</v>
      </c>
      <c r="BW13" s="17" t="s">
        <v>870</v>
      </c>
      <c r="BX13" s="17" t="s">
        <v>870</v>
      </c>
      <c r="BY13" s="17" t="s">
        <v>870</v>
      </c>
      <c r="BZ13" s="17" t="s">
        <v>870</v>
      </c>
      <c r="CA13" s="17" t="s">
        <v>870</v>
      </c>
      <c r="CB13" s="17" t="s">
        <v>870</v>
      </c>
      <c r="CC13" s="17" t="s">
        <v>870</v>
      </c>
      <c r="CD13" s="17" t="s">
        <v>870</v>
      </c>
      <c r="CE13" s="17" t="s">
        <v>870</v>
      </c>
      <c r="CF13" s="17" t="s">
        <v>870</v>
      </c>
      <c r="CG13" s="17" t="s">
        <v>870</v>
      </c>
      <c r="CH13" s="17" t="s">
        <v>870</v>
      </c>
      <c r="CI13" s="17" t="s">
        <v>870</v>
      </c>
      <c r="CJ13" s="17" t="s">
        <v>870</v>
      </c>
      <c r="CK13" s="17" t="s">
        <v>870</v>
      </c>
      <c r="CL13" s="17" t="s">
        <v>870</v>
      </c>
      <c r="CM13" s="17" t="s">
        <v>870</v>
      </c>
      <c r="CN13" s="17" t="s">
        <v>870</v>
      </c>
      <c r="CO13" s="17" t="s">
        <v>870</v>
      </c>
      <c r="CP13" s="17" t="s">
        <v>870</v>
      </c>
      <c r="CQ13" s="17" t="s">
        <v>870</v>
      </c>
      <c r="CR13" s="17" t="s">
        <v>870</v>
      </c>
      <c r="CS13" s="17" t="s">
        <v>870</v>
      </c>
      <c r="CT13" s="17" t="s">
        <v>870</v>
      </c>
      <c r="CU13" s="17" t="s">
        <v>870</v>
      </c>
      <c r="CV13" s="17" t="s">
        <v>870</v>
      </c>
      <c r="CW13" s="17" t="s">
        <v>870</v>
      </c>
      <c r="CX13" s="17" t="s">
        <v>870</v>
      </c>
      <c r="CY13" s="17" t="s">
        <v>870</v>
      </c>
      <c r="CZ13" s="17" t="s">
        <v>870</v>
      </c>
      <c r="DA13" s="17" t="s">
        <v>870</v>
      </c>
      <c r="DB13" s="17" t="s">
        <v>870</v>
      </c>
      <c r="DC13" s="17" t="s">
        <v>870</v>
      </c>
      <c r="DD13" s="17" t="s">
        <v>870</v>
      </c>
      <c r="DE13" s="17" t="s">
        <v>870</v>
      </c>
      <c r="DF13" s="17" t="s">
        <v>870</v>
      </c>
      <c r="DG13" s="17" t="s">
        <v>870</v>
      </c>
      <c r="DH13" s="17" t="s">
        <v>870</v>
      </c>
      <c r="DI13" s="17" t="s">
        <v>870</v>
      </c>
      <c r="DJ13" s="17" t="s">
        <v>870</v>
      </c>
      <c r="DK13" s="17" t="s">
        <v>870</v>
      </c>
      <c r="DL13" s="17" t="s">
        <v>870</v>
      </c>
      <c r="DM13" s="17" t="s">
        <v>870</v>
      </c>
      <c r="DN13" s="17" t="s">
        <v>870</v>
      </c>
      <c r="DO13" s="17" t="s">
        <v>870</v>
      </c>
      <c r="DP13" s="17" t="s">
        <v>870</v>
      </c>
      <c r="DQ13" s="17" t="s">
        <v>870</v>
      </c>
      <c r="DR13" s="17" t="s">
        <v>870</v>
      </c>
      <c r="DS13" s="17" t="s">
        <v>870</v>
      </c>
      <c r="DT13" s="17" t="s">
        <v>870</v>
      </c>
      <c r="DU13" s="17" t="s">
        <v>870</v>
      </c>
      <c r="DV13" s="17" t="s">
        <v>870</v>
      </c>
      <c r="DW13" s="17" t="s">
        <v>870</v>
      </c>
      <c r="DX13" s="17" t="s">
        <v>870</v>
      </c>
      <c r="DY13" s="17" t="s">
        <v>870</v>
      </c>
      <c r="DZ13" s="17" t="s">
        <v>870</v>
      </c>
      <c r="EA13" s="17" t="s">
        <v>870</v>
      </c>
      <c r="EB13" s="17" t="s">
        <v>870</v>
      </c>
      <c r="EC13" s="17" t="s">
        <v>870</v>
      </c>
      <c r="ED13" s="17" t="s">
        <v>870</v>
      </c>
      <c r="EE13" s="17" t="s">
        <v>870</v>
      </c>
      <c r="EF13" s="17" t="s">
        <v>870</v>
      </c>
      <c r="EG13" s="17" t="s">
        <v>870</v>
      </c>
      <c r="EH13" s="17" t="s">
        <v>870</v>
      </c>
      <c r="EI13" s="17" t="s">
        <v>870</v>
      </c>
      <c r="EJ13" s="17" t="s">
        <v>870</v>
      </c>
      <c r="EK13" s="17" t="s">
        <v>870</v>
      </c>
      <c r="EL13" s="17" t="s">
        <v>870</v>
      </c>
      <c r="EM13" s="17" t="s">
        <v>870</v>
      </c>
      <c r="EN13" s="17" t="s">
        <v>870</v>
      </c>
      <c r="EO13" s="17" t="s">
        <v>870</v>
      </c>
      <c r="EP13" s="17" t="s">
        <v>870</v>
      </c>
      <c r="EQ13" s="17" t="s">
        <v>870</v>
      </c>
      <c r="ER13" s="17" t="s">
        <v>870</v>
      </c>
      <c r="ES13" s="17" t="s">
        <v>870</v>
      </c>
      <c r="ET13" s="17" t="s">
        <v>870</v>
      </c>
      <c r="EU13" s="17" t="s">
        <v>870</v>
      </c>
      <c r="EV13" s="17" t="s">
        <v>870</v>
      </c>
      <c r="EW13" s="17" t="s">
        <v>870</v>
      </c>
      <c r="EX13" s="17" t="s">
        <v>870</v>
      </c>
      <c r="EY13" s="17" t="s">
        <v>870</v>
      </c>
      <c r="EZ13" s="17" t="s">
        <v>870</v>
      </c>
      <c r="FA13" s="17" t="s">
        <v>870</v>
      </c>
      <c r="FB13" s="17" t="s">
        <v>870</v>
      </c>
      <c r="FC13" s="17" t="s">
        <v>870</v>
      </c>
      <c r="FD13" s="17" t="s">
        <v>870</v>
      </c>
      <c r="FE13" s="17" t="s">
        <v>870</v>
      </c>
      <c r="FF13" s="17" t="s">
        <v>870</v>
      </c>
      <c r="FG13" s="17" t="s">
        <v>870</v>
      </c>
      <c r="FH13" s="17" t="s">
        <v>870</v>
      </c>
      <c r="FI13" s="17" t="s">
        <v>870</v>
      </c>
      <c r="FJ13" s="61" t="s">
        <v>2</v>
      </c>
      <c r="FK13" s="61" t="s">
        <v>2</v>
      </c>
      <c r="FL13" s="61" t="s">
        <v>2</v>
      </c>
      <c r="FM13" s="61" t="s">
        <v>2</v>
      </c>
      <c r="FN13" s="61" t="s">
        <v>2</v>
      </c>
      <c r="FO13" s="61" t="s">
        <v>2</v>
      </c>
      <c r="FP13" s="61" t="s">
        <v>2</v>
      </c>
      <c r="FQ13" s="61" t="s">
        <v>2</v>
      </c>
      <c r="FR13" s="61" t="s">
        <v>2</v>
      </c>
      <c r="FS13" s="61" t="s">
        <v>2</v>
      </c>
      <c r="FT13" s="61" t="s">
        <v>2</v>
      </c>
      <c r="FU13" s="62"/>
      <c r="FV13" s="61" t="s">
        <v>2</v>
      </c>
      <c r="FW13" s="62"/>
      <c r="FX13" s="63"/>
      <c r="FY13" s="61" t="s">
        <v>2</v>
      </c>
      <c r="FZ13" s="17" t="s">
        <v>870</v>
      </c>
      <c r="GA13" s="17" t="s">
        <v>870</v>
      </c>
      <c r="GB13" s="17" t="s">
        <v>870</v>
      </c>
      <c r="GC13" s="17" t="s">
        <v>870</v>
      </c>
      <c r="GD13" s="62"/>
      <c r="GE13" s="61" t="s">
        <v>2</v>
      </c>
      <c r="GF13" s="62"/>
      <c r="GG13" s="61" t="s">
        <v>2</v>
      </c>
      <c r="GH13" s="17" t="s">
        <v>870</v>
      </c>
      <c r="GI13" s="17" t="s">
        <v>870</v>
      </c>
      <c r="GJ13" s="61" t="s">
        <v>2</v>
      </c>
      <c r="GK13" s="61" t="s">
        <v>2</v>
      </c>
      <c r="GL13" s="61" t="s">
        <v>2</v>
      </c>
      <c r="GM13" s="17" t="s">
        <v>870</v>
      </c>
      <c r="GN13" s="17" t="s">
        <v>870</v>
      </c>
      <c r="GO13" s="61" t="s">
        <v>2</v>
      </c>
      <c r="GP13" s="61" t="s">
        <v>2</v>
      </c>
      <c r="GQ13" s="61" t="s">
        <v>2</v>
      </c>
      <c r="GR13" s="63"/>
      <c r="GS13" s="61" t="s">
        <v>2</v>
      </c>
      <c r="GT13" s="62"/>
      <c r="GU13" s="61" t="s">
        <v>2</v>
      </c>
      <c r="GV13" s="17" t="s">
        <v>870</v>
      </c>
      <c r="GW13" s="17" t="s">
        <v>870</v>
      </c>
      <c r="GX13" s="61" t="s">
        <v>2</v>
      </c>
      <c r="GY13" s="61" t="s">
        <v>2</v>
      </c>
      <c r="GZ13" s="61" t="s">
        <v>2</v>
      </c>
      <c r="HA13" s="61" t="s">
        <v>2</v>
      </c>
      <c r="HB13" s="62"/>
      <c r="HC13" s="61" t="s">
        <v>2</v>
      </c>
      <c r="HD13" s="63"/>
      <c r="HE13" s="17" t="s">
        <v>870</v>
      </c>
      <c r="HF13" s="17" t="s">
        <v>870</v>
      </c>
      <c r="HG13" s="17" t="s">
        <v>870</v>
      </c>
      <c r="HH13" s="61" t="s">
        <v>2</v>
      </c>
      <c r="HI13" s="63"/>
      <c r="HJ13" s="17" t="s">
        <v>870</v>
      </c>
      <c r="HK13" s="17" t="s">
        <v>870</v>
      </c>
      <c r="HL13" s="17" t="s">
        <v>870</v>
      </c>
      <c r="HM13" s="61" t="s">
        <v>2</v>
      </c>
      <c r="HN13" s="61" t="s">
        <v>2</v>
      </c>
      <c r="HO13" s="17" t="s">
        <v>870</v>
      </c>
      <c r="HP13" s="17" t="s">
        <v>870</v>
      </c>
      <c r="HQ13" s="61" t="s">
        <v>2</v>
      </c>
      <c r="HR13" s="61" t="s">
        <v>2</v>
      </c>
      <c r="HS13" s="62"/>
      <c r="HT13" s="61" t="s">
        <v>2</v>
      </c>
      <c r="HU13" s="62"/>
      <c r="HV13" s="61" t="s">
        <v>2</v>
      </c>
      <c r="HW13" s="17" t="s">
        <v>870</v>
      </c>
      <c r="HX13" s="17" t="s">
        <v>870</v>
      </c>
      <c r="HY13" s="17" t="s">
        <v>870</v>
      </c>
      <c r="HZ13" s="17" t="s">
        <v>870</v>
      </c>
      <c r="IA13" s="17" t="s">
        <v>870</v>
      </c>
      <c r="IB13" s="17" t="s">
        <v>870</v>
      </c>
      <c r="IC13" s="61" t="s">
        <v>2</v>
      </c>
      <c r="ID13" s="61" t="s">
        <v>2</v>
      </c>
      <c r="IE13" s="61" t="s">
        <v>2</v>
      </c>
      <c r="IF13" s="61" t="s">
        <v>2</v>
      </c>
      <c r="IG13" s="63"/>
      <c r="IH13" s="61" t="s">
        <v>2</v>
      </c>
      <c r="II13" s="17" t="s">
        <v>870</v>
      </c>
      <c r="IJ13" s="17" t="s">
        <v>870</v>
      </c>
      <c r="IK13" s="63"/>
      <c r="IL13" s="61" t="s">
        <v>2</v>
      </c>
      <c r="IM13" s="61" t="s">
        <v>2</v>
      </c>
      <c r="IN13" s="61" t="s">
        <v>2</v>
      </c>
      <c r="IO13" s="61" t="s">
        <v>2</v>
      </c>
      <c r="IP13" s="63"/>
      <c r="IQ13" s="17" t="s">
        <v>870</v>
      </c>
      <c r="IR13" s="17" t="s">
        <v>870</v>
      </c>
      <c r="IS13" s="17" t="s">
        <v>870</v>
      </c>
      <c r="IT13" s="17" t="s">
        <v>870</v>
      </c>
      <c r="IU13" s="17" t="s">
        <v>870</v>
      </c>
      <c r="IV13" s="17" t="s">
        <v>870</v>
      </c>
      <c r="IW13" s="17" t="s">
        <v>870</v>
      </c>
      <c r="IX13" s="17" t="s">
        <v>870</v>
      </c>
      <c r="IY13" s="17" t="s">
        <v>870</v>
      </c>
      <c r="IZ13" s="17" t="s">
        <v>870</v>
      </c>
      <c r="JA13" s="17" t="s">
        <v>870</v>
      </c>
      <c r="JB13" s="17" t="s">
        <v>870</v>
      </c>
      <c r="JC13" s="17" t="s">
        <v>870</v>
      </c>
      <c r="JD13" s="17" t="s">
        <v>870</v>
      </c>
      <c r="JE13" s="17" t="s">
        <v>870</v>
      </c>
      <c r="JF13" s="17" t="s">
        <v>870</v>
      </c>
      <c r="JG13" s="17" t="s">
        <v>870</v>
      </c>
      <c r="JH13" s="17" t="s">
        <v>870</v>
      </c>
      <c r="JI13" s="17" t="s">
        <v>870</v>
      </c>
      <c r="JJ13" s="17" t="s">
        <v>870</v>
      </c>
      <c r="JK13" s="17" t="s">
        <v>870</v>
      </c>
      <c r="JL13" s="17" t="s">
        <v>870</v>
      </c>
      <c r="JM13" s="17" t="s">
        <v>870</v>
      </c>
      <c r="JN13" s="17" t="s">
        <v>870</v>
      </c>
      <c r="JO13" s="17" t="s">
        <v>870</v>
      </c>
      <c r="JP13" s="17" t="s">
        <v>870</v>
      </c>
      <c r="JQ13" s="17" t="s">
        <v>870</v>
      </c>
      <c r="JR13" s="17" t="s">
        <v>870</v>
      </c>
      <c r="JS13" s="17" t="s">
        <v>870</v>
      </c>
      <c r="JT13" s="17" t="s">
        <v>870</v>
      </c>
    </row>
    <row r="14" spans="1:298" x14ac:dyDescent="0.25">
      <c r="A14" t="s">
        <v>16</v>
      </c>
      <c r="B14" s="17" t="s">
        <v>870</v>
      </c>
      <c r="C14" s="17" t="s">
        <v>870</v>
      </c>
      <c r="D14" s="17" t="s">
        <v>870</v>
      </c>
      <c r="E14" s="17" t="s">
        <v>870</v>
      </c>
      <c r="F14" s="17" t="s">
        <v>870</v>
      </c>
      <c r="G14" s="17" t="s">
        <v>870</v>
      </c>
      <c r="H14" s="17" t="s">
        <v>870</v>
      </c>
      <c r="I14" s="17" t="s">
        <v>870</v>
      </c>
      <c r="J14" s="17" t="s">
        <v>870</v>
      </c>
      <c r="K14" s="17" t="s">
        <v>870</v>
      </c>
      <c r="L14" s="17" t="s">
        <v>870</v>
      </c>
      <c r="M14" s="17" t="s">
        <v>870</v>
      </c>
      <c r="N14" s="17" t="s">
        <v>870</v>
      </c>
      <c r="O14" s="17" t="s">
        <v>870</v>
      </c>
      <c r="P14" s="17" t="s">
        <v>870</v>
      </c>
      <c r="Q14" s="17" t="s">
        <v>870</v>
      </c>
      <c r="R14" s="17" t="s">
        <v>870</v>
      </c>
      <c r="S14" s="17" t="s">
        <v>870</v>
      </c>
      <c r="T14" s="63"/>
      <c r="U14" s="61" t="s">
        <v>2</v>
      </c>
      <c r="V14" s="17" t="s">
        <v>870</v>
      </c>
      <c r="W14" s="17" t="s">
        <v>870</v>
      </c>
      <c r="X14" s="63"/>
      <c r="Y14" s="62"/>
      <c r="Z14" s="17" t="s">
        <v>870</v>
      </c>
      <c r="AA14" s="63"/>
      <c r="AB14" s="63"/>
      <c r="AC14" s="62"/>
      <c r="AD14" s="61" t="s">
        <v>2</v>
      </c>
      <c r="AE14" s="63"/>
      <c r="AF14" s="63"/>
      <c r="AG14" s="63"/>
      <c r="AH14" s="61" t="s">
        <v>2</v>
      </c>
      <c r="AI14" s="61" t="s">
        <v>2</v>
      </c>
      <c r="AJ14" s="62"/>
      <c r="AK14" s="63"/>
      <c r="AL14" s="62"/>
      <c r="AM14" s="61" t="s">
        <v>2</v>
      </c>
      <c r="AN14" s="61" t="s">
        <v>2</v>
      </c>
      <c r="AO14" s="17" t="s">
        <v>870</v>
      </c>
      <c r="AP14" s="17" t="s">
        <v>870</v>
      </c>
      <c r="AQ14" s="63"/>
      <c r="AR14" s="63"/>
      <c r="AS14" s="63"/>
      <c r="AT14" s="61" t="s">
        <v>2</v>
      </c>
      <c r="AU14" s="61" t="s">
        <v>2</v>
      </c>
      <c r="AV14" s="63"/>
      <c r="AW14" s="62"/>
      <c r="AX14" s="63"/>
      <c r="AY14" s="61" t="s">
        <v>2</v>
      </c>
      <c r="AZ14" s="63"/>
      <c r="BA14" s="63"/>
      <c r="BB14" s="63"/>
      <c r="BC14" s="63"/>
      <c r="BD14" s="63"/>
      <c r="BE14" s="62"/>
      <c r="BF14" s="63"/>
      <c r="BG14" s="63"/>
      <c r="BH14" s="63"/>
      <c r="BI14" s="63"/>
      <c r="BJ14" s="63"/>
      <c r="BK14" s="63"/>
      <c r="BL14" s="63"/>
      <c r="BM14" s="63"/>
      <c r="BN14" s="62"/>
      <c r="BO14" s="62"/>
      <c r="BP14" s="17" t="s">
        <v>870</v>
      </c>
      <c r="BQ14" s="63"/>
      <c r="BR14" s="63"/>
      <c r="BS14" s="62"/>
      <c r="BT14" s="63"/>
      <c r="BU14" s="61" t="s">
        <v>2</v>
      </c>
      <c r="BV14" s="63"/>
      <c r="BW14" s="61" t="s">
        <v>2</v>
      </c>
      <c r="BX14" s="61" t="s">
        <v>2</v>
      </c>
      <c r="BY14" s="62"/>
      <c r="BZ14" s="63"/>
      <c r="CA14" s="63"/>
      <c r="CB14" s="63"/>
      <c r="CC14" s="63"/>
      <c r="CD14" s="63"/>
      <c r="CE14" s="63"/>
      <c r="CF14" s="63"/>
      <c r="CG14" s="62"/>
      <c r="CH14" s="61" t="s">
        <v>2</v>
      </c>
      <c r="CI14" s="62"/>
      <c r="CJ14" s="63"/>
      <c r="CK14" s="63"/>
      <c r="CL14" s="63"/>
      <c r="CM14" s="63"/>
      <c r="CN14" s="63"/>
      <c r="CO14" s="63"/>
      <c r="CP14" s="62"/>
      <c r="CQ14" s="63"/>
      <c r="CR14" s="63"/>
      <c r="CS14" s="63"/>
      <c r="CT14" s="17" t="s">
        <v>870</v>
      </c>
      <c r="CU14" s="17" t="s">
        <v>870</v>
      </c>
      <c r="CV14" s="17" t="s">
        <v>870</v>
      </c>
      <c r="CW14" s="17" t="s">
        <v>870</v>
      </c>
      <c r="CX14" s="63"/>
      <c r="CY14" s="63"/>
      <c r="CZ14" s="63"/>
      <c r="DA14" s="62"/>
      <c r="DB14" s="63"/>
      <c r="DC14" s="62"/>
      <c r="DD14" s="62"/>
      <c r="DE14" s="62"/>
      <c r="DF14" s="63"/>
      <c r="DG14" s="63"/>
      <c r="DH14" s="63"/>
      <c r="DI14" s="63"/>
      <c r="DJ14" s="63"/>
      <c r="DK14" s="63"/>
      <c r="DL14" s="62"/>
      <c r="DM14" s="63"/>
      <c r="DN14" s="63"/>
      <c r="DO14" s="62"/>
      <c r="DP14" s="17" t="s">
        <v>870</v>
      </c>
      <c r="DQ14" s="63"/>
      <c r="DR14" s="17" t="s">
        <v>870</v>
      </c>
      <c r="DS14" s="17" t="s">
        <v>870</v>
      </c>
      <c r="DT14" s="63"/>
      <c r="DU14" s="62"/>
      <c r="DV14" s="62"/>
      <c r="DW14" s="63"/>
      <c r="DX14" s="62"/>
      <c r="DY14" s="63"/>
      <c r="DZ14" s="62"/>
      <c r="EA14" s="63"/>
      <c r="EB14" s="61" t="s">
        <v>2</v>
      </c>
      <c r="EC14" s="63"/>
      <c r="ED14" s="63"/>
      <c r="EE14" s="63"/>
      <c r="EF14" s="62"/>
      <c r="EG14" s="63"/>
      <c r="EH14" s="61" t="s">
        <v>2</v>
      </c>
      <c r="EI14" s="62"/>
      <c r="EJ14" s="62"/>
      <c r="EK14" s="63"/>
      <c r="EL14" s="63"/>
      <c r="EM14" s="61" t="s">
        <v>2</v>
      </c>
      <c r="EN14" s="62"/>
      <c r="EO14" s="62"/>
      <c r="EP14" s="63"/>
      <c r="EQ14" s="63"/>
      <c r="ER14" s="63"/>
      <c r="ES14" s="63"/>
      <c r="ET14" s="17" t="s">
        <v>870</v>
      </c>
      <c r="EU14" s="17" t="s">
        <v>870</v>
      </c>
      <c r="EV14" s="63"/>
      <c r="EW14" s="63"/>
      <c r="EX14" s="61" t="s">
        <v>2</v>
      </c>
      <c r="EY14" s="61" t="s">
        <v>2</v>
      </c>
      <c r="EZ14" s="17" t="s">
        <v>870</v>
      </c>
      <c r="FA14" s="17" t="s">
        <v>870</v>
      </c>
      <c r="FB14" s="17" t="s">
        <v>870</v>
      </c>
      <c r="FC14" s="17" t="s">
        <v>870</v>
      </c>
      <c r="FD14" s="63"/>
      <c r="FE14" s="61" t="s">
        <v>2</v>
      </c>
      <c r="FF14" s="17" t="s">
        <v>870</v>
      </c>
      <c r="FG14" s="17" t="s">
        <v>870</v>
      </c>
      <c r="FH14" s="61" t="s">
        <v>2</v>
      </c>
      <c r="FI14" s="63"/>
      <c r="FJ14" s="63"/>
      <c r="FK14" s="63"/>
      <c r="FL14" s="63"/>
      <c r="FM14" s="61" t="s">
        <v>2</v>
      </c>
      <c r="FN14" s="17" t="s">
        <v>870</v>
      </c>
      <c r="FO14" s="17" t="s">
        <v>870</v>
      </c>
      <c r="FP14" s="17" t="s">
        <v>870</v>
      </c>
      <c r="FQ14" s="17" t="s">
        <v>870</v>
      </c>
      <c r="FR14" s="62"/>
      <c r="FS14" s="63"/>
      <c r="FT14" s="62"/>
      <c r="FU14" s="63"/>
      <c r="FV14" s="61" t="s">
        <v>2</v>
      </c>
      <c r="FW14" s="63"/>
      <c r="FX14" s="61" t="s">
        <v>2</v>
      </c>
      <c r="FY14" s="62"/>
      <c r="FZ14" s="63"/>
      <c r="GA14" s="63"/>
      <c r="GB14" s="17" t="s">
        <v>870</v>
      </c>
      <c r="GC14" s="17" t="s">
        <v>870</v>
      </c>
      <c r="GD14" s="17" t="s">
        <v>870</v>
      </c>
      <c r="GE14" s="17" t="s">
        <v>870</v>
      </c>
      <c r="GF14" s="17" t="s">
        <v>870</v>
      </c>
      <c r="GG14" s="17" t="s">
        <v>870</v>
      </c>
      <c r="GH14" s="17" t="s">
        <v>870</v>
      </c>
      <c r="GI14" s="17" t="s">
        <v>870</v>
      </c>
      <c r="GJ14" s="63"/>
      <c r="GK14" s="63"/>
      <c r="GL14" s="62"/>
      <c r="GM14" s="61" t="s">
        <v>2</v>
      </c>
      <c r="GN14" s="63"/>
      <c r="GO14" s="17" t="s">
        <v>870</v>
      </c>
      <c r="GP14" s="17" t="s">
        <v>870</v>
      </c>
      <c r="GQ14" s="63"/>
      <c r="GR14" s="63"/>
      <c r="GS14" s="62"/>
      <c r="GT14" s="17" t="s">
        <v>870</v>
      </c>
      <c r="GU14" s="63"/>
      <c r="GV14" s="17" t="s">
        <v>870</v>
      </c>
      <c r="GW14" s="17" t="s">
        <v>870</v>
      </c>
      <c r="GX14" s="63"/>
      <c r="GY14" s="62"/>
      <c r="GZ14" s="63"/>
      <c r="HA14" s="63"/>
      <c r="HB14" s="63"/>
      <c r="HC14" s="63"/>
      <c r="HD14" s="63"/>
      <c r="HE14" s="17" t="s">
        <v>870</v>
      </c>
      <c r="HF14" s="17" t="s">
        <v>870</v>
      </c>
      <c r="HG14" s="63"/>
      <c r="HH14" s="62"/>
      <c r="HI14" s="63"/>
      <c r="HJ14" s="61" t="s">
        <v>2</v>
      </c>
      <c r="HK14" s="17" t="s">
        <v>870</v>
      </c>
      <c r="HL14" s="17" t="s">
        <v>870</v>
      </c>
      <c r="HM14" s="63"/>
      <c r="HN14" s="62"/>
      <c r="HO14" s="17" t="s">
        <v>870</v>
      </c>
      <c r="HP14" s="17" t="s">
        <v>870</v>
      </c>
      <c r="HQ14" s="17" t="s">
        <v>870</v>
      </c>
      <c r="HR14" s="17" t="s">
        <v>870</v>
      </c>
      <c r="HS14" s="63"/>
      <c r="HT14" s="63"/>
      <c r="HU14" s="17" t="s">
        <v>870</v>
      </c>
      <c r="HV14" s="63"/>
      <c r="HW14" s="62"/>
      <c r="HX14" s="61" t="s">
        <v>2</v>
      </c>
      <c r="HY14" s="62"/>
      <c r="HZ14" s="62"/>
      <c r="IA14" s="61" t="s">
        <v>2</v>
      </c>
      <c r="IB14" s="62"/>
      <c r="IC14" s="61" t="s">
        <v>2</v>
      </c>
      <c r="ID14" s="61" t="s">
        <v>2</v>
      </c>
      <c r="IE14" s="62"/>
      <c r="IF14" s="62"/>
      <c r="IG14" s="63"/>
      <c r="IH14" s="61" t="s">
        <v>2</v>
      </c>
      <c r="II14" s="61" t="s">
        <v>2</v>
      </c>
      <c r="IJ14" s="61" t="s">
        <v>2</v>
      </c>
      <c r="IK14" s="62"/>
      <c r="IL14" s="63"/>
      <c r="IM14" s="62"/>
      <c r="IN14" s="63"/>
      <c r="IO14" s="63"/>
      <c r="IP14" s="63"/>
      <c r="IQ14" s="63"/>
      <c r="IR14" s="63"/>
      <c r="IS14" s="63"/>
      <c r="IT14" s="63"/>
      <c r="IU14" s="17" t="s">
        <v>870</v>
      </c>
      <c r="IV14" s="17" t="s">
        <v>870</v>
      </c>
      <c r="IW14" s="63"/>
      <c r="IX14" s="63"/>
      <c r="IY14" s="63"/>
      <c r="IZ14" s="62"/>
      <c r="JA14" s="17" t="s">
        <v>870</v>
      </c>
      <c r="JB14" s="17" t="s">
        <v>870</v>
      </c>
      <c r="JC14" s="63"/>
      <c r="JD14" s="63"/>
      <c r="JE14" s="17" t="s">
        <v>870</v>
      </c>
      <c r="JF14" s="17" t="s">
        <v>870</v>
      </c>
      <c r="JG14" s="63"/>
      <c r="JH14" s="63"/>
      <c r="JI14" s="63"/>
      <c r="JJ14" s="63"/>
      <c r="JK14" s="63"/>
      <c r="JL14" s="61" t="s">
        <v>2</v>
      </c>
      <c r="JM14" s="62"/>
      <c r="JN14" s="63"/>
      <c r="JO14" s="17" t="s">
        <v>870</v>
      </c>
      <c r="JP14" s="63"/>
      <c r="JQ14" s="61" t="s">
        <v>2</v>
      </c>
      <c r="JR14" s="63"/>
      <c r="JS14" s="63"/>
      <c r="JT14" s="61" t="s">
        <v>2</v>
      </c>
    </row>
    <row r="15" spans="1:298" x14ac:dyDescent="0.25">
      <c r="A15" t="s">
        <v>11</v>
      </c>
      <c r="B15" s="61" t="s">
        <v>2</v>
      </c>
      <c r="C15" s="63"/>
      <c r="D15" s="61" t="s">
        <v>2</v>
      </c>
      <c r="E15" s="63"/>
      <c r="F15" s="61" t="s">
        <v>2</v>
      </c>
      <c r="G15" s="63"/>
      <c r="H15" s="61" t="s">
        <v>2</v>
      </c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1" t="s">
        <v>2</v>
      </c>
      <c r="T15" s="63"/>
      <c r="U15" s="63"/>
      <c r="V15" s="61" t="s">
        <v>2</v>
      </c>
      <c r="W15" s="63"/>
      <c r="X15" s="61" t="s">
        <v>2</v>
      </c>
      <c r="Y15" s="63"/>
      <c r="Z15" s="61" t="s">
        <v>2</v>
      </c>
      <c r="AA15" s="61" t="s">
        <v>2</v>
      </c>
      <c r="AB15" s="61" t="s">
        <v>2</v>
      </c>
      <c r="AC15" s="61" t="s">
        <v>2</v>
      </c>
      <c r="AD15" s="61" t="s">
        <v>2</v>
      </c>
      <c r="AE15" s="61" t="s">
        <v>2</v>
      </c>
      <c r="AF15" s="63"/>
      <c r="AG15" s="63"/>
      <c r="AH15" s="61" t="s">
        <v>2</v>
      </c>
      <c r="AI15" s="61" t="s">
        <v>2</v>
      </c>
      <c r="AJ15" s="63"/>
      <c r="AK15" s="61" t="s">
        <v>2</v>
      </c>
      <c r="AL15" s="63"/>
      <c r="AM15" s="61" t="s">
        <v>2</v>
      </c>
      <c r="AN15" s="63"/>
      <c r="AO15" s="61" t="s">
        <v>2</v>
      </c>
      <c r="AP15" s="61" t="s">
        <v>2</v>
      </c>
      <c r="AQ15" s="63"/>
      <c r="AR15" s="63"/>
      <c r="AS15" s="62"/>
      <c r="AT15" s="63"/>
      <c r="AU15" s="62"/>
      <c r="AV15" s="62"/>
      <c r="AW15" s="61" t="s">
        <v>2</v>
      </c>
      <c r="AX15" s="63"/>
      <c r="AY15" s="63"/>
      <c r="AZ15" s="63"/>
      <c r="BA15" s="63"/>
      <c r="BB15" s="63"/>
      <c r="BC15" s="61" t="s">
        <v>2</v>
      </c>
      <c r="BD15" s="63"/>
      <c r="BE15" s="61" t="s">
        <v>2</v>
      </c>
      <c r="BF15" s="62"/>
      <c r="BG15" s="61" t="s">
        <v>2</v>
      </c>
      <c r="BH15" s="61" t="s">
        <v>2</v>
      </c>
      <c r="BI15" s="17" t="s">
        <v>870</v>
      </c>
      <c r="BJ15" s="17" t="s">
        <v>870</v>
      </c>
      <c r="BK15" s="17" t="s">
        <v>870</v>
      </c>
      <c r="BL15" s="62"/>
      <c r="BM15" s="61" t="s">
        <v>2</v>
      </c>
      <c r="BN15" s="61" t="s">
        <v>2</v>
      </c>
      <c r="BO15" s="63"/>
      <c r="BP15" s="63"/>
      <c r="BQ15" s="63"/>
      <c r="BR15" s="17" t="s">
        <v>870</v>
      </c>
      <c r="BS15" s="17" t="s">
        <v>870</v>
      </c>
      <c r="BT15" s="17" t="s">
        <v>870</v>
      </c>
      <c r="BU15" s="17" t="s">
        <v>870</v>
      </c>
      <c r="BV15" s="17" t="s">
        <v>870</v>
      </c>
      <c r="BW15" s="17" t="s">
        <v>870</v>
      </c>
      <c r="BX15" s="17" t="s">
        <v>870</v>
      </c>
      <c r="BY15" s="17" t="s">
        <v>870</v>
      </c>
      <c r="BZ15" s="17" t="s">
        <v>870</v>
      </c>
      <c r="CA15" s="17" t="s">
        <v>870</v>
      </c>
      <c r="CB15" s="17" t="s">
        <v>870</v>
      </c>
      <c r="CC15" s="17" t="s">
        <v>870</v>
      </c>
      <c r="CD15" s="17" t="s">
        <v>870</v>
      </c>
      <c r="CE15" s="17" t="s">
        <v>870</v>
      </c>
      <c r="CF15" s="17" t="s">
        <v>870</v>
      </c>
      <c r="CG15" s="17" t="s">
        <v>870</v>
      </c>
      <c r="CH15" s="17" t="s">
        <v>870</v>
      </c>
      <c r="CI15" s="17" t="s">
        <v>870</v>
      </c>
      <c r="CJ15" s="17" t="s">
        <v>870</v>
      </c>
      <c r="CK15" s="17" t="s">
        <v>870</v>
      </c>
      <c r="CL15" s="17" t="s">
        <v>870</v>
      </c>
      <c r="CM15" s="17" t="s">
        <v>870</v>
      </c>
      <c r="CN15" s="17" t="s">
        <v>870</v>
      </c>
      <c r="CO15" s="17" t="s">
        <v>870</v>
      </c>
      <c r="CP15" s="17" t="s">
        <v>870</v>
      </c>
      <c r="CQ15" s="17" t="s">
        <v>870</v>
      </c>
      <c r="CR15" s="17" t="s">
        <v>870</v>
      </c>
      <c r="CS15" s="17" t="s">
        <v>870</v>
      </c>
      <c r="CT15" s="17" t="s">
        <v>870</v>
      </c>
      <c r="CU15" s="17" t="s">
        <v>870</v>
      </c>
      <c r="CV15" s="17" t="s">
        <v>870</v>
      </c>
      <c r="CW15" s="17" t="s">
        <v>870</v>
      </c>
      <c r="CX15" s="17" t="s">
        <v>870</v>
      </c>
      <c r="CY15" s="17" t="s">
        <v>870</v>
      </c>
      <c r="CZ15" s="17" t="s">
        <v>870</v>
      </c>
      <c r="DA15" s="17" t="s">
        <v>870</v>
      </c>
      <c r="DB15" s="17" t="s">
        <v>870</v>
      </c>
      <c r="DC15" s="17" t="s">
        <v>870</v>
      </c>
      <c r="DD15" s="17" t="s">
        <v>870</v>
      </c>
      <c r="DE15" s="17" t="s">
        <v>870</v>
      </c>
      <c r="DF15" s="17" t="s">
        <v>870</v>
      </c>
      <c r="DG15" s="17" t="s">
        <v>870</v>
      </c>
      <c r="DH15" s="17" t="s">
        <v>870</v>
      </c>
      <c r="DI15" s="17" t="s">
        <v>870</v>
      </c>
      <c r="DJ15" s="17" t="s">
        <v>870</v>
      </c>
      <c r="DK15" s="17" t="s">
        <v>870</v>
      </c>
      <c r="DL15" s="17" t="s">
        <v>870</v>
      </c>
      <c r="DM15" s="17" t="s">
        <v>870</v>
      </c>
      <c r="DN15" s="17" t="s">
        <v>870</v>
      </c>
      <c r="DO15" s="17" t="s">
        <v>870</v>
      </c>
      <c r="DP15" s="17" t="s">
        <v>870</v>
      </c>
      <c r="DQ15" s="17" t="s">
        <v>870</v>
      </c>
      <c r="DR15" s="63"/>
      <c r="DS15" s="62"/>
      <c r="DT15" s="63"/>
      <c r="DU15" s="63"/>
      <c r="DV15" s="17" t="s">
        <v>870</v>
      </c>
      <c r="DW15" s="17" t="s">
        <v>870</v>
      </c>
      <c r="DX15" s="63"/>
      <c r="DY15" s="63"/>
      <c r="DZ15" s="63"/>
      <c r="EA15" s="63"/>
      <c r="EB15" s="17" t="s">
        <v>870</v>
      </c>
      <c r="EC15" s="17" t="s">
        <v>870</v>
      </c>
      <c r="ED15" s="17" t="s">
        <v>870</v>
      </c>
      <c r="EE15" s="17" t="s">
        <v>870</v>
      </c>
      <c r="EF15" s="17" t="s">
        <v>870</v>
      </c>
      <c r="EG15" s="17" t="s">
        <v>870</v>
      </c>
      <c r="EH15" s="63"/>
      <c r="EI15" s="62"/>
      <c r="EJ15" s="62"/>
      <c r="EK15" s="63"/>
      <c r="EL15" s="17" t="s">
        <v>870</v>
      </c>
      <c r="EM15" s="17" t="s">
        <v>870</v>
      </c>
      <c r="EN15" s="17" t="s">
        <v>870</v>
      </c>
      <c r="EO15" s="17" t="s">
        <v>870</v>
      </c>
      <c r="EP15" s="17" t="s">
        <v>870</v>
      </c>
      <c r="EQ15" s="17" t="s">
        <v>870</v>
      </c>
      <c r="ER15" s="17" t="s">
        <v>870</v>
      </c>
      <c r="ES15" s="17" t="s">
        <v>870</v>
      </c>
      <c r="ET15" s="17" t="s">
        <v>870</v>
      </c>
      <c r="EU15" s="17" t="s">
        <v>870</v>
      </c>
      <c r="EV15" s="17" t="s">
        <v>870</v>
      </c>
      <c r="EW15" s="17" t="s">
        <v>870</v>
      </c>
      <c r="EX15" s="17" t="s">
        <v>870</v>
      </c>
      <c r="EY15" s="17" t="s">
        <v>870</v>
      </c>
      <c r="EZ15" s="17" t="s">
        <v>870</v>
      </c>
      <c r="FA15" s="17" t="s">
        <v>870</v>
      </c>
      <c r="FB15" s="17" t="s">
        <v>870</v>
      </c>
      <c r="FC15" s="17" t="s">
        <v>870</v>
      </c>
      <c r="FD15" s="17" t="s">
        <v>870</v>
      </c>
      <c r="FE15" s="17" t="s">
        <v>870</v>
      </c>
      <c r="FF15" s="17" t="s">
        <v>870</v>
      </c>
      <c r="FG15" s="17" t="s">
        <v>870</v>
      </c>
      <c r="FH15" s="17" t="s">
        <v>870</v>
      </c>
      <c r="FI15" s="17" t="s">
        <v>870</v>
      </c>
      <c r="FJ15" s="17" t="s">
        <v>870</v>
      </c>
      <c r="FK15" s="17" t="s">
        <v>870</v>
      </c>
      <c r="FL15" s="17" t="s">
        <v>870</v>
      </c>
      <c r="FM15" s="17" t="s">
        <v>870</v>
      </c>
      <c r="FN15" s="17" t="s">
        <v>870</v>
      </c>
      <c r="FO15" s="17" t="s">
        <v>870</v>
      </c>
      <c r="FP15" s="17" t="s">
        <v>870</v>
      </c>
      <c r="FQ15" s="17" t="s">
        <v>870</v>
      </c>
      <c r="FR15" s="17" t="s">
        <v>870</v>
      </c>
      <c r="FS15" s="17" t="s">
        <v>870</v>
      </c>
      <c r="FT15" s="17" t="s">
        <v>870</v>
      </c>
      <c r="FU15" s="17" t="s">
        <v>870</v>
      </c>
      <c r="FV15" s="17" t="s">
        <v>870</v>
      </c>
      <c r="FW15" s="17" t="s">
        <v>870</v>
      </c>
      <c r="FX15" s="17" t="s">
        <v>870</v>
      </c>
      <c r="FY15" s="17" t="s">
        <v>870</v>
      </c>
      <c r="FZ15" s="17" t="s">
        <v>870</v>
      </c>
      <c r="GA15" s="17" t="s">
        <v>870</v>
      </c>
      <c r="GB15" s="17" t="s">
        <v>870</v>
      </c>
      <c r="GC15" s="17" t="s">
        <v>870</v>
      </c>
      <c r="GD15" s="17" t="s">
        <v>870</v>
      </c>
      <c r="GE15" s="17" t="s">
        <v>870</v>
      </c>
      <c r="GF15" s="17" t="s">
        <v>870</v>
      </c>
      <c r="GG15" s="17" t="s">
        <v>870</v>
      </c>
      <c r="GH15" s="17" t="s">
        <v>870</v>
      </c>
      <c r="GI15" s="17" t="s">
        <v>870</v>
      </c>
      <c r="GJ15" s="17" t="s">
        <v>870</v>
      </c>
      <c r="GK15" s="17" t="s">
        <v>870</v>
      </c>
      <c r="GL15" s="17" t="s">
        <v>870</v>
      </c>
      <c r="GM15" s="17" t="s">
        <v>870</v>
      </c>
      <c r="GN15" s="17" t="s">
        <v>870</v>
      </c>
      <c r="GO15" s="17" t="s">
        <v>870</v>
      </c>
      <c r="GP15" s="17" t="s">
        <v>870</v>
      </c>
      <c r="GQ15" s="17" t="s">
        <v>870</v>
      </c>
      <c r="GR15" s="17" t="s">
        <v>870</v>
      </c>
      <c r="GS15" s="17" t="s">
        <v>870</v>
      </c>
      <c r="GT15" s="17" t="s">
        <v>870</v>
      </c>
      <c r="GU15" s="17" t="s">
        <v>870</v>
      </c>
      <c r="GV15" s="17" t="s">
        <v>870</v>
      </c>
      <c r="GW15" s="17" t="s">
        <v>870</v>
      </c>
      <c r="GX15" s="17" t="s">
        <v>870</v>
      </c>
      <c r="GY15" s="17" t="s">
        <v>870</v>
      </c>
      <c r="GZ15" s="17" t="s">
        <v>870</v>
      </c>
      <c r="HA15" s="17" t="s">
        <v>870</v>
      </c>
      <c r="HB15" s="17" t="s">
        <v>870</v>
      </c>
      <c r="HC15" s="17" t="s">
        <v>870</v>
      </c>
      <c r="HD15" s="17" t="s">
        <v>870</v>
      </c>
      <c r="HE15" s="17" t="s">
        <v>870</v>
      </c>
      <c r="HF15" s="17" t="s">
        <v>870</v>
      </c>
      <c r="HG15" s="17" t="s">
        <v>870</v>
      </c>
      <c r="HH15" s="17" t="s">
        <v>870</v>
      </c>
      <c r="HI15" s="17" t="s">
        <v>870</v>
      </c>
      <c r="HJ15" s="17" t="s">
        <v>870</v>
      </c>
      <c r="HK15" s="17" t="s">
        <v>870</v>
      </c>
      <c r="HL15" s="17" t="s">
        <v>870</v>
      </c>
      <c r="HM15" s="17" t="s">
        <v>870</v>
      </c>
      <c r="HN15" s="17" t="s">
        <v>870</v>
      </c>
      <c r="HO15" s="17" t="s">
        <v>870</v>
      </c>
      <c r="HP15" s="17" t="s">
        <v>870</v>
      </c>
      <c r="HQ15" s="17" t="s">
        <v>870</v>
      </c>
      <c r="HR15" s="17" t="s">
        <v>870</v>
      </c>
      <c r="HS15" s="17" t="s">
        <v>870</v>
      </c>
      <c r="HT15" s="17" t="s">
        <v>870</v>
      </c>
      <c r="HU15" s="17" t="s">
        <v>870</v>
      </c>
      <c r="HV15" s="17" t="s">
        <v>870</v>
      </c>
      <c r="HW15" s="17" t="s">
        <v>870</v>
      </c>
      <c r="HX15" s="17" t="s">
        <v>870</v>
      </c>
      <c r="HY15" s="17" t="s">
        <v>870</v>
      </c>
      <c r="HZ15" s="17" t="s">
        <v>870</v>
      </c>
      <c r="IA15" s="17" t="s">
        <v>870</v>
      </c>
      <c r="IB15" s="17" t="s">
        <v>870</v>
      </c>
      <c r="IC15" s="17" t="s">
        <v>870</v>
      </c>
      <c r="ID15" s="17" t="s">
        <v>870</v>
      </c>
      <c r="IE15" s="17" t="s">
        <v>870</v>
      </c>
      <c r="IF15" s="17" t="s">
        <v>870</v>
      </c>
      <c r="IG15" s="17" t="s">
        <v>870</v>
      </c>
      <c r="IH15" s="17" t="s">
        <v>870</v>
      </c>
      <c r="II15" s="17" t="s">
        <v>870</v>
      </c>
      <c r="IJ15" s="17" t="s">
        <v>870</v>
      </c>
      <c r="IK15" s="17" t="s">
        <v>870</v>
      </c>
      <c r="IL15" s="17" t="s">
        <v>870</v>
      </c>
      <c r="IM15" s="17" t="s">
        <v>870</v>
      </c>
      <c r="IN15" s="17" t="s">
        <v>870</v>
      </c>
      <c r="IO15" s="17" t="s">
        <v>870</v>
      </c>
      <c r="IP15" s="17" t="s">
        <v>870</v>
      </c>
      <c r="IQ15" s="17" t="s">
        <v>870</v>
      </c>
      <c r="IR15" s="17" t="s">
        <v>870</v>
      </c>
      <c r="IS15" s="17" t="s">
        <v>870</v>
      </c>
      <c r="IT15" s="17" t="s">
        <v>870</v>
      </c>
      <c r="IU15" s="17" t="s">
        <v>870</v>
      </c>
      <c r="IV15" s="17" t="s">
        <v>870</v>
      </c>
      <c r="IW15" s="17" t="s">
        <v>870</v>
      </c>
      <c r="IX15" s="17" t="s">
        <v>870</v>
      </c>
      <c r="IY15" s="17" t="s">
        <v>870</v>
      </c>
      <c r="IZ15" s="17" t="s">
        <v>870</v>
      </c>
      <c r="JA15" s="17" t="s">
        <v>870</v>
      </c>
      <c r="JB15" s="17" t="s">
        <v>870</v>
      </c>
      <c r="JC15" s="17" t="s">
        <v>870</v>
      </c>
      <c r="JD15" s="17" t="s">
        <v>870</v>
      </c>
      <c r="JE15" s="17" t="s">
        <v>870</v>
      </c>
      <c r="JF15" s="17" t="s">
        <v>870</v>
      </c>
      <c r="JG15" s="17" t="s">
        <v>870</v>
      </c>
      <c r="JH15" s="17" t="s">
        <v>870</v>
      </c>
      <c r="JI15" s="17" t="s">
        <v>870</v>
      </c>
      <c r="JJ15" s="17" t="s">
        <v>870</v>
      </c>
      <c r="JK15" s="17" t="s">
        <v>870</v>
      </c>
      <c r="JL15" s="17" t="s">
        <v>870</v>
      </c>
      <c r="JM15" s="17" t="s">
        <v>870</v>
      </c>
      <c r="JN15" s="17" t="s">
        <v>870</v>
      </c>
      <c r="JO15" s="17" t="s">
        <v>870</v>
      </c>
      <c r="JP15" s="17" t="s">
        <v>870</v>
      </c>
      <c r="JQ15" s="17" t="s">
        <v>870</v>
      </c>
      <c r="JR15" s="17" t="s">
        <v>870</v>
      </c>
      <c r="JS15" s="17" t="s">
        <v>870</v>
      </c>
      <c r="JT15" s="17" t="s">
        <v>870</v>
      </c>
    </row>
    <row r="16" spans="1:298" x14ac:dyDescent="0.25">
      <c r="A16" t="s">
        <v>225</v>
      </c>
      <c r="B16" s="17" t="s">
        <v>870</v>
      </c>
      <c r="C16" s="17" t="s">
        <v>870</v>
      </c>
      <c r="D16" s="17" t="s">
        <v>870</v>
      </c>
      <c r="E16" s="17" t="s">
        <v>870</v>
      </c>
      <c r="F16" s="17" t="s">
        <v>870</v>
      </c>
      <c r="G16" s="17" t="s">
        <v>870</v>
      </c>
      <c r="H16" s="17" t="s">
        <v>870</v>
      </c>
      <c r="I16" s="17" t="s">
        <v>870</v>
      </c>
      <c r="J16" s="17" t="s">
        <v>870</v>
      </c>
      <c r="K16" s="17" t="s">
        <v>870</v>
      </c>
      <c r="L16" s="17" t="s">
        <v>870</v>
      </c>
      <c r="M16" s="17" t="s">
        <v>870</v>
      </c>
      <c r="N16" s="17" t="s">
        <v>870</v>
      </c>
      <c r="O16" s="17" t="s">
        <v>870</v>
      </c>
      <c r="P16" s="17" t="s">
        <v>870</v>
      </c>
      <c r="Q16" s="17" t="s">
        <v>870</v>
      </c>
      <c r="R16" s="17" t="s">
        <v>870</v>
      </c>
      <c r="S16" s="17" t="s">
        <v>870</v>
      </c>
      <c r="T16" s="17" t="s">
        <v>870</v>
      </c>
      <c r="U16" s="17" t="s">
        <v>870</v>
      </c>
      <c r="V16" s="17" t="s">
        <v>870</v>
      </c>
      <c r="W16" s="17" t="s">
        <v>870</v>
      </c>
      <c r="X16" s="17" t="s">
        <v>870</v>
      </c>
      <c r="Y16" s="17" t="s">
        <v>870</v>
      </c>
      <c r="Z16" s="17" t="s">
        <v>870</v>
      </c>
      <c r="AA16" s="17" t="s">
        <v>870</v>
      </c>
      <c r="AB16" s="17" t="s">
        <v>870</v>
      </c>
      <c r="AC16" s="17" t="s">
        <v>870</v>
      </c>
      <c r="AD16" s="17" t="s">
        <v>870</v>
      </c>
      <c r="AE16" s="17" t="s">
        <v>870</v>
      </c>
      <c r="AF16" s="17" t="s">
        <v>870</v>
      </c>
      <c r="AG16" s="17" t="s">
        <v>870</v>
      </c>
      <c r="AH16" s="17" t="s">
        <v>870</v>
      </c>
      <c r="AI16" s="17" t="s">
        <v>870</v>
      </c>
      <c r="AJ16" s="17" t="s">
        <v>870</v>
      </c>
      <c r="AK16" s="17" t="s">
        <v>870</v>
      </c>
      <c r="AL16" s="17" t="s">
        <v>870</v>
      </c>
      <c r="AM16" s="17" t="s">
        <v>870</v>
      </c>
      <c r="AN16" s="17" t="s">
        <v>870</v>
      </c>
      <c r="AO16" s="17" t="s">
        <v>870</v>
      </c>
      <c r="AP16" s="17" t="s">
        <v>870</v>
      </c>
      <c r="AQ16" s="17" t="s">
        <v>870</v>
      </c>
      <c r="AR16" s="17" t="s">
        <v>870</v>
      </c>
      <c r="AS16" s="17" t="s">
        <v>870</v>
      </c>
      <c r="AT16" s="17" t="s">
        <v>870</v>
      </c>
      <c r="AU16" s="17" t="s">
        <v>870</v>
      </c>
      <c r="AV16" s="17" t="s">
        <v>870</v>
      </c>
      <c r="AW16" s="17" t="s">
        <v>870</v>
      </c>
      <c r="AX16" s="17" t="s">
        <v>870</v>
      </c>
      <c r="AY16" s="17" t="s">
        <v>870</v>
      </c>
      <c r="AZ16" s="17" t="s">
        <v>870</v>
      </c>
      <c r="BA16" s="17" t="s">
        <v>870</v>
      </c>
      <c r="BB16" s="17" t="s">
        <v>870</v>
      </c>
      <c r="BC16" s="17" t="s">
        <v>870</v>
      </c>
      <c r="BD16" s="17" t="s">
        <v>870</v>
      </c>
      <c r="BE16" s="17" t="s">
        <v>870</v>
      </c>
      <c r="BF16" s="17" t="s">
        <v>870</v>
      </c>
      <c r="BG16" s="17" t="s">
        <v>870</v>
      </c>
      <c r="BH16" s="17" t="s">
        <v>870</v>
      </c>
      <c r="BI16" s="17" t="s">
        <v>870</v>
      </c>
      <c r="BJ16" s="17" t="s">
        <v>870</v>
      </c>
      <c r="BK16" s="17" t="s">
        <v>870</v>
      </c>
      <c r="BL16" s="17" t="s">
        <v>870</v>
      </c>
      <c r="BM16" s="17" t="s">
        <v>870</v>
      </c>
      <c r="BN16" s="17" t="s">
        <v>870</v>
      </c>
      <c r="BO16" s="17" t="s">
        <v>870</v>
      </c>
      <c r="BP16" s="17" t="s">
        <v>870</v>
      </c>
      <c r="BQ16" s="17" t="s">
        <v>870</v>
      </c>
      <c r="BR16" s="17" t="s">
        <v>870</v>
      </c>
      <c r="BS16" s="17" t="s">
        <v>870</v>
      </c>
      <c r="BT16" s="17" t="s">
        <v>870</v>
      </c>
      <c r="BU16" s="17" t="s">
        <v>870</v>
      </c>
      <c r="BV16" s="17" t="s">
        <v>870</v>
      </c>
      <c r="BW16" s="17" t="s">
        <v>870</v>
      </c>
      <c r="BX16" s="17" t="s">
        <v>870</v>
      </c>
      <c r="BY16" s="17" t="s">
        <v>870</v>
      </c>
      <c r="BZ16" s="17" t="s">
        <v>870</v>
      </c>
      <c r="CA16" s="17" t="s">
        <v>870</v>
      </c>
      <c r="CB16" s="17" t="s">
        <v>870</v>
      </c>
      <c r="CC16" s="17" t="s">
        <v>870</v>
      </c>
      <c r="CD16" s="17" t="s">
        <v>870</v>
      </c>
      <c r="CE16" s="17" t="s">
        <v>870</v>
      </c>
      <c r="CF16" s="17" t="s">
        <v>870</v>
      </c>
      <c r="CG16" s="17" t="s">
        <v>870</v>
      </c>
      <c r="CH16" s="17" t="s">
        <v>870</v>
      </c>
      <c r="CI16" s="17" t="s">
        <v>870</v>
      </c>
      <c r="CJ16" s="17" t="s">
        <v>870</v>
      </c>
      <c r="CK16" s="17" t="s">
        <v>870</v>
      </c>
      <c r="CL16" s="17" t="s">
        <v>870</v>
      </c>
      <c r="CM16" s="17" t="s">
        <v>870</v>
      </c>
      <c r="CN16" s="17" t="s">
        <v>870</v>
      </c>
      <c r="CO16" s="17" t="s">
        <v>870</v>
      </c>
      <c r="CP16" s="17" t="s">
        <v>870</v>
      </c>
      <c r="CQ16" s="17" t="s">
        <v>870</v>
      </c>
      <c r="CR16" s="17" t="s">
        <v>870</v>
      </c>
      <c r="CS16" s="17" t="s">
        <v>870</v>
      </c>
      <c r="CT16" s="17" t="s">
        <v>870</v>
      </c>
      <c r="CU16" s="17" t="s">
        <v>870</v>
      </c>
      <c r="CV16" s="17" t="s">
        <v>870</v>
      </c>
      <c r="CW16" s="17" t="s">
        <v>870</v>
      </c>
      <c r="CX16" s="17" t="s">
        <v>870</v>
      </c>
      <c r="CY16" s="17" t="s">
        <v>870</v>
      </c>
      <c r="CZ16" s="17" t="s">
        <v>870</v>
      </c>
      <c r="DA16" s="17" t="s">
        <v>870</v>
      </c>
      <c r="DB16" s="17" t="s">
        <v>870</v>
      </c>
      <c r="DC16" s="17" t="s">
        <v>870</v>
      </c>
      <c r="DD16" s="17" t="s">
        <v>870</v>
      </c>
      <c r="DE16" s="17" t="s">
        <v>870</v>
      </c>
      <c r="DF16" s="17" t="s">
        <v>870</v>
      </c>
      <c r="DG16" s="17" t="s">
        <v>870</v>
      </c>
      <c r="DH16" s="17" t="s">
        <v>870</v>
      </c>
      <c r="DI16" s="17" t="s">
        <v>870</v>
      </c>
      <c r="DJ16" s="61" t="s">
        <v>2</v>
      </c>
      <c r="DK16" s="61" t="s">
        <v>2</v>
      </c>
      <c r="DL16" s="17" t="s">
        <v>870</v>
      </c>
      <c r="DM16" s="17" t="s">
        <v>870</v>
      </c>
      <c r="DN16" s="17" t="s">
        <v>870</v>
      </c>
      <c r="DO16" s="17" t="s">
        <v>870</v>
      </c>
      <c r="DP16" s="17" t="s">
        <v>870</v>
      </c>
      <c r="DQ16" s="17" t="s">
        <v>870</v>
      </c>
      <c r="DR16" s="62"/>
      <c r="DS16" s="62"/>
      <c r="DT16" s="63"/>
      <c r="DU16" s="61" t="s">
        <v>2</v>
      </c>
      <c r="DV16" s="63"/>
      <c r="DW16" s="61" t="s">
        <v>2</v>
      </c>
      <c r="DX16" s="61" t="s">
        <v>2</v>
      </c>
      <c r="DY16" s="62"/>
      <c r="DZ16" s="17" t="s">
        <v>870</v>
      </c>
      <c r="EA16" s="17" t="s">
        <v>870</v>
      </c>
      <c r="EB16" s="63"/>
      <c r="EC16" s="63"/>
      <c r="ED16" s="17" t="s">
        <v>870</v>
      </c>
      <c r="EE16" s="17" t="s">
        <v>870</v>
      </c>
      <c r="EF16" s="63"/>
      <c r="EG16" s="63"/>
      <c r="EH16" s="17" t="s">
        <v>870</v>
      </c>
      <c r="EI16" s="17" t="s">
        <v>870</v>
      </c>
      <c r="EJ16" s="17" t="s">
        <v>870</v>
      </c>
      <c r="EK16" s="17" t="s">
        <v>870</v>
      </c>
      <c r="EL16" s="17" t="s">
        <v>870</v>
      </c>
      <c r="EM16" s="17" t="s">
        <v>870</v>
      </c>
      <c r="EN16" s="63"/>
      <c r="EO16" s="17" t="s">
        <v>870</v>
      </c>
      <c r="EP16" s="62"/>
      <c r="EQ16" s="63"/>
      <c r="ER16" s="63"/>
      <c r="ES16" s="63"/>
      <c r="ET16" s="17" t="s">
        <v>870</v>
      </c>
      <c r="EU16" s="17" t="s">
        <v>870</v>
      </c>
      <c r="EV16" s="62"/>
      <c r="EW16" s="61" t="s">
        <v>2</v>
      </c>
      <c r="EX16" s="63"/>
      <c r="EY16" s="62"/>
      <c r="EZ16" s="61" t="s">
        <v>2</v>
      </c>
      <c r="FA16" s="62"/>
      <c r="FB16" s="17" t="s">
        <v>870</v>
      </c>
      <c r="FC16" s="17" t="s">
        <v>870</v>
      </c>
      <c r="FD16" s="63"/>
      <c r="FE16" s="63"/>
      <c r="FF16" s="62"/>
      <c r="FG16" s="63"/>
      <c r="FH16" s="61" t="s">
        <v>2</v>
      </c>
      <c r="FI16" s="63"/>
      <c r="FJ16" s="61" t="s">
        <v>2</v>
      </c>
      <c r="FK16" s="63"/>
      <c r="FL16" s="17" t="s">
        <v>870</v>
      </c>
      <c r="FM16" s="17" t="s">
        <v>870</v>
      </c>
      <c r="FN16" s="63"/>
      <c r="FO16" s="62"/>
      <c r="FP16" s="61" t="s">
        <v>2</v>
      </c>
      <c r="FQ16" s="63"/>
      <c r="FR16" s="63"/>
      <c r="FS16" s="63"/>
      <c r="FT16" s="63"/>
      <c r="FU16" s="63"/>
      <c r="FV16" s="62"/>
      <c r="FW16" s="63"/>
      <c r="FX16" s="63"/>
      <c r="FY16" s="62"/>
      <c r="FZ16" s="63"/>
      <c r="GA16" s="61" t="s">
        <v>2</v>
      </c>
      <c r="GB16" s="17" t="s">
        <v>870</v>
      </c>
      <c r="GC16" s="17" t="s">
        <v>870</v>
      </c>
      <c r="GD16" s="63"/>
      <c r="GE16" s="63"/>
      <c r="GF16" s="63"/>
      <c r="GG16" s="63"/>
      <c r="GH16" s="63"/>
      <c r="GI16" s="63"/>
      <c r="GJ16" s="61" t="s">
        <v>2</v>
      </c>
      <c r="GK16" s="63"/>
      <c r="GL16" s="63"/>
      <c r="GM16" s="17" t="s">
        <v>870</v>
      </c>
      <c r="GN16" s="17" t="s">
        <v>870</v>
      </c>
      <c r="GO16" s="63"/>
      <c r="GP16" s="63"/>
      <c r="GQ16" s="61" t="s">
        <v>2</v>
      </c>
      <c r="GR16" s="63"/>
      <c r="GS16" s="63"/>
      <c r="GT16" s="63"/>
      <c r="GU16" s="61" t="s">
        <v>2</v>
      </c>
      <c r="GV16" s="63"/>
      <c r="GW16" s="63"/>
      <c r="GX16" s="61" t="s">
        <v>2</v>
      </c>
      <c r="GY16" s="61" t="s">
        <v>2</v>
      </c>
      <c r="GZ16" s="63"/>
      <c r="HA16" s="63"/>
      <c r="HB16" s="63"/>
      <c r="HC16" s="63"/>
      <c r="HD16" s="63"/>
      <c r="HE16" s="63"/>
      <c r="HF16" s="63"/>
      <c r="HG16" s="61" t="s">
        <v>2</v>
      </c>
      <c r="HH16" s="17" t="s">
        <v>870</v>
      </c>
      <c r="HI16" s="17" t="s">
        <v>870</v>
      </c>
      <c r="HJ16" s="63"/>
      <c r="HK16" s="63"/>
      <c r="HL16" s="63"/>
      <c r="HM16" s="63"/>
      <c r="HN16" s="63"/>
      <c r="HO16" s="63"/>
      <c r="HP16" s="62"/>
      <c r="HQ16" s="63"/>
      <c r="HR16" s="62"/>
      <c r="HS16" s="63"/>
      <c r="HT16" s="63"/>
      <c r="HU16" s="62"/>
      <c r="HV16" s="61" t="s">
        <v>2</v>
      </c>
      <c r="HW16" s="63"/>
      <c r="HX16" s="63"/>
      <c r="HY16" s="63"/>
      <c r="HZ16" s="63"/>
      <c r="IA16" s="63"/>
      <c r="IB16" s="62"/>
      <c r="IC16" s="61" t="s">
        <v>2</v>
      </c>
      <c r="ID16" s="63"/>
      <c r="IE16" s="62"/>
      <c r="IF16" s="63"/>
      <c r="IG16" s="63"/>
      <c r="IH16" s="63"/>
      <c r="II16" s="17" t="s">
        <v>870</v>
      </c>
      <c r="IJ16" s="17" t="s">
        <v>870</v>
      </c>
      <c r="IK16" s="63"/>
      <c r="IL16" s="62"/>
      <c r="IM16" s="62"/>
      <c r="IN16" s="62"/>
      <c r="IO16" s="63"/>
      <c r="IP16" s="63"/>
      <c r="IQ16" s="17" t="s">
        <v>870</v>
      </c>
      <c r="IR16" s="17" t="s">
        <v>870</v>
      </c>
      <c r="IS16" s="63"/>
      <c r="IT16" s="62"/>
      <c r="IU16" s="61" t="s">
        <v>2</v>
      </c>
      <c r="IV16" s="63"/>
      <c r="IW16" s="63"/>
      <c r="IX16" s="63"/>
      <c r="IY16" s="17" t="s">
        <v>870</v>
      </c>
      <c r="IZ16" s="17" t="s">
        <v>870</v>
      </c>
      <c r="JA16" s="63"/>
      <c r="JB16" s="63"/>
      <c r="JC16" s="63"/>
      <c r="JD16" s="63"/>
      <c r="JE16" s="63"/>
      <c r="JF16" s="63"/>
      <c r="JG16" s="62"/>
      <c r="JH16" s="63"/>
      <c r="JI16" s="63"/>
      <c r="JJ16" s="63"/>
      <c r="JK16" s="63"/>
      <c r="JL16" s="63"/>
      <c r="JM16" s="63"/>
      <c r="JN16" s="63"/>
      <c r="JO16" s="63"/>
      <c r="JP16" s="63"/>
      <c r="JQ16" s="63"/>
      <c r="JR16" s="63"/>
      <c r="JS16" s="63"/>
      <c r="JT16" s="63"/>
    </row>
    <row r="17" spans="1:280" x14ac:dyDescent="0.25">
      <c r="A17" t="s">
        <v>77</v>
      </c>
      <c r="B17" s="17" t="s">
        <v>870</v>
      </c>
      <c r="C17" s="17" t="s">
        <v>870</v>
      </c>
      <c r="D17" s="17" t="s">
        <v>870</v>
      </c>
      <c r="E17" s="17" t="s">
        <v>870</v>
      </c>
      <c r="F17" s="17" t="s">
        <v>870</v>
      </c>
      <c r="G17" s="17" t="s">
        <v>870</v>
      </c>
      <c r="H17" s="17" t="s">
        <v>870</v>
      </c>
      <c r="I17" s="17" t="s">
        <v>870</v>
      </c>
      <c r="J17" s="17" t="s">
        <v>870</v>
      </c>
      <c r="K17" s="17" t="s">
        <v>870</v>
      </c>
      <c r="L17" s="17" t="s">
        <v>870</v>
      </c>
      <c r="M17" s="17" t="s">
        <v>870</v>
      </c>
      <c r="N17" s="17" t="s">
        <v>870</v>
      </c>
      <c r="O17" s="17" t="s">
        <v>870</v>
      </c>
      <c r="P17" s="17" t="s">
        <v>870</v>
      </c>
      <c r="Q17" s="17" t="s">
        <v>870</v>
      </c>
      <c r="R17" s="17" t="s">
        <v>870</v>
      </c>
      <c r="S17" s="17" t="s">
        <v>870</v>
      </c>
      <c r="T17" s="17" t="s">
        <v>870</v>
      </c>
      <c r="U17" s="17" t="s">
        <v>870</v>
      </c>
      <c r="V17" s="17" t="s">
        <v>870</v>
      </c>
      <c r="W17" s="17" t="s">
        <v>870</v>
      </c>
      <c r="X17" s="17" t="s">
        <v>870</v>
      </c>
      <c r="Y17" s="17" t="s">
        <v>870</v>
      </c>
      <c r="Z17" s="17" t="s">
        <v>870</v>
      </c>
      <c r="AA17" s="17" t="s">
        <v>870</v>
      </c>
      <c r="AB17" s="17" t="s">
        <v>870</v>
      </c>
      <c r="AC17" s="17" t="s">
        <v>870</v>
      </c>
      <c r="AD17" s="17" t="s">
        <v>870</v>
      </c>
      <c r="AE17" s="17" t="s">
        <v>870</v>
      </c>
      <c r="AF17" s="17" t="s">
        <v>870</v>
      </c>
      <c r="AG17" s="17" t="s">
        <v>870</v>
      </c>
      <c r="AH17" s="17" t="s">
        <v>870</v>
      </c>
      <c r="AI17" s="17" t="s">
        <v>870</v>
      </c>
      <c r="AJ17" s="17" t="s">
        <v>870</v>
      </c>
      <c r="AK17" s="17" t="s">
        <v>870</v>
      </c>
      <c r="AL17" s="17" t="s">
        <v>870</v>
      </c>
      <c r="AM17" s="17" t="s">
        <v>870</v>
      </c>
      <c r="AN17" s="17" t="s">
        <v>870</v>
      </c>
      <c r="AO17" s="17" t="s">
        <v>870</v>
      </c>
      <c r="AP17" s="17" t="s">
        <v>870</v>
      </c>
      <c r="AQ17" s="17" t="s">
        <v>870</v>
      </c>
      <c r="AR17" s="17" t="s">
        <v>870</v>
      </c>
      <c r="AS17" s="17" t="s">
        <v>870</v>
      </c>
      <c r="AT17" s="17" t="s">
        <v>870</v>
      </c>
      <c r="AU17" s="17" t="s">
        <v>870</v>
      </c>
      <c r="AV17" s="17" t="s">
        <v>870</v>
      </c>
      <c r="AW17" s="17" t="s">
        <v>870</v>
      </c>
      <c r="AX17" s="17" t="s">
        <v>870</v>
      </c>
      <c r="AY17" s="17" t="s">
        <v>870</v>
      </c>
      <c r="AZ17" s="17" t="s">
        <v>870</v>
      </c>
      <c r="BA17" s="17" t="s">
        <v>870</v>
      </c>
      <c r="BB17" s="17" t="s">
        <v>870</v>
      </c>
      <c r="BC17" s="17" t="s">
        <v>870</v>
      </c>
      <c r="BD17" s="17" t="s">
        <v>870</v>
      </c>
      <c r="BE17" s="17" t="s">
        <v>870</v>
      </c>
      <c r="BF17" s="17" t="s">
        <v>870</v>
      </c>
      <c r="BG17" s="17" t="s">
        <v>870</v>
      </c>
      <c r="BH17" s="17" t="s">
        <v>870</v>
      </c>
      <c r="BI17" s="17" t="s">
        <v>870</v>
      </c>
      <c r="BJ17" s="17" t="s">
        <v>870</v>
      </c>
      <c r="BK17" s="17" t="s">
        <v>870</v>
      </c>
      <c r="BL17" s="17" t="s">
        <v>870</v>
      </c>
      <c r="BM17" s="17" t="s">
        <v>870</v>
      </c>
      <c r="BN17" s="17" t="s">
        <v>870</v>
      </c>
      <c r="BO17" s="17" t="s">
        <v>870</v>
      </c>
      <c r="BP17" s="61" t="s">
        <v>2</v>
      </c>
      <c r="BQ17" s="17" t="s">
        <v>870</v>
      </c>
      <c r="BR17" s="17" t="s">
        <v>870</v>
      </c>
      <c r="BS17" s="17" t="s">
        <v>870</v>
      </c>
      <c r="BT17" s="17" t="s">
        <v>870</v>
      </c>
      <c r="BU17" s="17" t="s">
        <v>870</v>
      </c>
      <c r="BV17" s="63"/>
      <c r="BW17" s="61" t="s">
        <v>2</v>
      </c>
      <c r="BX17" s="61" t="s">
        <v>2</v>
      </c>
      <c r="BY17" s="61" t="s">
        <v>2</v>
      </c>
      <c r="BZ17" s="17" t="s">
        <v>870</v>
      </c>
      <c r="CA17" s="17" t="s">
        <v>870</v>
      </c>
      <c r="CB17" s="17" t="s">
        <v>870</v>
      </c>
      <c r="CC17" s="17" t="s">
        <v>870</v>
      </c>
      <c r="CD17" s="17" t="s">
        <v>870</v>
      </c>
      <c r="CE17" s="17" t="s">
        <v>870</v>
      </c>
      <c r="CF17" s="17" t="s">
        <v>870</v>
      </c>
      <c r="CG17" s="17" t="s">
        <v>870</v>
      </c>
      <c r="CH17" s="17" t="s">
        <v>870</v>
      </c>
      <c r="CI17" s="17" t="s">
        <v>870</v>
      </c>
      <c r="CJ17" s="17" t="s">
        <v>870</v>
      </c>
      <c r="CK17" s="17" t="s">
        <v>870</v>
      </c>
      <c r="CL17" s="17" t="s">
        <v>870</v>
      </c>
      <c r="CM17" s="17" t="s">
        <v>870</v>
      </c>
      <c r="CN17" s="17" t="s">
        <v>870</v>
      </c>
      <c r="CO17" s="17" t="s">
        <v>870</v>
      </c>
      <c r="CP17" s="17" t="s">
        <v>870</v>
      </c>
      <c r="CQ17" s="17" t="s">
        <v>870</v>
      </c>
      <c r="CR17" s="17" t="s">
        <v>870</v>
      </c>
      <c r="CS17" s="17" t="s">
        <v>870</v>
      </c>
      <c r="CT17" s="61" t="s">
        <v>2</v>
      </c>
      <c r="CU17" s="17" t="s">
        <v>870</v>
      </c>
      <c r="CV17" s="62"/>
      <c r="CW17" s="62"/>
      <c r="CX17" s="17" t="s">
        <v>870</v>
      </c>
      <c r="CY17" s="17" t="s">
        <v>870</v>
      </c>
      <c r="CZ17" s="17" t="s">
        <v>870</v>
      </c>
      <c r="DA17" s="17" t="s">
        <v>870</v>
      </c>
      <c r="DB17" s="62"/>
      <c r="DC17" s="61" t="s">
        <v>2</v>
      </c>
      <c r="DD17" s="61" t="s">
        <v>2</v>
      </c>
      <c r="DE17" s="61" t="s">
        <v>2</v>
      </c>
      <c r="DF17" s="63"/>
      <c r="DG17" s="63"/>
      <c r="DH17" s="61" t="s">
        <v>2</v>
      </c>
      <c r="DI17" s="61" t="s">
        <v>2</v>
      </c>
      <c r="DJ17" s="63"/>
      <c r="DK17" s="62"/>
      <c r="DL17" s="61" t="s">
        <v>2</v>
      </c>
      <c r="DM17" s="61" t="s">
        <v>2</v>
      </c>
      <c r="DN17" s="62"/>
      <c r="DO17" s="17" t="s">
        <v>870</v>
      </c>
      <c r="DP17" s="17" t="s">
        <v>870</v>
      </c>
      <c r="DQ17" s="17" t="s">
        <v>870</v>
      </c>
      <c r="DR17" s="17" t="s">
        <v>870</v>
      </c>
      <c r="DS17" s="17" t="s">
        <v>870</v>
      </c>
      <c r="DT17" s="17" t="s">
        <v>870</v>
      </c>
      <c r="DU17" s="17" t="s">
        <v>870</v>
      </c>
      <c r="DV17" s="17" t="s">
        <v>870</v>
      </c>
      <c r="DW17" s="17" t="s">
        <v>870</v>
      </c>
      <c r="DX17" s="17" t="s">
        <v>870</v>
      </c>
      <c r="DY17" s="17" t="s">
        <v>870</v>
      </c>
      <c r="DZ17" s="17" t="s">
        <v>870</v>
      </c>
      <c r="EA17" s="17" t="s">
        <v>870</v>
      </c>
      <c r="EB17" s="17" t="s">
        <v>870</v>
      </c>
      <c r="EC17" s="17" t="s">
        <v>870</v>
      </c>
      <c r="ED17" s="17" t="s">
        <v>870</v>
      </c>
      <c r="EE17" s="17" t="s">
        <v>870</v>
      </c>
      <c r="EF17" s="17" t="s">
        <v>870</v>
      </c>
      <c r="EG17" s="17" t="s">
        <v>870</v>
      </c>
      <c r="EH17" s="17" t="s">
        <v>870</v>
      </c>
      <c r="EI17" s="17" t="s">
        <v>870</v>
      </c>
      <c r="EJ17" s="17" t="s">
        <v>870</v>
      </c>
      <c r="EK17" s="17" t="s">
        <v>870</v>
      </c>
      <c r="EL17" s="17" t="s">
        <v>870</v>
      </c>
      <c r="EM17" s="17" t="s">
        <v>870</v>
      </c>
      <c r="EN17" s="17" t="s">
        <v>870</v>
      </c>
      <c r="EO17" s="17" t="s">
        <v>870</v>
      </c>
      <c r="EP17" s="17" t="s">
        <v>870</v>
      </c>
      <c r="EQ17" s="17" t="s">
        <v>870</v>
      </c>
      <c r="ER17" s="17" t="s">
        <v>870</v>
      </c>
      <c r="ES17" s="17" t="s">
        <v>870</v>
      </c>
      <c r="ET17" s="17" t="s">
        <v>870</v>
      </c>
      <c r="EU17" s="17" t="s">
        <v>870</v>
      </c>
      <c r="EV17" s="17" t="s">
        <v>870</v>
      </c>
      <c r="EW17" s="17" t="s">
        <v>870</v>
      </c>
      <c r="EX17" s="17" t="s">
        <v>870</v>
      </c>
      <c r="EY17" s="17" t="s">
        <v>870</v>
      </c>
      <c r="EZ17" s="17" t="s">
        <v>870</v>
      </c>
      <c r="FA17" s="17" t="s">
        <v>870</v>
      </c>
      <c r="FB17" s="17" t="s">
        <v>870</v>
      </c>
      <c r="FC17" s="17" t="s">
        <v>870</v>
      </c>
      <c r="FD17" s="17" t="s">
        <v>870</v>
      </c>
      <c r="FE17" s="17" t="s">
        <v>870</v>
      </c>
      <c r="FF17" s="17" t="s">
        <v>870</v>
      </c>
      <c r="FG17" s="17" t="s">
        <v>870</v>
      </c>
      <c r="FH17" s="17" t="s">
        <v>870</v>
      </c>
      <c r="FI17" s="17" t="s">
        <v>870</v>
      </c>
      <c r="FJ17" s="17" t="s">
        <v>870</v>
      </c>
      <c r="FK17" s="17" t="s">
        <v>870</v>
      </c>
      <c r="FL17" s="17" t="s">
        <v>870</v>
      </c>
      <c r="FM17" s="17" t="s">
        <v>870</v>
      </c>
      <c r="FN17" s="17" t="s">
        <v>870</v>
      </c>
      <c r="FO17" s="17" t="s">
        <v>870</v>
      </c>
      <c r="FP17" s="17" t="s">
        <v>870</v>
      </c>
      <c r="FQ17" s="17" t="s">
        <v>870</v>
      </c>
      <c r="FR17" s="17" t="s">
        <v>870</v>
      </c>
      <c r="FS17" s="17" t="s">
        <v>870</v>
      </c>
      <c r="FT17" s="17" t="s">
        <v>870</v>
      </c>
      <c r="FU17" s="17" t="s">
        <v>870</v>
      </c>
      <c r="FV17" s="17" t="s">
        <v>870</v>
      </c>
      <c r="FW17" s="17" t="s">
        <v>870</v>
      </c>
      <c r="FX17" s="17" t="s">
        <v>870</v>
      </c>
      <c r="FY17" s="17" t="s">
        <v>870</v>
      </c>
      <c r="FZ17" s="17" t="s">
        <v>870</v>
      </c>
      <c r="GA17" s="17" t="s">
        <v>870</v>
      </c>
      <c r="GB17" s="17" t="s">
        <v>870</v>
      </c>
      <c r="GC17" s="17" t="s">
        <v>870</v>
      </c>
      <c r="GD17" s="17" t="s">
        <v>870</v>
      </c>
      <c r="GE17" s="17" t="s">
        <v>870</v>
      </c>
      <c r="GF17" s="17" t="s">
        <v>870</v>
      </c>
      <c r="GG17" s="17" t="s">
        <v>870</v>
      </c>
      <c r="GH17" s="17" t="s">
        <v>870</v>
      </c>
      <c r="GI17" s="17" t="s">
        <v>870</v>
      </c>
      <c r="GJ17" s="17" t="s">
        <v>870</v>
      </c>
      <c r="GK17" s="17" t="s">
        <v>870</v>
      </c>
      <c r="GL17" s="17" t="s">
        <v>870</v>
      </c>
      <c r="GM17" s="17" t="s">
        <v>870</v>
      </c>
      <c r="GN17" s="17" t="s">
        <v>870</v>
      </c>
      <c r="GO17" s="17" t="s">
        <v>870</v>
      </c>
      <c r="GP17" s="17" t="s">
        <v>870</v>
      </c>
      <c r="GQ17" s="17" t="s">
        <v>870</v>
      </c>
      <c r="GR17" s="17" t="s">
        <v>870</v>
      </c>
      <c r="GS17" s="17" t="s">
        <v>870</v>
      </c>
      <c r="GT17" s="17" t="s">
        <v>870</v>
      </c>
      <c r="GU17" s="17" t="s">
        <v>870</v>
      </c>
      <c r="GV17" s="17" t="s">
        <v>870</v>
      </c>
      <c r="GW17" s="17" t="s">
        <v>870</v>
      </c>
      <c r="GX17" s="17" t="s">
        <v>870</v>
      </c>
      <c r="GY17" s="17" t="s">
        <v>870</v>
      </c>
      <c r="GZ17" s="17" t="s">
        <v>870</v>
      </c>
      <c r="HA17" s="17" t="s">
        <v>870</v>
      </c>
      <c r="HB17" s="17" t="s">
        <v>870</v>
      </c>
      <c r="HC17" s="17" t="s">
        <v>870</v>
      </c>
      <c r="HD17" s="17" t="s">
        <v>870</v>
      </c>
      <c r="HE17" s="17" t="s">
        <v>870</v>
      </c>
      <c r="HF17" s="17" t="s">
        <v>870</v>
      </c>
      <c r="HG17" s="17" t="s">
        <v>870</v>
      </c>
      <c r="HH17" s="17" t="s">
        <v>870</v>
      </c>
      <c r="HI17" s="17" t="s">
        <v>870</v>
      </c>
      <c r="HJ17" s="17" t="s">
        <v>870</v>
      </c>
      <c r="HK17" s="17" t="s">
        <v>870</v>
      </c>
      <c r="HL17" s="17" t="s">
        <v>870</v>
      </c>
      <c r="HM17" s="17" t="s">
        <v>870</v>
      </c>
      <c r="HN17" s="17" t="s">
        <v>870</v>
      </c>
      <c r="HO17" s="17" t="s">
        <v>870</v>
      </c>
      <c r="HP17" s="17" t="s">
        <v>870</v>
      </c>
      <c r="HQ17" s="17" t="s">
        <v>870</v>
      </c>
      <c r="HR17" s="17" t="s">
        <v>870</v>
      </c>
      <c r="HS17" s="17" t="s">
        <v>870</v>
      </c>
      <c r="HT17" s="17" t="s">
        <v>870</v>
      </c>
      <c r="HU17" s="17" t="s">
        <v>870</v>
      </c>
      <c r="HV17" s="17" t="s">
        <v>870</v>
      </c>
      <c r="HW17" s="17" t="s">
        <v>870</v>
      </c>
      <c r="HX17" s="17" t="s">
        <v>870</v>
      </c>
      <c r="HY17" s="17" t="s">
        <v>870</v>
      </c>
      <c r="HZ17" s="17" t="s">
        <v>870</v>
      </c>
      <c r="IA17" s="17" t="s">
        <v>870</v>
      </c>
      <c r="IB17" s="17" t="s">
        <v>870</v>
      </c>
      <c r="IC17" s="17" t="s">
        <v>870</v>
      </c>
      <c r="ID17" s="17" t="s">
        <v>870</v>
      </c>
      <c r="IE17" s="17" t="s">
        <v>870</v>
      </c>
      <c r="IF17" s="17" t="s">
        <v>870</v>
      </c>
      <c r="IG17" s="17" t="s">
        <v>870</v>
      </c>
      <c r="IH17" s="17" t="s">
        <v>870</v>
      </c>
      <c r="II17" s="17" t="s">
        <v>870</v>
      </c>
      <c r="IJ17" s="17" t="s">
        <v>870</v>
      </c>
      <c r="IK17" s="17" t="s">
        <v>870</v>
      </c>
      <c r="IL17" s="17" t="s">
        <v>870</v>
      </c>
      <c r="IM17" s="17" t="s">
        <v>870</v>
      </c>
      <c r="IN17" s="17" t="s">
        <v>870</v>
      </c>
      <c r="IO17" s="17" t="s">
        <v>870</v>
      </c>
      <c r="IP17" s="17" t="s">
        <v>870</v>
      </c>
      <c r="IQ17" s="17" t="s">
        <v>870</v>
      </c>
      <c r="IR17" s="17" t="s">
        <v>870</v>
      </c>
      <c r="IS17" s="17" t="s">
        <v>870</v>
      </c>
      <c r="IT17" s="17" t="s">
        <v>870</v>
      </c>
      <c r="IU17" s="17" t="s">
        <v>870</v>
      </c>
      <c r="IV17" s="17" t="s">
        <v>870</v>
      </c>
      <c r="IW17" s="17" t="s">
        <v>870</v>
      </c>
      <c r="IX17" s="17" t="s">
        <v>870</v>
      </c>
      <c r="IY17" s="17" t="s">
        <v>870</v>
      </c>
      <c r="IZ17" s="17" t="s">
        <v>870</v>
      </c>
      <c r="JA17" s="17" t="s">
        <v>870</v>
      </c>
      <c r="JB17" s="17" t="s">
        <v>870</v>
      </c>
      <c r="JC17" s="17" t="s">
        <v>870</v>
      </c>
      <c r="JD17" s="17" t="s">
        <v>870</v>
      </c>
      <c r="JE17" s="17" t="s">
        <v>870</v>
      </c>
      <c r="JF17" s="17" t="s">
        <v>870</v>
      </c>
      <c r="JG17" s="17" t="s">
        <v>870</v>
      </c>
      <c r="JH17" s="17" t="s">
        <v>870</v>
      </c>
      <c r="JI17" s="17" t="s">
        <v>870</v>
      </c>
      <c r="JJ17" s="17" t="s">
        <v>870</v>
      </c>
      <c r="JK17" s="17" t="s">
        <v>870</v>
      </c>
      <c r="JL17" s="17" t="s">
        <v>870</v>
      </c>
      <c r="JM17" s="17" t="s">
        <v>870</v>
      </c>
      <c r="JN17" s="17" t="s">
        <v>870</v>
      </c>
      <c r="JO17" s="17" t="s">
        <v>870</v>
      </c>
      <c r="JP17" s="17" t="s">
        <v>870</v>
      </c>
      <c r="JQ17" s="17" t="s">
        <v>870</v>
      </c>
      <c r="JR17" s="17" t="s">
        <v>870</v>
      </c>
      <c r="JS17" s="17" t="s">
        <v>870</v>
      </c>
      <c r="JT17" s="17" t="s">
        <v>870</v>
      </c>
    </row>
    <row r="18" spans="1:280" x14ac:dyDescent="0.25">
      <c r="A18" t="s">
        <v>15</v>
      </c>
      <c r="B18" s="17" t="s">
        <v>870</v>
      </c>
      <c r="C18" s="17" t="s">
        <v>870</v>
      </c>
      <c r="D18" s="17" t="s">
        <v>870</v>
      </c>
      <c r="E18" s="17" t="s">
        <v>870</v>
      </c>
      <c r="F18" s="17" t="s">
        <v>870</v>
      </c>
      <c r="G18" s="17" t="s">
        <v>870</v>
      </c>
      <c r="H18" s="17" t="s">
        <v>870</v>
      </c>
      <c r="I18" s="17" t="s">
        <v>870</v>
      </c>
      <c r="J18" s="17" t="s">
        <v>870</v>
      </c>
      <c r="K18" s="17" t="s">
        <v>870</v>
      </c>
      <c r="L18" s="17" t="s">
        <v>870</v>
      </c>
      <c r="M18" s="17" t="s">
        <v>870</v>
      </c>
      <c r="N18" s="17" t="s">
        <v>870</v>
      </c>
      <c r="O18" s="17" t="s">
        <v>870</v>
      </c>
      <c r="P18" s="17" t="s">
        <v>870</v>
      </c>
      <c r="Q18" s="17" t="s">
        <v>870</v>
      </c>
      <c r="R18" s="17" t="s">
        <v>870</v>
      </c>
      <c r="S18" s="17" t="s">
        <v>870</v>
      </c>
      <c r="T18" s="63"/>
      <c r="U18" s="63"/>
      <c r="V18" s="17" t="s">
        <v>870</v>
      </c>
      <c r="W18" s="17" t="s">
        <v>870</v>
      </c>
      <c r="X18" s="63"/>
      <c r="Y18" s="62"/>
      <c r="Z18" s="63"/>
      <c r="AA18" s="62"/>
      <c r="AB18" s="63"/>
      <c r="AC18" s="62"/>
      <c r="AD18" s="63"/>
      <c r="AE18" s="62"/>
      <c r="AF18" s="61" t="s">
        <v>2</v>
      </c>
      <c r="AG18" s="62"/>
      <c r="AH18" s="62"/>
      <c r="AI18" s="62"/>
      <c r="AJ18" s="61" t="s">
        <v>2</v>
      </c>
      <c r="AK18" s="63"/>
      <c r="AL18" s="61" t="s">
        <v>2</v>
      </c>
      <c r="AM18" s="63"/>
      <c r="AN18" s="63"/>
      <c r="AO18" s="62"/>
      <c r="AP18" s="63"/>
      <c r="AQ18" s="63"/>
      <c r="AR18" s="63"/>
      <c r="AS18" s="62"/>
      <c r="AT18" s="63"/>
      <c r="AU18" s="63"/>
      <c r="AV18" s="62"/>
      <c r="AW18" s="63"/>
      <c r="AX18" s="61" t="s">
        <v>2</v>
      </c>
      <c r="AY18" s="63"/>
      <c r="AZ18" s="63"/>
      <c r="BA18" s="63"/>
      <c r="BB18" s="17" t="s">
        <v>870</v>
      </c>
      <c r="BC18" s="17" t="s">
        <v>870</v>
      </c>
      <c r="BD18" s="63"/>
      <c r="BE18" s="62"/>
      <c r="BF18" s="17" t="s">
        <v>870</v>
      </c>
      <c r="BG18" s="17" t="s">
        <v>870</v>
      </c>
      <c r="BH18" s="17" t="s">
        <v>870</v>
      </c>
      <c r="BI18" s="17" t="s">
        <v>870</v>
      </c>
      <c r="BJ18" s="63"/>
      <c r="BK18" s="63"/>
      <c r="BL18" s="17" t="s">
        <v>870</v>
      </c>
      <c r="BM18" s="62"/>
      <c r="BN18" s="63"/>
      <c r="BO18" s="63"/>
      <c r="BP18" s="63"/>
      <c r="BQ18" s="62"/>
      <c r="BR18" s="63"/>
      <c r="BS18" s="63"/>
      <c r="BT18" s="63"/>
      <c r="BU18" s="63"/>
      <c r="BV18" s="63"/>
      <c r="BW18" s="63"/>
      <c r="BX18" s="17" t="s">
        <v>870</v>
      </c>
      <c r="BY18" s="17" t="s">
        <v>870</v>
      </c>
      <c r="BZ18" s="17" t="s">
        <v>870</v>
      </c>
      <c r="CA18" s="17" t="s">
        <v>870</v>
      </c>
      <c r="CB18" s="63"/>
      <c r="CC18" s="63"/>
      <c r="CD18" s="17" t="s">
        <v>870</v>
      </c>
      <c r="CE18" s="17" t="s">
        <v>870</v>
      </c>
      <c r="CF18" s="63"/>
      <c r="CG18" s="63"/>
      <c r="CH18" s="61" t="s">
        <v>2</v>
      </c>
      <c r="CI18" s="63"/>
      <c r="CJ18" s="63"/>
      <c r="CK18" s="63"/>
      <c r="CL18" s="63"/>
      <c r="CM18" s="63"/>
      <c r="CN18" s="17" t="s">
        <v>870</v>
      </c>
      <c r="CO18" s="17" t="s">
        <v>870</v>
      </c>
      <c r="CP18" s="63"/>
      <c r="CQ18" s="63"/>
      <c r="CR18" s="63"/>
      <c r="CS18" s="63"/>
      <c r="CT18" s="63"/>
      <c r="CU18" s="63"/>
      <c r="CV18" s="17" t="s">
        <v>870</v>
      </c>
      <c r="CW18" s="17" t="s">
        <v>870</v>
      </c>
      <c r="CX18" s="62"/>
      <c r="CY18" s="62"/>
      <c r="CZ18" s="63"/>
      <c r="DA18" s="63"/>
      <c r="DB18" s="63"/>
      <c r="DC18" s="63"/>
      <c r="DD18" s="17" t="s">
        <v>870</v>
      </c>
      <c r="DE18" s="17" t="s">
        <v>870</v>
      </c>
      <c r="DF18" s="62"/>
      <c r="DG18" s="63"/>
      <c r="DH18" s="17" t="s">
        <v>870</v>
      </c>
      <c r="DI18" s="17" t="s">
        <v>870</v>
      </c>
      <c r="DJ18" s="62"/>
      <c r="DK18" s="62"/>
      <c r="DL18" s="17" t="s">
        <v>870</v>
      </c>
      <c r="DM18" s="17" t="s">
        <v>870</v>
      </c>
      <c r="DN18" s="62"/>
      <c r="DO18" s="63"/>
      <c r="DP18" s="17" t="s">
        <v>870</v>
      </c>
      <c r="DQ18" s="17" t="s">
        <v>870</v>
      </c>
      <c r="DR18" s="17" t="s">
        <v>870</v>
      </c>
      <c r="DS18" s="17" t="s">
        <v>870</v>
      </c>
      <c r="DT18" s="63"/>
      <c r="DU18" s="17" t="s">
        <v>870</v>
      </c>
      <c r="DV18" s="17" t="s">
        <v>870</v>
      </c>
      <c r="DW18" s="17" t="s">
        <v>870</v>
      </c>
      <c r="DX18" s="17" t="s">
        <v>870</v>
      </c>
      <c r="DY18" s="17" t="s">
        <v>870</v>
      </c>
      <c r="DZ18" s="17" t="s">
        <v>870</v>
      </c>
      <c r="EA18" s="17" t="s">
        <v>870</v>
      </c>
      <c r="EB18" s="17" t="s">
        <v>870</v>
      </c>
      <c r="EC18" s="17" t="s">
        <v>870</v>
      </c>
      <c r="ED18" s="63"/>
      <c r="EE18" s="17" t="s">
        <v>870</v>
      </c>
      <c r="EF18" s="17" t="s">
        <v>870</v>
      </c>
      <c r="EG18" s="17" t="s">
        <v>870</v>
      </c>
      <c r="EH18" s="17" t="s">
        <v>870</v>
      </c>
      <c r="EI18" s="17" t="s">
        <v>870</v>
      </c>
      <c r="EJ18" s="17" t="s">
        <v>870</v>
      </c>
      <c r="EK18" s="17" t="s">
        <v>870</v>
      </c>
      <c r="EL18" s="17" t="s">
        <v>870</v>
      </c>
      <c r="EM18" s="17" t="s">
        <v>870</v>
      </c>
      <c r="EN18" s="17" t="s">
        <v>870</v>
      </c>
      <c r="EO18" s="17" t="s">
        <v>870</v>
      </c>
      <c r="EP18" s="17" t="s">
        <v>870</v>
      </c>
      <c r="EQ18" s="17" t="s">
        <v>870</v>
      </c>
      <c r="ER18" s="17" t="s">
        <v>870</v>
      </c>
      <c r="ES18" s="17" t="s">
        <v>870</v>
      </c>
      <c r="ET18" s="17" t="s">
        <v>870</v>
      </c>
      <c r="EU18" s="17" t="s">
        <v>870</v>
      </c>
      <c r="EV18" s="17" t="s">
        <v>870</v>
      </c>
      <c r="EW18" s="17" t="s">
        <v>870</v>
      </c>
      <c r="EX18" s="17" t="s">
        <v>870</v>
      </c>
      <c r="EY18" s="17" t="s">
        <v>870</v>
      </c>
      <c r="EZ18" s="17" t="s">
        <v>870</v>
      </c>
      <c r="FA18" s="17" t="s">
        <v>870</v>
      </c>
      <c r="FB18" s="17" t="s">
        <v>870</v>
      </c>
      <c r="FC18" s="17" t="s">
        <v>870</v>
      </c>
      <c r="FD18" s="17" t="s">
        <v>870</v>
      </c>
      <c r="FE18" s="17" t="s">
        <v>870</v>
      </c>
      <c r="FF18" s="17" t="s">
        <v>870</v>
      </c>
      <c r="FG18" s="17" t="s">
        <v>870</v>
      </c>
      <c r="FH18" s="17" t="s">
        <v>870</v>
      </c>
      <c r="FI18" s="17" t="s">
        <v>870</v>
      </c>
      <c r="FJ18" s="62"/>
      <c r="FK18" s="63"/>
      <c r="FL18" s="17" t="s">
        <v>870</v>
      </c>
      <c r="FM18" s="17" t="s">
        <v>870</v>
      </c>
      <c r="FN18" s="17" t="s">
        <v>870</v>
      </c>
      <c r="FO18" s="17" t="s">
        <v>870</v>
      </c>
      <c r="FP18" s="17" t="s">
        <v>870</v>
      </c>
      <c r="FQ18" s="17" t="s">
        <v>870</v>
      </c>
      <c r="FR18" s="17" t="s">
        <v>870</v>
      </c>
      <c r="FS18" s="17" t="s">
        <v>870</v>
      </c>
      <c r="FT18" s="17" t="s">
        <v>870</v>
      </c>
      <c r="FU18" s="17" t="s">
        <v>870</v>
      </c>
      <c r="FV18" s="17" t="s">
        <v>870</v>
      </c>
      <c r="FW18" s="17" t="s">
        <v>870</v>
      </c>
      <c r="FX18" s="17" t="s">
        <v>870</v>
      </c>
      <c r="FY18" s="17" t="s">
        <v>870</v>
      </c>
      <c r="FZ18" s="17" t="s">
        <v>870</v>
      </c>
      <c r="GA18" s="17" t="s">
        <v>870</v>
      </c>
      <c r="GB18" s="17" t="s">
        <v>870</v>
      </c>
      <c r="GC18" s="17" t="s">
        <v>870</v>
      </c>
      <c r="GD18" s="17" t="s">
        <v>870</v>
      </c>
      <c r="GE18" s="17" t="s">
        <v>870</v>
      </c>
      <c r="GF18" s="17" t="s">
        <v>870</v>
      </c>
      <c r="GG18" s="17" t="s">
        <v>870</v>
      </c>
      <c r="GH18" s="17" t="s">
        <v>870</v>
      </c>
      <c r="GI18" s="17" t="s">
        <v>870</v>
      </c>
      <c r="GJ18" s="17" t="s">
        <v>870</v>
      </c>
      <c r="GK18" s="17" t="s">
        <v>870</v>
      </c>
      <c r="GL18" s="17" t="s">
        <v>870</v>
      </c>
      <c r="GM18" s="17" t="s">
        <v>870</v>
      </c>
      <c r="GN18" s="17" t="s">
        <v>870</v>
      </c>
      <c r="GO18" s="17" t="s">
        <v>870</v>
      </c>
      <c r="GP18" s="17" t="s">
        <v>870</v>
      </c>
      <c r="GQ18" s="17" t="s">
        <v>870</v>
      </c>
      <c r="GR18" s="17" t="s">
        <v>870</v>
      </c>
      <c r="GS18" s="17" t="s">
        <v>870</v>
      </c>
      <c r="GT18" s="17" t="s">
        <v>870</v>
      </c>
      <c r="GU18" s="17" t="s">
        <v>870</v>
      </c>
      <c r="GV18" s="17" t="s">
        <v>870</v>
      </c>
      <c r="GW18" s="17" t="s">
        <v>870</v>
      </c>
      <c r="GX18" s="17" t="s">
        <v>870</v>
      </c>
      <c r="GY18" s="17" t="s">
        <v>870</v>
      </c>
      <c r="GZ18" s="17" t="s">
        <v>870</v>
      </c>
      <c r="HA18" s="17" t="s">
        <v>870</v>
      </c>
      <c r="HB18" s="17" t="s">
        <v>870</v>
      </c>
      <c r="HC18" s="17" t="s">
        <v>870</v>
      </c>
      <c r="HD18" s="17" t="s">
        <v>870</v>
      </c>
      <c r="HE18" s="17" t="s">
        <v>870</v>
      </c>
      <c r="HF18" s="17" t="s">
        <v>870</v>
      </c>
      <c r="HG18" s="17" t="s">
        <v>870</v>
      </c>
      <c r="HH18" s="17" t="s">
        <v>870</v>
      </c>
      <c r="HI18" s="17" t="s">
        <v>870</v>
      </c>
      <c r="HJ18" s="17" t="s">
        <v>870</v>
      </c>
      <c r="HK18" s="17" t="s">
        <v>870</v>
      </c>
      <c r="HL18" s="17" t="s">
        <v>870</v>
      </c>
      <c r="HM18" s="17" t="s">
        <v>870</v>
      </c>
      <c r="HN18" s="17" t="s">
        <v>870</v>
      </c>
      <c r="HO18" s="17" t="s">
        <v>870</v>
      </c>
      <c r="HP18" s="17" t="s">
        <v>870</v>
      </c>
      <c r="HQ18" s="17" t="s">
        <v>870</v>
      </c>
      <c r="HR18" s="17" t="s">
        <v>870</v>
      </c>
      <c r="HS18" s="17" t="s">
        <v>870</v>
      </c>
      <c r="HT18" s="17" t="s">
        <v>870</v>
      </c>
      <c r="HU18" s="17" t="s">
        <v>870</v>
      </c>
      <c r="HV18" s="17" t="s">
        <v>870</v>
      </c>
      <c r="HW18" s="17" t="s">
        <v>870</v>
      </c>
      <c r="HX18" s="17" t="s">
        <v>870</v>
      </c>
      <c r="HY18" s="17" t="s">
        <v>870</v>
      </c>
      <c r="HZ18" s="17" t="s">
        <v>870</v>
      </c>
      <c r="IA18" s="17" t="s">
        <v>870</v>
      </c>
      <c r="IB18" s="17" t="s">
        <v>870</v>
      </c>
      <c r="IC18" s="17" t="s">
        <v>870</v>
      </c>
      <c r="ID18" s="17" t="s">
        <v>870</v>
      </c>
      <c r="IE18" s="17" t="s">
        <v>870</v>
      </c>
      <c r="IF18" s="17" t="s">
        <v>870</v>
      </c>
      <c r="IG18" s="17" t="s">
        <v>870</v>
      </c>
      <c r="IH18" s="17" t="s">
        <v>870</v>
      </c>
      <c r="II18" s="17" t="s">
        <v>870</v>
      </c>
      <c r="IJ18" s="17" t="s">
        <v>870</v>
      </c>
      <c r="IK18" s="17" t="s">
        <v>870</v>
      </c>
      <c r="IL18" s="17" t="s">
        <v>870</v>
      </c>
      <c r="IM18" s="17" t="s">
        <v>870</v>
      </c>
      <c r="IN18" s="17" t="s">
        <v>870</v>
      </c>
      <c r="IO18" s="17" t="s">
        <v>870</v>
      </c>
      <c r="IP18" s="17" t="s">
        <v>870</v>
      </c>
      <c r="IQ18" s="17" t="s">
        <v>870</v>
      </c>
      <c r="IR18" s="17" t="s">
        <v>870</v>
      </c>
      <c r="IS18" s="17" t="s">
        <v>870</v>
      </c>
      <c r="IT18" s="17" t="s">
        <v>870</v>
      </c>
      <c r="IU18" s="17" t="s">
        <v>870</v>
      </c>
      <c r="IV18" s="17" t="s">
        <v>870</v>
      </c>
      <c r="IW18" s="17" t="s">
        <v>870</v>
      </c>
      <c r="IX18" s="17" t="s">
        <v>870</v>
      </c>
      <c r="IY18" s="17" t="s">
        <v>870</v>
      </c>
      <c r="IZ18" s="17" t="s">
        <v>870</v>
      </c>
      <c r="JA18" s="17" t="s">
        <v>870</v>
      </c>
      <c r="JB18" s="17" t="s">
        <v>870</v>
      </c>
      <c r="JC18" s="17" t="s">
        <v>870</v>
      </c>
      <c r="JD18" s="17" t="s">
        <v>870</v>
      </c>
      <c r="JE18" s="17" t="s">
        <v>870</v>
      </c>
      <c r="JF18" s="17" t="s">
        <v>870</v>
      </c>
      <c r="JG18" s="17" t="s">
        <v>870</v>
      </c>
      <c r="JH18" s="17" t="s">
        <v>870</v>
      </c>
      <c r="JI18" s="17" t="s">
        <v>870</v>
      </c>
      <c r="JJ18" s="17" t="s">
        <v>870</v>
      </c>
      <c r="JK18" s="17" t="s">
        <v>870</v>
      </c>
      <c r="JL18" s="17" t="s">
        <v>870</v>
      </c>
      <c r="JM18" s="17" t="s">
        <v>870</v>
      </c>
      <c r="JN18" s="17" t="s">
        <v>870</v>
      </c>
      <c r="JO18" s="17" t="s">
        <v>870</v>
      </c>
      <c r="JP18" s="17" t="s">
        <v>870</v>
      </c>
      <c r="JQ18" s="17" t="s">
        <v>870</v>
      </c>
      <c r="JR18" s="17" t="s">
        <v>870</v>
      </c>
      <c r="JS18" s="17" t="s">
        <v>870</v>
      </c>
      <c r="JT18" s="17" t="s">
        <v>870</v>
      </c>
    </row>
    <row r="19" spans="1:280" x14ac:dyDescent="0.25">
      <c r="A19" t="s">
        <v>17</v>
      </c>
      <c r="B19" s="17" t="s">
        <v>870</v>
      </c>
      <c r="C19" s="17" t="s">
        <v>870</v>
      </c>
      <c r="D19" s="17" t="s">
        <v>870</v>
      </c>
      <c r="E19" s="63"/>
      <c r="F19" s="63"/>
      <c r="G19" s="63"/>
      <c r="H19" s="62"/>
      <c r="I19" s="63"/>
      <c r="J19" s="63"/>
      <c r="K19" s="63"/>
      <c r="L19" s="63"/>
      <c r="M19" s="61" t="s">
        <v>2</v>
      </c>
      <c r="N19" s="63"/>
      <c r="O19" s="61" t="s">
        <v>2</v>
      </c>
      <c r="P19" s="63"/>
      <c r="Q19" s="62"/>
      <c r="R19" s="63"/>
      <c r="S19" s="63"/>
      <c r="T19" s="17" t="s">
        <v>870</v>
      </c>
      <c r="U19" s="17" t="s">
        <v>870</v>
      </c>
      <c r="V19" s="63"/>
      <c r="W19" s="63"/>
      <c r="X19" s="63"/>
      <c r="Y19" s="61" t="s">
        <v>2</v>
      </c>
      <c r="Z19" s="63"/>
      <c r="AA19" s="63"/>
      <c r="AB19" s="61" t="s">
        <v>2</v>
      </c>
      <c r="AC19" s="61" t="s">
        <v>2</v>
      </c>
      <c r="AD19" s="63"/>
      <c r="AE19" s="63"/>
      <c r="AF19" s="63"/>
      <c r="AG19" s="63"/>
      <c r="AH19" s="61" t="s">
        <v>2</v>
      </c>
      <c r="AI19" s="61" t="s">
        <v>2</v>
      </c>
      <c r="AJ19" s="61" t="s">
        <v>2</v>
      </c>
      <c r="AK19" s="63"/>
      <c r="AL19" s="63"/>
      <c r="AM19" s="61" t="s">
        <v>2</v>
      </c>
      <c r="AN19" s="17" t="s">
        <v>870</v>
      </c>
      <c r="AO19" s="17" t="s">
        <v>870</v>
      </c>
      <c r="AP19" s="17" t="s">
        <v>870</v>
      </c>
      <c r="AQ19" s="17" t="s">
        <v>870</v>
      </c>
      <c r="AR19" s="17" t="s">
        <v>870</v>
      </c>
      <c r="AS19" s="17" t="s">
        <v>870</v>
      </c>
      <c r="AT19" s="17" t="s">
        <v>870</v>
      </c>
      <c r="AU19" s="61" t="s">
        <v>2</v>
      </c>
      <c r="AV19" s="63"/>
      <c r="AW19" s="63"/>
      <c r="AX19" s="17" t="s">
        <v>870</v>
      </c>
      <c r="AY19" s="17" t="s">
        <v>870</v>
      </c>
      <c r="AZ19" s="17" t="s">
        <v>870</v>
      </c>
      <c r="BA19" s="17" t="s">
        <v>870</v>
      </c>
      <c r="BB19" s="63"/>
      <c r="BC19" s="61" t="s">
        <v>2</v>
      </c>
      <c r="BD19" s="17" t="s">
        <v>870</v>
      </c>
      <c r="BE19" s="17" t="s">
        <v>870</v>
      </c>
      <c r="BF19" s="17" t="s">
        <v>870</v>
      </c>
      <c r="BG19" s="17" t="s">
        <v>870</v>
      </c>
      <c r="BH19" s="17" t="s">
        <v>870</v>
      </c>
      <c r="BI19" s="17" t="s">
        <v>870</v>
      </c>
      <c r="BJ19" s="17" t="s">
        <v>870</v>
      </c>
      <c r="BK19" s="17" t="s">
        <v>870</v>
      </c>
      <c r="BL19" s="17" t="s">
        <v>870</v>
      </c>
      <c r="BM19" s="17" t="s">
        <v>870</v>
      </c>
      <c r="BN19" s="17" t="s">
        <v>870</v>
      </c>
      <c r="BO19" s="17" t="s">
        <v>870</v>
      </c>
      <c r="BP19" s="17" t="s">
        <v>870</v>
      </c>
      <c r="BQ19" s="17" t="s">
        <v>870</v>
      </c>
      <c r="BR19" s="17" t="s">
        <v>870</v>
      </c>
      <c r="BS19" s="17" t="s">
        <v>870</v>
      </c>
      <c r="BT19" s="17" t="s">
        <v>870</v>
      </c>
      <c r="BU19" s="17" t="s">
        <v>870</v>
      </c>
      <c r="BV19" s="17" t="s">
        <v>870</v>
      </c>
      <c r="BW19" s="17" t="s">
        <v>870</v>
      </c>
      <c r="BX19" s="17" t="s">
        <v>870</v>
      </c>
      <c r="BY19" s="17" t="s">
        <v>870</v>
      </c>
      <c r="BZ19" s="17" t="s">
        <v>870</v>
      </c>
      <c r="CA19" s="17" t="s">
        <v>870</v>
      </c>
      <c r="CB19" s="17" t="s">
        <v>870</v>
      </c>
      <c r="CC19" s="17" t="s">
        <v>870</v>
      </c>
      <c r="CD19" s="17" t="s">
        <v>870</v>
      </c>
      <c r="CE19" s="17" t="s">
        <v>870</v>
      </c>
      <c r="CF19" s="17" t="s">
        <v>870</v>
      </c>
      <c r="CG19" s="17" t="s">
        <v>870</v>
      </c>
      <c r="CH19" s="17" t="s">
        <v>870</v>
      </c>
      <c r="CI19" s="17" t="s">
        <v>870</v>
      </c>
      <c r="CJ19" s="17" t="s">
        <v>870</v>
      </c>
      <c r="CK19" s="17" t="s">
        <v>870</v>
      </c>
      <c r="CL19" s="17" t="s">
        <v>870</v>
      </c>
      <c r="CM19" s="17" t="s">
        <v>870</v>
      </c>
      <c r="CN19" s="17" t="s">
        <v>870</v>
      </c>
      <c r="CO19" s="17" t="s">
        <v>870</v>
      </c>
      <c r="CP19" s="17" t="s">
        <v>870</v>
      </c>
      <c r="CQ19" s="17" t="s">
        <v>870</v>
      </c>
      <c r="CR19" s="17" t="s">
        <v>870</v>
      </c>
      <c r="CS19" s="17" t="s">
        <v>870</v>
      </c>
      <c r="CT19" s="17" t="s">
        <v>870</v>
      </c>
      <c r="CU19" s="17" t="s">
        <v>870</v>
      </c>
      <c r="CV19" s="17" t="s">
        <v>870</v>
      </c>
      <c r="CW19" s="17" t="s">
        <v>870</v>
      </c>
      <c r="CX19" s="17" t="s">
        <v>870</v>
      </c>
      <c r="CY19" s="17" t="s">
        <v>870</v>
      </c>
      <c r="CZ19" s="17" t="s">
        <v>870</v>
      </c>
      <c r="DA19" s="17" t="s">
        <v>870</v>
      </c>
      <c r="DB19" s="17" t="s">
        <v>870</v>
      </c>
      <c r="DC19" s="17" t="s">
        <v>870</v>
      </c>
      <c r="DD19" s="17" t="s">
        <v>870</v>
      </c>
      <c r="DE19" s="17" t="s">
        <v>870</v>
      </c>
      <c r="DF19" s="17" t="s">
        <v>870</v>
      </c>
      <c r="DG19" s="17" t="s">
        <v>870</v>
      </c>
      <c r="DH19" s="17" t="s">
        <v>870</v>
      </c>
      <c r="DI19" s="17" t="s">
        <v>870</v>
      </c>
      <c r="DJ19" s="17" t="s">
        <v>870</v>
      </c>
      <c r="DK19" s="17" t="s">
        <v>870</v>
      </c>
      <c r="DL19" s="17" t="s">
        <v>870</v>
      </c>
      <c r="DM19" s="17" t="s">
        <v>870</v>
      </c>
      <c r="DN19" s="17" t="s">
        <v>870</v>
      </c>
      <c r="DO19" s="17" t="s">
        <v>870</v>
      </c>
      <c r="DP19" s="17" t="s">
        <v>870</v>
      </c>
      <c r="DQ19" s="17" t="s">
        <v>870</v>
      </c>
      <c r="DR19" s="17" t="s">
        <v>870</v>
      </c>
      <c r="DS19" s="17" t="s">
        <v>870</v>
      </c>
      <c r="DT19" s="17" t="s">
        <v>870</v>
      </c>
      <c r="DU19" s="17" t="s">
        <v>870</v>
      </c>
      <c r="DV19" s="17" t="s">
        <v>870</v>
      </c>
      <c r="DW19" s="17" t="s">
        <v>870</v>
      </c>
      <c r="DX19" s="17" t="s">
        <v>870</v>
      </c>
      <c r="DY19" s="17" t="s">
        <v>870</v>
      </c>
      <c r="DZ19" s="17" t="s">
        <v>870</v>
      </c>
      <c r="EA19" s="17" t="s">
        <v>870</v>
      </c>
      <c r="EB19" s="17" t="s">
        <v>870</v>
      </c>
      <c r="EC19" s="17" t="s">
        <v>870</v>
      </c>
      <c r="ED19" s="17" t="s">
        <v>870</v>
      </c>
      <c r="EE19" s="17" t="s">
        <v>870</v>
      </c>
      <c r="EF19" s="17" t="s">
        <v>870</v>
      </c>
      <c r="EG19" s="17" t="s">
        <v>870</v>
      </c>
      <c r="EH19" s="17" t="s">
        <v>870</v>
      </c>
      <c r="EI19" s="17" t="s">
        <v>870</v>
      </c>
      <c r="EJ19" s="17" t="s">
        <v>870</v>
      </c>
      <c r="EK19" s="17" t="s">
        <v>870</v>
      </c>
      <c r="EL19" s="63"/>
      <c r="EM19" s="63"/>
      <c r="EN19" s="63"/>
      <c r="EO19" s="63"/>
      <c r="EP19" s="17" t="s">
        <v>870</v>
      </c>
      <c r="EQ19" s="17" t="s">
        <v>870</v>
      </c>
      <c r="ER19" s="17" t="s">
        <v>870</v>
      </c>
      <c r="ES19" s="17" t="s">
        <v>870</v>
      </c>
      <c r="ET19" s="17" t="s">
        <v>870</v>
      </c>
      <c r="EU19" s="17" t="s">
        <v>870</v>
      </c>
      <c r="EV19" s="17" t="s">
        <v>870</v>
      </c>
      <c r="EW19" s="17" t="s">
        <v>870</v>
      </c>
      <c r="EX19" s="63"/>
      <c r="EY19" s="63"/>
      <c r="EZ19" s="17" t="s">
        <v>870</v>
      </c>
      <c r="FA19" s="17" t="s">
        <v>870</v>
      </c>
      <c r="FB19" s="17" t="s">
        <v>870</v>
      </c>
      <c r="FC19" s="17" t="s">
        <v>870</v>
      </c>
      <c r="FD19" s="17" t="s">
        <v>870</v>
      </c>
      <c r="FE19" s="17" t="s">
        <v>870</v>
      </c>
      <c r="FF19" s="17" t="s">
        <v>870</v>
      </c>
      <c r="FG19" s="17" t="s">
        <v>870</v>
      </c>
      <c r="FH19" s="17" t="s">
        <v>870</v>
      </c>
      <c r="FI19" s="17" t="s">
        <v>870</v>
      </c>
      <c r="FJ19" s="17" t="s">
        <v>870</v>
      </c>
      <c r="FK19" s="17" t="s">
        <v>870</v>
      </c>
      <c r="FL19" s="17" t="s">
        <v>870</v>
      </c>
      <c r="FM19" s="17" t="s">
        <v>870</v>
      </c>
      <c r="FN19" s="17" t="s">
        <v>870</v>
      </c>
      <c r="FO19" s="17" t="s">
        <v>870</v>
      </c>
      <c r="FP19" s="17" t="s">
        <v>870</v>
      </c>
      <c r="FQ19" s="17" t="s">
        <v>870</v>
      </c>
      <c r="FR19" s="17" t="s">
        <v>870</v>
      </c>
      <c r="FS19" s="17" t="s">
        <v>870</v>
      </c>
      <c r="FT19" s="17" t="s">
        <v>870</v>
      </c>
      <c r="FU19" s="17" t="s">
        <v>870</v>
      </c>
      <c r="FV19" s="17" t="s">
        <v>870</v>
      </c>
      <c r="FW19" s="17" t="s">
        <v>870</v>
      </c>
      <c r="FX19" s="17" t="s">
        <v>870</v>
      </c>
      <c r="FY19" s="17" t="s">
        <v>870</v>
      </c>
      <c r="FZ19" s="17" t="s">
        <v>870</v>
      </c>
      <c r="GA19" s="17" t="s">
        <v>870</v>
      </c>
      <c r="GB19" s="17" t="s">
        <v>870</v>
      </c>
      <c r="GC19" s="17" t="s">
        <v>870</v>
      </c>
      <c r="GD19" s="17" t="s">
        <v>870</v>
      </c>
      <c r="GE19" s="17" t="s">
        <v>870</v>
      </c>
      <c r="GF19" s="17" t="s">
        <v>870</v>
      </c>
      <c r="GG19" s="17" t="s">
        <v>870</v>
      </c>
      <c r="GH19" s="17" t="s">
        <v>870</v>
      </c>
      <c r="GI19" s="17" t="s">
        <v>870</v>
      </c>
      <c r="GJ19" s="17" t="s">
        <v>870</v>
      </c>
      <c r="GK19" s="17" t="s">
        <v>870</v>
      </c>
      <c r="GL19" s="17" t="s">
        <v>870</v>
      </c>
      <c r="GM19" s="17" t="s">
        <v>870</v>
      </c>
      <c r="GN19" s="17" t="s">
        <v>870</v>
      </c>
      <c r="GO19" s="17" t="s">
        <v>870</v>
      </c>
      <c r="GP19" s="17" t="s">
        <v>870</v>
      </c>
      <c r="GQ19" s="17" t="s">
        <v>870</v>
      </c>
      <c r="GR19" s="17" t="s">
        <v>870</v>
      </c>
      <c r="GS19" s="17" t="s">
        <v>870</v>
      </c>
      <c r="GT19" s="17" t="s">
        <v>870</v>
      </c>
      <c r="GU19" s="17" t="s">
        <v>870</v>
      </c>
      <c r="GV19" s="17" t="s">
        <v>870</v>
      </c>
      <c r="GW19" s="17" t="s">
        <v>870</v>
      </c>
      <c r="GX19" s="17" t="s">
        <v>870</v>
      </c>
      <c r="GY19" s="17" t="s">
        <v>870</v>
      </c>
      <c r="GZ19" s="17" t="s">
        <v>870</v>
      </c>
      <c r="HA19" s="17" t="s">
        <v>870</v>
      </c>
      <c r="HB19" s="17" t="s">
        <v>870</v>
      </c>
      <c r="HC19" s="17" t="s">
        <v>870</v>
      </c>
      <c r="HD19" s="17" t="s">
        <v>870</v>
      </c>
      <c r="HE19" s="17" t="s">
        <v>870</v>
      </c>
      <c r="HF19" s="17" t="s">
        <v>870</v>
      </c>
      <c r="HG19" s="17" t="s">
        <v>870</v>
      </c>
      <c r="HH19" s="17" t="s">
        <v>870</v>
      </c>
      <c r="HI19" s="17" t="s">
        <v>870</v>
      </c>
      <c r="HJ19" s="17" t="s">
        <v>870</v>
      </c>
      <c r="HK19" s="17" t="s">
        <v>870</v>
      </c>
      <c r="HL19" s="17" t="s">
        <v>870</v>
      </c>
      <c r="HM19" s="17" t="s">
        <v>870</v>
      </c>
      <c r="HN19" s="17" t="s">
        <v>870</v>
      </c>
      <c r="HO19" s="17" t="s">
        <v>870</v>
      </c>
      <c r="HP19" s="17" t="s">
        <v>870</v>
      </c>
      <c r="HQ19" s="17" t="s">
        <v>870</v>
      </c>
      <c r="HR19" s="17" t="s">
        <v>870</v>
      </c>
      <c r="HS19" s="17" t="s">
        <v>870</v>
      </c>
      <c r="HT19" s="17" t="s">
        <v>870</v>
      </c>
      <c r="HU19" s="17" t="s">
        <v>870</v>
      </c>
      <c r="HV19" s="17" t="s">
        <v>870</v>
      </c>
      <c r="HW19" s="17" t="s">
        <v>870</v>
      </c>
      <c r="HX19" s="17" t="s">
        <v>870</v>
      </c>
      <c r="HY19" s="17" t="s">
        <v>870</v>
      </c>
      <c r="HZ19" s="17" t="s">
        <v>870</v>
      </c>
      <c r="IA19" s="17" t="s">
        <v>870</v>
      </c>
      <c r="IB19" s="17" t="s">
        <v>870</v>
      </c>
      <c r="IC19" s="17" t="s">
        <v>870</v>
      </c>
      <c r="ID19" s="17" t="s">
        <v>870</v>
      </c>
      <c r="IE19" s="17" t="s">
        <v>870</v>
      </c>
      <c r="IF19" s="17" t="s">
        <v>870</v>
      </c>
      <c r="IG19" s="17" t="s">
        <v>870</v>
      </c>
      <c r="IH19" s="17" t="s">
        <v>870</v>
      </c>
      <c r="II19" s="17" t="s">
        <v>870</v>
      </c>
      <c r="IJ19" s="17" t="s">
        <v>870</v>
      </c>
      <c r="IK19" s="17" t="s">
        <v>870</v>
      </c>
      <c r="IL19" s="17" t="s">
        <v>870</v>
      </c>
      <c r="IM19" s="17" t="s">
        <v>870</v>
      </c>
      <c r="IN19" s="17" t="s">
        <v>870</v>
      </c>
      <c r="IO19" s="17" t="s">
        <v>870</v>
      </c>
      <c r="IP19" s="17" t="s">
        <v>870</v>
      </c>
      <c r="IQ19" s="17" t="s">
        <v>870</v>
      </c>
      <c r="IR19" s="17" t="s">
        <v>870</v>
      </c>
      <c r="IS19" s="17" t="s">
        <v>870</v>
      </c>
      <c r="IT19" s="17" t="s">
        <v>870</v>
      </c>
      <c r="IU19" s="17" t="s">
        <v>870</v>
      </c>
      <c r="IV19" s="17" t="s">
        <v>870</v>
      </c>
      <c r="IW19" s="17" t="s">
        <v>870</v>
      </c>
      <c r="IX19" s="17" t="s">
        <v>870</v>
      </c>
      <c r="IY19" s="17" t="s">
        <v>870</v>
      </c>
      <c r="IZ19" s="17" t="s">
        <v>870</v>
      </c>
      <c r="JA19" s="17" t="s">
        <v>870</v>
      </c>
      <c r="JB19" s="17" t="s">
        <v>870</v>
      </c>
      <c r="JC19" s="17" t="s">
        <v>870</v>
      </c>
      <c r="JD19" s="17" t="s">
        <v>870</v>
      </c>
      <c r="JE19" s="17" t="s">
        <v>870</v>
      </c>
      <c r="JF19" s="17" t="s">
        <v>870</v>
      </c>
      <c r="JG19" s="17" t="s">
        <v>870</v>
      </c>
      <c r="JH19" s="17" t="s">
        <v>870</v>
      </c>
      <c r="JI19" s="17" t="s">
        <v>870</v>
      </c>
      <c r="JJ19" s="17" t="s">
        <v>870</v>
      </c>
      <c r="JK19" s="17" t="s">
        <v>870</v>
      </c>
      <c r="JL19" s="17" t="s">
        <v>870</v>
      </c>
      <c r="JM19" s="17" t="s">
        <v>870</v>
      </c>
      <c r="JN19" s="17" t="s">
        <v>870</v>
      </c>
      <c r="JO19" s="17" t="s">
        <v>870</v>
      </c>
      <c r="JP19" s="17" t="s">
        <v>870</v>
      </c>
      <c r="JQ19" s="17" t="s">
        <v>870</v>
      </c>
      <c r="JR19" s="17" t="s">
        <v>870</v>
      </c>
      <c r="JS19" s="17" t="s">
        <v>870</v>
      </c>
      <c r="JT19" s="17" t="s">
        <v>870</v>
      </c>
    </row>
    <row r="20" spans="1:280" x14ac:dyDescent="0.25">
      <c r="A20" t="s">
        <v>290</v>
      </c>
      <c r="B20" s="17" t="s">
        <v>870</v>
      </c>
      <c r="C20" s="17" t="s">
        <v>870</v>
      </c>
      <c r="D20" s="17" t="s">
        <v>870</v>
      </c>
      <c r="E20" s="17" t="s">
        <v>870</v>
      </c>
      <c r="F20" s="17" t="s">
        <v>870</v>
      </c>
      <c r="G20" s="17" t="s">
        <v>870</v>
      </c>
      <c r="H20" s="17" t="s">
        <v>870</v>
      </c>
      <c r="I20" s="17" t="s">
        <v>870</v>
      </c>
      <c r="J20" s="17" t="s">
        <v>870</v>
      </c>
      <c r="K20" s="17" t="s">
        <v>870</v>
      </c>
      <c r="L20" s="17" t="s">
        <v>870</v>
      </c>
      <c r="M20" s="17" t="s">
        <v>870</v>
      </c>
      <c r="N20" s="17" t="s">
        <v>870</v>
      </c>
      <c r="O20" s="17" t="s">
        <v>870</v>
      </c>
      <c r="P20" s="17" t="s">
        <v>870</v>
      </c>
      <c r="Q20" s="17" t="s">
        <v>870</v>
      </c>
      <c r="R20" s="17" t="s">
        <v>870</v>
      </c>
      <c r="S20" s="17" t="s">
        <v>870</v>
      </c>
      <c r="T20" s="17" t="s">
        <v>870</v>
      </c>
      <c r="U20" s="17" t="s">
        <v>870</v>
      </c>
      <c r="V20" s="17" t="s">
        <v>870</v>
      </c>
      <c r="W20" s="17" t="s">
        <v>870</v>
      </c>
      <c r="X20" s="17" t="s">
        <v>870</v>
      </c>
      <c r="Y20" s="17" t="s">
        <v>870</v>
      </c>
      <c r="Z20" s="17" t="s">
        <v>870</v>
      </c>
      <c r="AA20" s="17" t="s">
        <v>870</v>
      </c>
      <c r="AB20" s="17" t="s">
        <v>870</v>
      </c>
      <c r="AC20" s="17" t="s">
        <v>870</v>
      </c>
      <c r="AD20" s="17" t="s">
        <v>870</v>
      </c>
      <c r="AE20" s="17" t="s">
        <v>870</v>
      </c>
      <c r="AF20" s="17" t="s">
        <v>870</v>
      </c>
      <c r="AG20" s="17" t="s">
        <v>870</v>
      </c>
      <c r="AH20" s="17" t="s">
        <v>870</v>
      </c>
      <c r="AI20" s="17" t="s">
        <v>870</v>
      </c>
      <c r="AJ20" s="17" t="s">
        <v>870</v>
      </c>
      <c r="AK20" s="17" t="s">
        <v>870</v>
      </c>
      <c r="AL20" s="17" t="s">
        <v>870</v>
      </c>
      <c r="AM20" s="17" t="s">
        <v>870</v>
      </c>
      <c r="AN20" s="17" t="s">
        <v>870</v>
      </c>
      <c r="AO20" s="17" t="s">
        <v>870</v>
      </c>
      <c r="AP20" s="17" t="s">
        <v>870</v>
      </c>
      <c r="AQ20" s="17" t="s">
        <v>870</v>
      </c>
      <c r="AR20" s="17" t="s">
        <v>870</v>
      </c>
      <c r="AS20" s="17" t="s">
        <v>870</v>
      </c>
      <c r="AT20" s="17" t="s">
        <v>870</v>
      </c>
      <c r="AU20" s="17" t="s">
        <v>870</v>
      </c>
      <c r="AV20" s="17" t="s">
        <v>870</v>
      </c>
      <c r="AW20" s="17" t="s">
        <v>870</v>
      </c>
      <c r="AX20" s="17" t="s">
        <v>870</v>
      </c>
      <c r="AY20" s="17" t="s">
        <v>870</v>
      </c>
      <c r="AZ20" s="17" t="s">
        <v>870</v>
      </c>
      <c r="BA20" s="17" t="s">
        <v>870</v>
      </c>
      <c r="BB20" s="17" t="s">
        <v>870</v>
      </c>
      <c r="BC20" s="17" t="s">
        <v>870</v>
      </c>
      <c r="BD20" s="17" t="s">
        <v>870</v>
      </c>
      <c r="BE20" s="17" t="s">
        <v>870</v>
      </c>
      <c r="BF20" s="17" t="s">
        <v>870</v>
      </c>
      <c r="BG20" s="17" t="s">
        <v>870</v>
      </c>
      <c r="BH20" s="17" t="s">
        <v>870</v>
      </c>
      <c r="BI20" s="17" t="s">
        <v>870</v>
      </c>
      <c r="BJ20" s="17" t="s">
        <v>870</v>
      </c>
      <c r="BK20" s="17" t="s">
        <v>870</v>
      </c>
      <c r="BL20" s="17" t="s">
        <v>870</v>
      </c>
      <c r="BM20" s="17" t="s">
        <v>870</v>
      </c>
      <c r="BN20" s="17" t="s">
        <v>870</v>
      </c>
      <c r="BO20" s="17" t="s">
        <v>870</v>
      </c>
      <c r="BP20" s="17" t="s">
        <v>870</v>
      </c>
      <c r="BQ20" s="17" t="s">
        <v>870</v>
      </c>
      <c r="BR20" s="17" t="s">
        <v>870</v>
      </c>
      <c r="BS20" s="17" t="s">
        <v>870</v>
      </c>
      <c r="BT20" s="17" t="s">
        <v>870</v>
      </c>
      <c r="BU20" s="17" t="s">
        <v>870</v>
      </c>
      <c r="BV20" s="17" t="s">
        <v>870</v>
      </c>
      <c r="BW20" s="17" t="s">
        <v>870</v>
      </c>
      <c r="BX20" s="17" t="s">
        <v>870</v>
      </c>
      <c r="BY20" s="17" t="s">
        <v>870</v>
      </c>
      <c r="BZ20" s="17" t="s">
        <v>870</v>
      </c>
      <c r="CA20" s="17" t="s">
        <v>870</v>
      </c>
      <c r="CB20" s="17" t="s">
        <v>870</v>
      </c>
      <c r="CC20" s="17" t="s">
        <v>870</v>
      </c>
      <c r="CD20" s="17" t="s">
        <v>870</v>
      </c>
      <c r="CE20" s="17" t="s">
        <v>870</v>
      </c>
      <c r="CF20" s="17" t="s">
        <v>870</v>
      </c>
      <c r="CG20" s="17" t="s">
        <v>870</v>
      </c>
      <c r="CH20" s="17" t="s">
        <v>870</v>
      </c>
      <c r="CI20" s="17" t="s">
        <v>870</v>
      </c>
      <c r="CJ20" s="17" t="s">
        <v>870</v>
      </c>
      <c r="CK20" s="17" t="s">
        <v>870</v>
      </c>
      <c r="CL20" s="17" t="s">
        <v>870</v>
      </c>
      <c r="CM20" s="17" t="s">
        <v>870</v>
      </c>
      <c r="CN20" s="17" t="s">
        <v>870</v>
      </c>
      <c r="CO20" s="17" t="s">
        <v>870</v>
      </c>
      <c r="CP20" s="17" t="s">
        <v>870</v>
      </c>
      <c r="CQ20" s="17" t="s">
        <v>870</v>
      </c>
      <c r="CR20" s="17" t="s">
        <v>870</v>
      </c>
      <c r="CS20" s="17" t="s">
        <v>870</v>
      </c>
      <c r="CT20" s="17" t="s">
        <v>870</v>
      </c>
      <c r="CU20" s="17" t="s">
        <v>870</v>
      </c>
      <c r="CV20" s="17" t="s">
        <v>870</v>
      </c>
      <c r="CW20" s="17" t="s">
        <v>870</v>
      </c>
      <c r="CX20" s="17" t="s">
        <v>870</v>
      </c>
      <c r="CY20" s="17" t="s">
        <v>870</v>
      </c>
      <c r="CZ20" s="17" t="s">
        <v>870</v>
      </c>
      <c r="DA20" s="17" t="s">
        <v>870</v>
      </c>
      <c r="DB20" s="17" t="s">
        <v>870</v>
      </c>
      <c r="DC20" s="17" t="s">
        <v>870</v>
      </c>
      <c r="DD20" s="17" t="s">
        <v>870</v>
      </c>
      <c r="DE20" s="17" t="s">
        <v>870</v>
      </c>
      <c r="DF20" s="17" t="s">
        <v>870</v>
      </c>
      <c r="DG20" s="17" t="s">
        <v>870</v>
      </c>
      <c r="DH20" s="17" t="s">
        <v>870</v>
      </c>
      <c r="DI20" s="17" t="s">
        <v>870</v>
      </c>
      <c r="DJ20" s="17" t="s">
        <v>870</v>
      </c>
      <c r="DK20" s="17" t="s">
        <v>870</v>
      </c>
      <c r="DL20" s="17" t="s">
        <v>870</v>
      </c>
      <c r="DM20" s="17" t="s">
        <v>870</v>
      </c>
      <c r="DN20" s="17" t="s">
        <v>870</v>
      </c>
      <c r="DO20" s="17" t="s">
        <v>870</v>
      </c>
      <c r="DP20" s="17" t="s">
        <v>870</v>
      </c>
      <c r="DQ20" s="17" t="s">
        <v>870</v>
      </c>
      <c r="DR20" s="17" t="s">
        <v>870</v>
      </c>
      <c r="DS20" s="17" t="s">
        <v>870</v>
      </c>
      <c r="DT20" s="17" t="s">
        <v>870</v>
      </c>
      <c r="DU20" s="17" t="s">
        <v>870</v>
      </c>
      <c r="DV20" s="17" t="s">
        <v>870</v>
      </c>
      <c r="DW20" s="17" t="s">
        <v>870</v>
      </c>
      <c r="DX20" s="17" t="s">
        <v>870</v>
      </c>
      <c r="DY20" s="17" t="s">
        <v>870</v>
      </c>
      <c r="DZ20" s="17" t="s">
        <v>870</v>
      </c>
      <c r="EA20" s="17" t="s">
        <v>870</v>
      </c>
      <c r="EB20" s="17" t="s">
        <v>870</v>
      </c>
      <c r="EC20" s="17" t="s">
        <v>870</v>
      </c>
      <c r="ED20" s="17" t="s">
        <v>870</v>
      </c>
      <c r="EE20" s="17" t="s">
        <v>870</v>
      </c>
      <c r="EF20" s="17" t="s">
        <v>870</v>
      </c>
      <c r="EG20" s="17" t="s">
        <v>870</v>
      </c>
      <c r="EH20" s="63"/>
      <c r="EI20" s="61" t="s">
        <v>2</v>
      </c>
      <c r="EJ20" s="61" t="s">
        <v>2</v>
      </c>
      <c r="EK20" s="61" t="s">
        <v>2</v>
      </c>
      <c r="EL20" s="62"/>
      <c r="EM20" s="63"/>
      <c r="EN20" s="61" t="s">
        <v>2</v>
      </c>
      <c r="EO20" s="61" t="s">
        <v>2</v>
      </c>
      <c r="EP20" s="17" t="s">
        <v>870</v>
      </c>
      <c r="EQ20" s="17" t="s">
        <v>870</v>
      </c>
      <c r="ER20" s="17" t="s">
        <v>870</v>
      </c>
      <c r="ES20" s="17" t="s">
        <v>870</v>
      </c>
      <c r="ET20" s="17" t="s">
        <v>870</v>
      </c>
      <c r="EU20" s="17" t="s">
        <v>870</v>
      </c>
      <c r="EV20" s="17" t="s">
        <v>870</v>
      </c>
      <c r="EW20" s="17" t="s">
        <v>870</v>
      </c>
      <c r="EX20" s="17" t="s">
        <v>870</v>
      </c>
      <c r="EY20" s="17" t="s">
        <v>870</v>
      </c>
      <c r="EZ20" s="17" t="s">
        <v>870</v>
      </c>
      <c r="FA20" s="17" t="s">
        <v>870</v>
      </c>
      <c r="FB20" s="17" t="s">
        <v>870</v>
      </c>
      <c r="FC20" s="17" t="s">
        <v>870</v>
      </c>
      <c r="FD20" s="61" t="s">
        <v>2</v>
      </c>
      <c r="FE20" s="62"/>
      <c r="FF20" s="61" t="s">
        <v>2</v>
      </c>
      <c r="FG20" s="63"/>
      <c r="FH20" s="17" t="s">
        <v>870</v>
      </c>
      <c r="FI20" s="17" t="s">
        <v>870</v>
      </c>
      <c r="FJ20" s="17" t="s">
        <v>870</v>
      </c>
      <c r="FK20" s="17" t="s">
        <v>870</v>
      </c>
      <c r="FL20" s="17" t="s">
        <v>870</v>
      </c>
      <c r="FM20" s="17" t="s">
        <v>870</v>
      </c>
      <c r="FN20" s="17" t="s">
        <v>870</v>
      </c>
      <c r="FO20" s="17" t="s">
        <v>870</v>
      </c>
      <c r="FP20" s="17" t="s">
        <v>870</v>
      </c>
      <c r="FQ20" s="17" t="s">
        <v>870</v>
      </c>
      <c r="FR20" s="17" t="s">
        <v>870</v>
      </c>
      <c r="FS20" s="17" t="s">
        <v>870</v>
      </c>
      <c r="FT20" s="17" t="s">
        <v>870</v>
      </c>
      <c r="FU20" s="17" t="s">
        <v>870</v>
      </c>
      <c r="FV20" s="17" t="s">
        <v>870</v>
      </c>
      <c r="FW20" s="17" t="s">
        <v>870</v>
      </c>
      <c r="FX20" s="17" t="s">
        <v>870</v>
      </c>
      <c r="FY20" s="17" t="s">
        <v>870</v>
      </c>
      <c r="FZ20" s="17" t="s">
        <v>870</v>
      </c>
      <c r="GA20" s="17" t="s">
        <v>870</v>
      </c>
      <c r="GB20" s="17" t="s">
        <v>870</v>
      </c>
      <c r="GC20" s="17" t="s">
        <v>870</v>
      </c>
      <c r="GD20" s="17" t="s">
        <v>870</v>
      </c>
      <c r="GE20" s="17" t="s">
        <v>870</v>
      </c>
      <c r="GF20" s="17" t="s">
        <v>870</v>
      </c>
      <c r="GG20" s="17" t="s">
        <v>870</v>
      </c>
      <c r="GH20" s="17" t="s">
        <v>870</v>
      </c>
      <c r="GI20" s="17" t="s">
        <v>870</v>
      </c>
      <c r="GJ20" s="17" t="s">
        <v>870</v>
      </c>
      <c r="GK20" s="17" t="s">
        <v>870</v>
      </c>
      <c r="GL20" s="17" t="s">
        <v>870</v>
      </c>
      <c r="GM20" s="17" t="s">
        <v>870</v>
      </c>
      <c r="GN20" s="17" t="s">
        <v>870</v>
      </c>
      <c r="GO20" s="17" t="s">
        <v>870</v>
      </c>
      <c r="GP20" s="17" t="s">
        <v>870</v>
      </c>
      <c r="GQ20" s="17" t="s">
        <v>870</v>
      </c>
      <c r="GR20" s="17" t="s">
        <v>870</v>
      </c>
      <c r="GS20" s="17" t="s">
        <v>870</v>
      </c>
      <c r="GT20" s="17" t="s">
        <v>870</v>
      </c>
      <c r="GU20" s="17" t="s">
        <v>870</v>
      </c>
      <c r="GV20" s="17" t="s">
        <v>870</v>
      </c>
      <c r="GW20" s="17" t="s">
        <v>870</v>
      </c>
      <c r="GX20" s="17" t="s">
        <v>870</v>
      </c>
      <c r="GY20" s="17" t="s">
        <v>870</v>
      </c>
      <c r="GZ20" s="17" t="s">
        <v>870</v>
      </c>
      <c r="HA20" s="17" t="s">
        <v>870</v>
      </c>
      <c r="HB20" s="17" t="s">
        <v>870</v>
      </c>
      <c r="HC20" s="17" t="s">
        <v>870</v>
      </c>
      <c r="HD20" s="17" t="s">
        <v>870</v>
      </c>
      <c r="HE20" s="17" t="s">
        <v>870</v>
      </c>
      <c r="HF20" s="17" t="s">
        <v>870</v>
      </c>
      <c r="HG20" s="17" t="s">
        <v>870</v>
      </c>
      <c r="HH20" s="17" t="s">
        <v>870</v>
      </c>
      <c r="HI20" s="17" t="s">
        <v>870</v>
      </c>
      <c r="HJ20" s="17" t="s">
        <v>870</v>
      </c>
      <c r="HK20" s="17" t="s">
        <v>870</v>
      </c>
      <c r="HL20" s="17" t="s">
        <v>870</v>
      </c>
      <c r="HM20" s="17" t="s">
        <v>870</v>
      </c>
      <c r="HN20" s="17" t="s">
        <v>870</v>
      </c>
      <c r="HO20" s="17" t="s">
        <v>870</v>
      </c>
      <c r="HP20" s="17" t="s">
        <v>870</v>
      </c>
      <c r="HQ20" s="17" t="s">
        <v>870</v>
      </c>
      <c r="HR20" s="17" t="s">
        <v>870</v>
      </c>
      <c r="HS20" s="17" t="s">
        <v>870</v>
      </c>
      <c r="HT20" s="17" t="s">
        <v>870</v>
      </c>
      <c r="HU20" s="17" t="s">
        <v>870</v>
      </c>
      <c r="HV20" s="17" t="s">
        <v>870</v>
      </c>
      <c r="HW20" s="17" t="s">
        <v>870</v>
      </c>
      <c r="HX20" s="17" t="s">
        <v>870</v>
      </c>
      <c r="HY20" s="17" t="s">
        <v>870</v>
      </c>
      <c r="HZ20" s="17" t="s">
        <v>870</v>
      </c>
      <c r="IA20" s="17" t="s">
        <v>870</v>
      </c>
      <c r="IB20" s="17" t="s">
        <v>870</v>
      </c>
      <c r="IC20" s="17" t="s">
        <v>870</v>
      </c>
      <c r="ID20" s="17" t="s">
        <v>870</v>
      </c>
      <c r="IE20" s="17" t="s">
        <v>870</v>
      </c>
      <c r="IF20" s="17" t="s">
        <v>870</v>
      </c>
      <c r="IG20" s="17" t="s">
        <v>870</v>
      </c>
      <c r="IH20" s="17" t="s">
        <v>870</v>
      </c>
      <c r="II20" s="17" t="s">
        <v>870</v>
      </c>
      <c r="IJ20" s="17" t="s">
        <v>870</v>
      </c>
      <c r="IK20" s="17" t="s">
        <v>870</v>
      </c>
      <c r="IL20" s="17" t="s">
        <v>870</v>
      </c>
      <c r="IM20" s="17" t="s">
        <v>870</v>
      </c>
      <c r="IN20" s="17" t="s">
        <v>870</v>
      </c>
      <c r="IO20" s="17" t="s">
        <v>870</v>
      </c>
      <c r="IP20" s="17" t="s">
        <v>870</v>
      </c>
      <c r="IQ20" s="17" t="s">
        <v>870</v>
      </c>
      <c r="IR20" s="17" t="s">
        <v>870</v>
      </c>
      <c r="IS20" s="17" t="s">
        <v>870</v>
      </c>
      <c r="IT20" s="17" t="s">
        <v>870</v>
      </c>
      <c r="IU20" s="17" t="s">
        <v>870</v>
      </c>
      <c r="IV20" s="17" t="s">
        <v>870</v>
      </c>
      <c r="IW20" s="17" t="s">
        <v>870</v>
      </c>
      <c r="IX20" s="17" t="s">
        <v>870</v>
      </c>
      <c r="IY20" s="17" t="s">
        <v>870</v>
      </c>
      <c r="IZ20" s="17" t="s">
        <v>870</v>
      </c>
      <c r="JA20" s="17" t="s">
        <v>870</v>
      </c>
      <c r="JB20" s="17" t="s">
        <v>870</v>
      </c>
      <c r="JC20" s="17" t="s">
        <v>870</v>
      </c>
      <c r="JD20" s="17" t="s">
        <v>870</v>
      </c>
      <c r="JE20" s="17" t="s">
        <v>870</v>
      </c>
      <c r="JF20" s="17" t="s">
        <v>870</v>
      </c>
      <c r="JG20" s="17" t="s">
        <v>870</v>
      </c>
      <c r="JH20" s="17" t="s">
        <v>870</v>
      </c>
      <c r="JI20" s="17" t="s">
        <v>870</v>
      </c>
      <c r="JJ20" s="17" t="s">
        <v>870</v>
      </c>
      <c r="JK20" s="17" t="s">
        <v>870</v>
      </c>
      <c r="JL20" s="17" t="s">
        <v>870</v>
      </c>
      <c r="JM20" s="17" t="s">
        <v>870</v>
      </c>
      <c r="JN20" s="17" t="s">
        <v>870</v>
      </c>
      <c r="JO20" s="17" t="s">
        <v>870</v>
      </c>
      <c r="JP20" s="17" t="s">
        <v>870</v>
      </c>
      <c r="JQ20" s="17" t="s">
        <v>870</v>
      </c>
      <c r="JR20" s="17" t="s">
        <v>870</v>
      </c>
      <c r="JS20" s="17" t="s">
        <v>870</v>
      </c>
      <c r="JT20" s="17" t="s">
        <v>870</v>
      </c>
    </row>
    <row r="21" spans="1:280" x14ac:dyDescent="0.25">
      <c r="A21" t="s">
        <v>324</v>
      </c>
      <c r="B21" s="17" t="s">
        <v>870</v>
      </c>
      <c r="C21" s="17" t="s">
        <v>870</v>
      </c>
      <c r="D21" s="17" t="s">
        <v>870</v>
      </c>
      <c r="E21" s="17" t="s">
        <v>870</v>
      </c>
      <c r="F21" s="17" t="s">
        <v>870</v>
      </c>
      <c r="G21" s="17" t="s">
        <v>870</v>
      </c>
      <c r="H21" s="17" t="s">
        <v>870</v>
      </c>
      <c r="I21" s="17" t="s">
        <v>870</v>
      </c>
      <c r="J21" s="17" t="s">
        <v>870</v>
      </c>
      <c r="K21" s="17" t="s">
        <v>870</v>
      </c>
      <c r="L21" s="17" t="s">
        <v>870</v>
      </c>
      <c r="M21" s="17" t="s">
        <v>870</v>
      </c>
      <c r="N21" s="17" t="s">
        <v>870</v>
      </c>
      <c r="O21" s="17" t="s">
        <v>870</v>
      </c>
      <c r="P21" s="17" t="s">
        <v>870</v>
      </c>
      <c r="Q21" s="17" t="s">
        <v>870</v>
      </c>
      <c r="R21" s="17" t="s">
        <v>870</v>
      </c>
      <c r="S21" s="17" t="s">
        <v>870</v>
      </c>
      <c r="T21" s="17" t="s">
        <v>870</v>
      </c>
      <c r="U21" s="17" t="s">
        <v>870</v>
      </c>
      <c r="V21" s="17" t="s">
        <v>870</v>
      </c>
      <c r="W21" s="17" t="s">
        <v>870</v>
      </c>
      <c r="X21" s="17" t="s">
        <v>870</v>
      </c>
      <c r="Y21" s="17" t="s">
        <v>870</v>
      </c>
      <c r="Z21" s="17" t="s">
        <v>870</v>
      </c>
      <c r="AA21" s="17" t="s">
        <v>870</v>
      </c>
      <c r="AB21" s="17" t="s">
        <v>870</v>
      </c>
      <c r="AC21" s="17" t="s">
        <v>870</v>
      </c>
      <c r="AD21" s="17" t="s">
        <v>870</v>
      </c>
      <c r="AE21" s="17" t="s">
        <v>870</v>
      </c>
      <c r="AF21" s="17" t="s">
        <v>870</v>
      </c>
      <c r="AG21" s="17" t="s">
        <v>870</v>
      </c>
      <c r="AH21" s="17" t="s">
        <v>870</v>
      </c>
      <c r="AI21" s="17" t="s">
        <v>870</v>
      </c>
      <c r="AJ21" s="17" t="s">
        <v>870</v>
      </c>
      <c r="AK21" s="17" t="s">
        <v>870</v>
      </c>
      <c r="AL21" s="17" t="s">
        <v>870</v>
      </c>
      <c r="AM21" s="17" t="s">
        <v>870</v>
      </c>
      <c r="AN21" s="17" t="s">
        <v>870</v>
      </c>
      <c r="AO21" s="17" t="s">
        <v>870</v>
      </c>
      <c r="AP21" s="17" t="s">
        <v>870</v>
      </c>
      <c r="AQ21" s="17" t="s">
        <v>870</v>
      </c>
      <c r="AR21" s="17" t="s">
        <v>870</v>
      </c>
      <c r="AS21" s="17" t="s">
        <v>870</v>
      </c>
      <c r="AT21" s="17" t="s">
        <v>870</v>
      </c>
      <c r="AU21" s="17" t="s">
        <v>870</v>
      </c>
      <c r="AV21" s="17" t="s">
        <v>870</v>
      </c>
      <c r="AW21" s="17" t="s">
        <v>870</v>
      </c>
      <c r="AX21" s="17" t="s">
        <v>870</v>
      </c>
      <c r="AY21" s="17" t="s">
        <v>870</v>
      </c>
      <c r="AZ21" s="17" t="s">
        <v>870</v>
      </c>
      <c r="BA21" s="17" t="s">
        <v>870</v>
      </c>
      <c r="BB21" s="17" t="s">
        <v>870</v>
      </c>
      <c r="BC21" s="17" t="s">
        <v>870</v>
      </c>
      <c r="BD21" s="17" t="s">
        <v>870</v>
      </c>
      <c r="BE21" s="17" t="s">
        <v>870</v>
      </c>
      <c r="BF21" s="17" t="s">
        <v>870</v>
      </c>
      <c r="BG21" s="17" t="s">
        <v>870</v>
      </c>
      <c r="BH21" s="17" t="s">
        <v>870</v>
      </c>
      <c r="BI21" s="17" t="s">
        <v>870</v>
      </c>
      <c r="BJ21" s="17" t="s">
        <v>870</v>
      </c>
      <c r="BK21" s="17" t="s">
        <v>870</v>
      </c>
      <c r="BL21" s="17" t="s">
        <v>870</v>
      </c>
      <c r="BM21" s="17" t="s">
        <v>870</v>
      </c>
      <c r="BN21" s="17" t="s">
        <v>870</v>
      </c>
      <c r="BO21" s="17" t="s">
        <v>870</v>
      </c>
      <c r="BP21" s="17" t="s">
        <v>870</v>
      </c>
      <c r="BQ21" s="17" t="s">
        <v>870</v>
      </c>
      <c r="BR21" s="17" t="s">
        <v>870</v>
      </c>
      <c r="BS21" s="17" t="s">
        <v>870</v>
      </c>
      <c r="BT21" s="17" t="s">
        <v>870</v>
      </c>
      <c r="BU21" s="17" t="s">
        <v>870</v>
      </c>
      <c r="BV21" s="17" t="s">
        <v>870</v>
      </c>
      <c r="BW21" s="17" t="s">
        <v>870</v>
      </c>
      <c r="BX21" s="17" t="s">
        <v>870</v>
      </c>
      <c r="BY21" s="17" t="s">
        <v>870</v>
      </c>
      <c r="BZ21" s="17" t="s">
        <v>870</v>
      </c>
      <c r="CA21" s="17" t="s">
        <v>870</v>
      </c>
      <c r="CB21" s="17" t="s">
        <v>870</v>
      </c>
      <c r="CC21" s="17" t="s">
        <v>870</v>
      </c>
      <c r="CD21" s="17" t="s">
        <v>870</v>
      </c>
      <c r="CE21" s="17" t="s">
        <v>870</v>
      </c>
      <c r="CF21" s="17" t="s">
        <v>870</v>
      </c>
      <c r="CG21" s="17" t="s">
        <v>870</v>
      </c>
      <c r="CH21" s="17" t="s">
        <v>870</v>
      </c>
      <c r="CI21" s="17" t="s">
        <v>870</v>
      </c>
      <c r="CJ21" s="17" t="s">
        <v>870</v>
      </c>
      <c r="CK21" s="17" t="s">
        <v>870</v>
      </c>
      <c r="CL21" s="17" t="s">
        <v>870</v>
      </c>
      <c r="CM21" s="17" t="s">
        <v>870</v>
      </c>
      <c r="CN21" s="17" t="s">
        <v>870</v>
      </c>
      <c r="CO21" s="17" t="s">
        <v>870</v>
      </c>
      <c r="CP21" s="17" t="s">
        <v>870</v>
      </c>
      <c r="CQ21" s="17" t="s">
        <v>870</v>
      </c>
      <c r="CR21" s="17" t="s">
        <v>870</v>
      </c>
      <c r="CS21" s="17" t="s">
        <v>870</v>
      </c>
      <c r="CT21" s="17" t="s">
        <v>870</v>
      </c>
      <c r="CU21" s="17" t="s">
        <v>870</v>
      </c>
      <c r="CV21" s="17" t="s">
        <v>870</v>
      </c>
      <c r="CW21" s="17" t="s">
        <v>870</v>
      </c>
      <c r="CX21" s="17" t="s">
        <v>870</v>
      </c>
      <c r="CY21" s="17" t="s">
        <v>870</v>
      </c>
      <c r="CZ21" s="17" t="s">
        <v>870</v>
      </c>
      <c r="DA21" s="17" t="s">
        <v>870</v>
      </c>
      <c r="DB21" s="17" t="s">
        <v>870</v>
      </c>
      <c r="DC21" s="17" t="s">
        <v>870</v>
      </c>
      <c r="DD21" s="17" t="s">
        <v>870</v>
      </c>
      <c r="DE21" s="17" t="s">
        <v>870</v>
      </c>
      <c r="DF21" s="17" t="s">
        <v>870</v>
      </c>
      <c r="DG21" s="17" t="s">
        <v>870</v>
      </c>
      <c r="DH21" s="17" t="s">
        <v>870</v>
      </c>
      <c r="DI21" s="17" t="s">
        <v>870</v>
      </c>
      <c r="DJ21" s="17" t="s">
        <v>870</v>
      </c>
      <c r="DK21" s="17" t="s">
        <v>870</v>
      </c>
      <c r="DL21" s="17" t="s">
        <v>870</v>
      </c>
      <c r="DM21" s="17" t="s">
        <v>870</v>
      </c>
      <c r="DN21" s="17" t="s">
        <v>870</v>
      </c>
      <c r="DO21" s="17" t="s">
        <v>870</v>
      </c>
      <c r="DP21" s="17" t="s">
        <v>870</v>
      </c>
      <c r="DQ21" s="17" t="s">
        <v>870</v>
      </c>
      <c r="DR21" s="17" t="s">
        <v>870</v>
      </c>
      <c r="DS21" s="17" t="s">
        <v>870</v>
      </c>
      <c r="DT21" s="17" t="s">
        <v>870</v>
      </c>
      <c r="DU21" s="17" t="s">
        <v>870</v>
      </c>
      <c r="DV21" s="17" t="s">
        <v>870</v>
      </c>
      <c r="DW21" s="17" t="s">
        <v>870</v>
      </c>
      <c r="DX21" s="17" t="s">
        <v>870</v>
      </c>
      <c r="DY21" s="17" t="s">
        <v>870</v>
      </c>
      <c r="DZ21" s="17" t="s">
        <v>870</v>
      </c>
      <c r="EA21" s="17" t="s">
        <v>870</v>
      </c>
      <c r="EB21" s="17" t="s">
        <v>870</v>
      </c>
      <c r="EC21" s="17" t="s">
        <v>870</v>
      </c>
      <c r="ED21" s="17" t="s">
        <v>870</v>
      </c>
      <c r="EE21" s="17" t="s">
        <v>870</v>
      </c>
      <c r="EF21" s="17" t="s">
        <v>870</v>
      </c>
      <c r="EG21" s="17" t="s">
        <v>870</v>
      </c>
      <c r="EH21" s="17" t="s">
        <v>870</v>
      </c>
      <c r="EI21" s="17" t="s">
        <v>870</v>
      </c>
      <c r="EJ21" s="17" t="s">
        <v>870</v>
      </c>
      <c r="EK21" s="17" t="s">
        <v>870</v>
      </c>
      <c r="EL21" s="17" t="s">
        <v>870</v>
      </c>
      <c r="EM21" s="17" t="s">
        <v>870</v>
      </c>
      <c r="EN21" s="17" t="s">
        <v>870</v>
      </c>
      <c r="EO21" s="17" t="s">
        <v>870</v>
      </c>
      <c r="EP21" s="17" t="s">
        <v>870</v>
      </c>
      <c r="EQ21" s="17" t="s">
        <v>870</v>
      </c>
      <c r="ER21" s="17" t="s">
        <v>870</v>
      </c>
      <c r="ES21" s="17" t="s">
        <v>870</v>
      </c>
      <c r="ET21" s="17" t="s">
        <v>870</v>
      </c>
      <c r="EU21" s="17" t="s">
        <v>870</v>
      </c>
      <c r="EV21" s="17" t="s">
        <v>870</v>
      </c>
      <c r="EW21" s="17" t="s">
        <v>870</v>
      </c>
      <c r="EX21" s="17" t="s">
        <v>870</v>
      </c>
      <c r="EY21" s="17" t="s">
        <v>870</v>
      </c>
      <c r="EZ21" s="17" t="s">
        <v>870</v>
      </c>
      <c r="FA21" s="17" t="s">
        <v>870</v>
      </c>
      <c r="FB21" s="17" t="s">
        <v>870</v>
      </c>
      <c r="FC21" s="17" t="s">
        <v>870</v>
      </c>
      <c r="FD21" s="17" t="s">
        <v>870</v>
      </c>
      <c r="FE21" s="17" t="s">
        <v>870</v>
      </c>
      <c r="FF21" s="17" t="s">
        <v>870</v>
      </c>
      <c r="FG21" s="17" t="s">
        <v>870</v>
      </c>
      <c r="FH21" s="17" t="s">
        <v>870</v>
      </c>
      <c r="FI21" s="17" t="s">
        <v>870</v>
      </c>
      <c r="FJ21" s="17" t="s">
        <v>870</v>
      </c>
      <c r="FK21" s="17" t="s">
        <v>870</v>
      </c>
      <c r="FL21" s="17" t="s">
        <v>870</v>
      </c>
      <c r="FM21" s="17" t="s">
        <v>870</v>
      </c>
      <c r="FN21" s="17" t="s">
        <v>870</v>
      </c>
      <c r="FO21" s="17" t="s">
        <v>870</v>
      </c>
      <c r="FP21" s="17" t="s">
        <v>870</v>
      </c>
      <c r="FQ21" s="17" t="s">
        <v>870</v>
      </c>
      <c r="FR21" s="17" t="s">
        <v>870</v>
      </c>
      <c r="FS21" s="17" t="s">
        <v>870</v>
      </c>
      <c r="FT21" s="17" t="s">
        <v>870</v>
      </c>
      <c r="FU21" s="17" t="s">
        <v>870</v>
      </c>
      <c r="FV21" s="17" t="s">
        <v>870</v>
      </c>
      <c r="FW21" s="17" t="s">
        <v>870</v>
      </c>
      <c r="FX21" s="17" t="s">
        <v>870</v>
      </c>
      <c r="FY21" s="17" t="s">
        <v>870</v>
      </c>
      <c r="FZ21" s="17" t="s">
        <v>870</v>
      </c>
      <c r="GA21" s="17" t="s">
        <v>870</v>
      </c>
      <c r="GB21" s="61" t="s">
        <v>2</v>
      </c>
      <c r="GC21" s="62"/>
      <c r="GD21" s="17" t="s">
        <v>870</v>
      </c>
      <c r="GE21" s="17" t="s">
        <v>870</v>
      </c>
      <c r="GF21" s="17" t="s">
        <v>870</v>
      </c>
      <c r="GG21" s="17" t="s">
        <v>870</v>
      </c>
      <c r="GH21" s="63"/>
      <c r="GI21" s="63"/>
      <c r="GJ21" s="63"/>
      <c r="GK21" s="63"/>
      <c r="GL21" s="63"/>
      <c r="GM21" s="61" t="s">
        <v>2</v>
      </c>
      <c r="GN21" s="61" t="s">
        <v>2</v>
      </c>
      <c r="GO21" s="17" t="s">
        <v>870</v>
      </c>
      <c r="GP21" s="17" t="s">
        <v>870</v>
      </c>
      <c r="GQ21" s="17" t="s">
        <v>870</v>
      </c>
      <c r="GR21" s="61" t="s">
        <v>2</v>
      </c>
      <c r="GS21" s="61" t="s">
        <v>2</v>
      </c>
      <c r="GT21" s="63"/>
      <c r="GU21" s="63"/>
      <c r="GV21" s="62"/>
      <c r="GW21" s="61" t="s">
        <v>2</v>
      </c>
      <c r="GX21" s="17" t="s">
        <v>870</v>
      </c>
      <c r="GY21" s="17" t="s">
        <v>870</v>
      </c>
      <c r="GZ21" s="63"/>
      <c r="HA21" s="63"/>
      <c r="HB21" s="17" t="s">
        <v>870</v>
      </c>
      <c r="HC21" s="17" t="s">
        <v>870</v>
      </c>
      <c r="HD21" s="17" t="s">
        <v>870</v>
      </c>
      <c r="HE21" s="61" t="s">
        <v>2</v>
      </c>
      <c r="HF21" s="61" t="s">
        <v>2</v>
      </c>
      <c r="HG21" s="61" t="s">
        <v>2</v>
      </c>
      <c r="HH21" s="61" t="s">
        <v>2</v>
      </c>
      <c r="HI21" s="63"/>
      <c r="HJ21" s="61" t="s">
        <v>2</v>
      </c>
      <c r="HK21" s="63"/>
      <c r="HL21" s="61" t="s">
        <v>2</v>
      </c>
      <c r="HM21" s="63"/>
      <c r="HN21" s="61" t="s">
        <v>2</v>
      </c>
      <c r="HO21" s="62"/>
      <c r="HP21" s="61" t="s">
        <v>2</v>
      </c>
      <c r="HQ21" s="62"/>
      <c r="HR21" s="61" t="s">
        <v>2</v>
      </c>
      <c r="HS21" s="61" t="s">
        <v>2</v>
      </c>
      <c r="HT21" s="61" t="s">
        <v>2</v>
      </c>
      <c r="HU21" s="61" t="s">
        <v>2</v>
      </c>
      <c r="HV21" s="61" t="s">
        <v>2</v>
      </c>
      <c r="HW21" s="61" t="s">
        <v>2</v>
      </c>
      <c r="HX21" s="61" t="s">
        <v>2</v>
      </c>
      <c r="HY21" s="61" t="s">
        <v>2</v>
      </c>
      <c r="HZ21" s="61" t="s">
        <v>2</v>
      </c>
      <c r="IA21" s="61" t="s">
        <v>2</v>
      </c>
      <c r="IB21" s="62"/>
      <c r="IC21" s="61" t="s">
        <v>2</v>
      </c>
      <c r="ID21" s="61" t="s">
        <v>2</v>
      </c>
      <c r="IE21" s="61" t="s">
        <v>2</v>
      </c>
      <c r="IF21" s="61" t="s">
        <v>2</v>
      </c>
      <c r="IG21" s="61" t="s">
        <v>2</v>
      </c>
      <c r="IH21" s="62"/>
      <c r="II21" s="62"/>
      <c r="IJ21" s="61" t="s">
        <v>2</v>
      </c>
      <c r="IK21" s="62"/>
      <c r="IL21" s="61" t="s">
        <v>2</v>
      </c>
      <c r="IM21" s="61" t="s">
        <v>2</v>
      </c>
      <c r="IN21" s="61" t="s">
        <v>2</v>
      </c>
      <c r="IO21" s="62"/>
      <c r="IP21" s="61" t="s">
        <v>2</v>
      </c>
      <c r="IQ21" s="17" t="s">
        <v>870</v>
      </c>
      <c r="IR21" s="17" t="s">
        <v>870</v>
      </c>
      <c r="IS21" s="17" t="s">
        <v>870</v>
      </c>
      <c r="IT21" s="17" t="s">
        <v>870</v>
      </c>
      <c r="IU21" s="17" t="s">
        <v>870</v>
      </c>
      <c r="IV21" s="17" t="s">
        <v>870</v>
      </c>
      <c r="IW21" s="17" t="s">
        <v>870</v>
      </c>
      <c r="IX21" s="17" t="s">
        <v>870</v>
      </c>
      <c r="IY21" s="17" t="s">
        <v>870</v>
      </c>
      <c r="IZ21" s="17" t="s">
        <v>870</v>
      </c>
      <c r="JA21" s="17" t="s">
        <v>870</v>
      </c>
      <c r="JB21" s="17" t="s">
        <v>870</v>
      </c>
      <c r="JC21" s="61" t="s">
        <v>2</v>
      </c>
      <c r="JD21" s="62"/>
      <c r="JE21" s="62"/>
      <c r="JF21" s="61" t="s">
        <v>2</v>
      </c>
      <c r="JG21" s="17" t="s">
        <v>870</v>
      </c>
      <c r="JH21" s="17" t="s">
        <v>870</v>
      </c>
      <c r="JI21" s="62"/>
      <c r="JJ21" s="62"/>
      <c r="JK21" s="62"/>
      <c r="JL21" s="62"/>
      <c r="JM21" s="61" t="s">
        <v>2</v>
      </c>
      <c r="JN21" s="61" t="s">
        <v>2</v>
      </c>
      <c r="JO21" s="61" t="s">
        <v>2</v>
      </c>
      <c r="JP21" s="61" t="s">
        <v>2</v>
      </c>
      <c r="JQ21" s="62"/>
      <c r="JR21" s="62"/>
      <c r="JS21" s="61" t="s">
        <v>2</v>
      </c>
      <c r="JT21" s="62"/>
    </row>
    <row r="22" spans="1:280" x14ac:dyDescent="0.25">
      <c r="A22" t="s">
        <v>23</v>
      </c>
      <c r="B22" s="17" t="s">
        <v>870</v>
      </c>
      <c r="C22" s="17" t="s">
        <v>870</v>
      </c>
      <c r="D22" s="17" t="s">
        <v>870</v>
      </c>
      <c r="E22" s="61" t="s">
        <v>2</v>
      </c>
      <c r="F22" s="63"/>
      <c r="G22" s="63"/>
      <c r="H22" s="63"/>
      <c r="I22" s="61" t="s">
        <v>2</v>
      </c>
      <c r="J22" s="61" t="s">
        <v>2</v>
      </c>
      <c r="K22" s="63"/>
      <c r="L22" s="63"/>
      <c r="M22" s="63"/>
      <c r="N22" s="61" t="s">
        <v>2</v>
      </c>
      <c r="O22" s="61" t="s">
        <v>2</v>
      </c>
      <c r="P22" s="63"/>
      <c r="Q22" s="61" t="s">
        <v>2</v>
      </c>
      <c r="R22" s="63"/>
      <c r="S22" s="63"/>
      <c r="T22" s="17" t="s">
        <v>870</v>
      </c>
      <c r="U22" s="17" t="s">
        <v>870</v>
      </c>
      <c r="V22" s="17" t="s">
        <v>870</v>
      </c>
      <c r="W22" s="17" t="s">
        <v>870</v>
      </c>
      <c r="X22" s="17" t="s">
        <v>870</v>
      </c>
      <c r="Y22" s="17" t="s">
        <v>870</v>
      </c>
      <c r="Z22" s="17" t="s">
        <v>870</v>
      </c>
      <c r="AA22" s="17" t="s">
        <v>870</v>
      </c>
      <c r="AB22" s="17" t="s">
        <v>870</v>
      </c>
      <c r="AC22" s="17" t="s">
        <v>870</v>
      </c>
      <c r="AD22" s="17" t="s">
        <v>870</v>
      </c>
      <c r="AE22" s="17" t="s">
        <v>870</v>
      </c>
      <c r="AF22" s="17" t="s">
        <v>870</v>
      </c>
      <c r="AG22" s="17" t="s">
        <v>870</v>
      </c>
      <c r="AH22" s="17" t="s">
        <v>870</v>
      </c>
      <c r="AI22" s="17" t="s">
        <v>870</v>
      </c>
      <c r="AJ22" s="17" t="s">
        <v>870</v>
      </c>
      <c r="AK22" s="17" t="s">
        <v>870</v>
      </c>
      <c r="AL22" s="17" t="s">
        <v>870</v>
      </c>
      <c r="AM22" s="17" t="s">
        <v>870</v>
      </c>
      <c r="AN22" s="17" t="s">
        <v>870</v>
      </c>
      <c r="AO22" s="17" t="s">
        <v>870</v>
      </c>
      <c r="AP22" s="17" t="s">
        <v>870</v>
      </c>
      <c r="AQ22" s="17" t="s">
        <v>870</v>
      </c>
      <c r="AR22" s="17" t="s">
        <v>870</v>
      </c>
      <c r="AS22" s="17" t="s">
        <v>870</v>
      </c>
      <c r="AT22" s="17" t="s">
        <v>870</v>
      </c>
      <c r="AU22" s="17" t="s">
        <v>870</v>
      </c>
      <c r="AV22" s="17" t="s">
        <v>870</v>
      </c>
      <c r="AW22" s="17" t="s">
        <v>870</v>
      </c>
      <c r="AX22" s="17" t="s">
        <v>870</v>
      </c>
      <c r="AY22" s="17" t="s">
        <v>870</v>
      </c>
      <c r="AZ22" s="17" t="s">
        <v>870</v>
      </c>
      <c r="BA22" s="17" t="s">
        <v>870</v>
      </c>
      <c r="BB22" s="17" t="s">
        <v>870</v>
      </c>
      <c r="BC22" s="17" t="s">
        <v>870</v>
      </c>
      <c r="BD22" s="17" t="s">
        <v>870</v>
      </c>
      <c r="BE22" s="17" t="s">
        <v>870</v>
      </c>
      <c r="BF22" s="17" t="s">
        <v>870</v>
      </c>
      <c r="BG22" s="17" t="s">
        <v>870</v>
      </c>
      <c r="BH22" s="17" t="s">
        <v>870</v>
      </c>
      <c r="BI22" s="17" t="s">
        <v>870</v>
      </c>
      <c r="BJ22" s="17" t="s">
        <v>870</v>
      </c>
      <c r="BK22" s="17" t="s">
        <v>870</v>
      </c>
      <c r="BL22" s="17" t="s">
        <v>870</v>
      </c>
      <c r="BM22" s="17" t="s">
        <v>870</v>
      </c>
      <c r="BN22" s="17" t="s">
        <v>870</v>
      </c>
      <c r="BO22" s="17" t="s">
        <v>870</v>
      </c>
      <c r="BP22" s="17" t="s">
        <v>870</v>
      </c>
      <c r="BQ22" s="17" t="s">
        <v>870</v>
      </c>
      <c r="BR22" s="17" t="s">
        <v>870</v>
      </c>
      <c r="BS22" s="17" t="s">
        <v>870</v>
      </c>
      <c r="BT22" s="17" t="s">
        <v>870</v>
      </c>
      <c r="BU22" s="17" t="s">
        <v>870</v>
      </c>
      <c r="BV22" s="17" t="s">
        <v>870</v>
      </c>
      <c r="BW22" s="17" t="s">
        <v>870</v>
      </c>
      <c r="BX22" s="17" t="s">
        <v>870</v>
      </c>
      <c r="BY22" s="17" t="s">
        <v>870</v>
      </c>
      <c r="BZ22" s="17" t="s">
        <v>870</v>
      </c>
      <c r="CA22" s="17" t="s">
        <v>870</v>
      </c>
      <c r="CB22" s="17" t="s">
        <v>870</v>
      </c>
      <c r="CC22" s="17" t="s">
        <v>870</v>
      </c>
      <c r="CD22" s="17" t="s">
        <v>870</v>
      </c>
      <c r="CE22" s="17" t="s">
        <v>870</v>
      </c>
      <c r="CF22" s="17" t="s">
        <v>870</v>
      </c>
      <c r="CG22" s="17" t="s">
        <v>870</v>
      </c>
      <c r="CH22" s="17" t="s">
        <v>870</v>
      </c>
      <c r="CI22" s="17" t="s">
        <v>870</v>
      </c>
      <c r="CJ22" s="17" t="s">
        <v>870</v>
      </c>
      <c r="CK22" s="17" t="s">
        <v>870</v>
      </c>
      <c r="CL22" s="17" t="s">
        <v>870</v>
      </c>
      <c r="CM22" s="17" t="s">
        <v>870</v>
      </c>
      <c r="CN22" s="17" t="s">
        <v>870</v>
      </c>
      <c r="CO22" s="17" t="s">
        <v>870</v>
      </c>
      <c r="CP22" s="17" t="s">
        <v>870</v>
      </c>
      <c r="CQ22" s="17" t="s">
        <v>870</v>
      </c>
      <c r="CR22" s="17" t="s">
        <v>870</v>
      </c>
      <c r="CS22" s="17" t="s">
        <v>870</v>
      </c>
      <c r="CT22" s="17" t="s">
        <v>870</v>
      </c>
      <c r="CU22" s="17" t="s">
        <v>870</v>
      </c>
      <c r="CV22" s="17" t="s">
        <v>870</v>
      </c>
      <c r="CW22" s="17" t="s">
        <v>870</v>
      </c>
      <c r="CX22" s="17" t="s">
        <v>870</v>
      </c>
      <c r="CY22" s="17" t="s">
        <v>870</v>
      </c>
      <c r="CZ22" s="17" t="s">
        <v>870</v>
      </c>
      <c r="DA22" s="17" t="s">
        <v>870</v>
      </c>
      <c r="DB22" s="17" t="s">
        <v>870</v>
      </c>
      <c r="DC22" s="17" t="s">
        <v>870</v>
      </c>
      <c r="DD22" s="17" t="s">
        <v>870</v>
      </c>
      <c r="DE22" s="17" t="s">
        <v>870</v>
      </c>
      <c r="DF22" s="17" t="s">
        <v>870</v>
      </c>
      <c r="DG22" s="17" t="s">
        <v>870</v>
      </c>
      <c r="DH22" s="17" t="s">
        <v>870</v>
      </c>
      <c r="DI22" s="17" t="s">
        <v>870</v>
      </c>
      <c r="DJ22" s="17" t="s">
        <v>870</v>
      </c>
      <c r="DK22" s="17" t="s">
        <v>870</v>
      </c>
      <c r="DL22" s="17" t="s">
        <v>870</v>
      </c>
      <c r="DM22" s="17" t="s">
        <v>870</v>
      </c>
      <c r="DN22" s="17" t="s">
        <v>870</v>
      </c>
      <c r="DO22" s="17" t="s">
        <v>870</v>
      </c>
      <c r="DP22" s="17" t="s">
        <v>870</v>
      </c>
      <c r="DQ22" s="17" t="s">
        <v>870</v>
      </c>
      <c r="DR22" s="17" t="s">
        <v>870</v>
      </c>
      <c r="DS22" s="17" t="s">
        <v>870</v>
      </c>
      <c r="DT22" s="17" t="s">
        <v>870</v>
      </c>
      <c r="DU22" s="17" t="s">
        <v>870</v>
      </c>
      <c r="DV22" s="17" t="s">
        <v>870</v>
      </c>
      <c r="DW22" s="17" t="s">
        <v>870</v>
      </c>
      <c r="DX22" s="17" t="s">
        <v>870</v>
      </c>
      <c r="DY22" s="17" t="s">
        <v>870</v>
      </c>
      <c r="DZ22" s="17" t="s">
        <v>870</v>
      </c>
      <c r="EA22" s="17" t="s">
        <v>870</v>
      </c>
      <c r="EB22" s="17" t="s">
        <v>870</v>
      </c>
      <c r="EC22" s="17" t="s">
        <v>870</v>
      </c>
      <c r="ED22" s="17" t="s">
        <v>870</v>
      </c>
      <c r="EE22" s="17" t="s">
        <v>870</v>
      </c>
      <c r="EF22" s="17" t="s">
        <v>870</v>
      </c>
      <c r="EG22" s="17" t="s">
        <v>870</v>
      </c>
      <c r="EH22" s="17" t="s">
        <v>870</v>
      </c>
      <c r="EI22" s="17" t="s">
        <v>870</v>
      </c>
      <c r="EJ22" s="17" t="s">
        <v>870</v>
      </c>
      <c r="EK22" s="17" t="s">
        <v>870</v>
      </c>
      <c r="EL22" s="17" t="s">
        <v>870</v>
      </c>
      <c r="EM22" s="17" t="s">
        <v>870</v>
      </c>
      <c r="EN22" s="17" t="s">
        <v>870</v>
      </c>
      <c r="EO22" s="17" t="s">
        <v>870</v>
      </c>
      <c r="EP22" s="17" t="s">
        <v>870</v>
      </c>
      <c r="EQ22" s="17" t="s">
        <v>870</v>
      </c>
      <c r="ER22" s="17" t="s">
        <v>870</v>
      </c>
      <c r="ES22" s="17" t="s">
        <v>870</v>
      </c>
      <c r="ET22" s="17" t="s">
        <v>870</v>
      </c>
      <c r="EU22" s="17" t="s">
        <v>870</v>
      </c>
      <c r="EV22" s="17" t="s">
        <v>870</v>
      </c>
      <c r="EW22" s="17" t="s">
        <v>870</v>
      </c>
      <c r="EX22" s="17" t="s">
        <v>870</v>
      </c>
      <c r="EY22" s="17" t="s">
        <v>870</v>
      </c>
      <c r="EZ22" s="17" t="s">
        <v>870</v>
      </c>
      <c r="FA22" s="17" t="s">
        <v>870</v>
      </c>
      <c r="FB22" s="17" t="s">
        <v>870</v>
      </c>
      <c r="FC22" s="17" t="s">
        <v>870</v>
      </c>
      <c r="FD22" s="17" t="s">
        <v>870</v>
      </c>
      <c r="FE22" s="17" t="s">
        <v>870</v>
      </c>
      <c r="FF22" s="17" t="s">
        <v>870</v>
      </c>
      <c r="FG22" s="17" t="s">
        <v>870</v>
      </c>
      <c r="FH22" s="17" t="s">
        <v>870</v>
      </c>
      <c r="FI22" s="17" t="s">
        <v>870</v>
      </c>
      <c r="FJ22" s="17" t="s">
        <v>870</v>
      </c>
      <c r="FK22" s="17" t="s">
        <v>870</v>
      </c>
      <c r="FL22" s="17" t="s">
        <v>870</v>
      </c>
      <c r="FM22" s="17" t="s">
        <v>870</v>
      </c>
      <c r="FN22" s="17" t="s">
        <v>870</v>
      </c>
      <c r="FO22" s="17" t="s">
        <v>870</v>
      </c>
      <c r="FP22" s="17" t="s">
        <v>870</v>
      </c>
      <c r="FQ22" s="17" t="s">
        <v>870</v>
      </c>
      <c r="FR22" s="17" t="s">
        <v>870</v>
      </c>
      <c r="FS22" s="17" t="s">
        <v>870</v>
      </c>
      <c r="FT22" s="17" t="s">
        <v>870</v>
      </c>
      <c r="FU22" s="17" t="s">
        <v>870</v>
      </c>
      <c r="FV22" s="17" t="s">
        <v>870</v>
      </c>
      <c r="FW22" s="17" t="s">
        <v>870</v>
      </c>
      <c r="FX22" s="17" t="s">
        <v>870</v>
      </c>
      <c r="FY22" s="17" t="s">
        <v>870</v>
      </c>
      <c r="FZ22" s="17" t="s">
        <v>870</v>
      </c>
      <c r="GA22" s="17" t="s">
        <v>870</v>
      </c>
      <c r="GB22" s="17" t="s">
        <v>870</v>
      </c>
      <c r="GC22" s="17" t="s">
        <v>870</v>
      </c>
      <c r="GD22" s="17" t="s">
        <v>870</v>
      </c>
      <c r="GE22" s="17" t="s">
        <v>870</v>
      </c>
      <c r="GF22" s="17" t="s">
        <v>870</v>
      </c>
      <c r="GG22" s="17" t="s">
        <v>870</v>
      </c>
      <c r="GH22" s="17" t="s">
        <v>870</v>
      </c>
      <c r="GI22" s="17" t="s">
        <v>870</v>
      </c>
      <c r="GJ22" s="17" t="s">
        <v>870</v>
      </c>
      <c r="GK22" s="17" t="s">
        <v>870</v>
      </c>
      <c r="GL22" s="17" t="s">
        <v>870</v>
      </c>
      <c r="GM22" s="17" t="s">
        <v>870</v>
      </c>
      <c r="GN22" s="17" t="s">
        <v>870</v>
      </c>
      <c r="GO22" s="17" t="s">
        <v>870</v>
      </c>
      <c r="GP22" s="17" t="s">
        <v>870</v>
      </c>
      <c r="GQ22" s="17" t="s">
        <v>870</v>
      </c>
      <c r="GR22" s="17" t="s">
        <v>870</v>
      </c>
      <c r="GS22" s="17" t="s">
        <v>870</v>
      </c>
      <c r="GT22" s="17" t="s">
        <v>870</v>
      </c>
      <c r="GU22" s="17" t="s">
        <v>870</v>
      </c>
      <c r="GV22" s="17" t="s">
        <v>870</v>
      </c>
      <c r="GW22" s="17" t="s">
        <v>870</v>
      </c>
      <c r="GX22" s="17" t="s">
        <v>870</v>
      </c>
      <c r="GY22" s="17" t="s">
        <v>870</v>
      </c>
      <c r="GZ22" s="17" t="s">
        <v>870</v>
      </c>
      <c r="HA22" s="17" t="s">
        <v>870</v>
      </c>
      <c r="HB22" s="17" t="s">
        <v>870</v>
      </c>
      <c r="HC22" s="17" t="s">
        <v>870</v>
      </c>
      <c r="HD22" s="17" t="s">
        <v>870</v>
      </c>
      <c r="HE22" s="17" t="s">
        <v>870</v>
      </c>
      <c r="HF22" s="17" t="s">
        <v>870</v>
      </c>
      <c r="HG22" s="17" t="s">
        <v>870</v>
      </c>
      <c r="HH22" s="17" t="s">
        <v>870</v>
      </c>
      <c r="HI22" s="17" t="s">
        <v>870</v>
      </c>
      <c r="HJ22" s="17" t="s">
        <v>870</v>
      </c>
      <c r="HK22" s="17" t="s">
        <v>870</v>
      </c>
      <c r="HL22" s="17" t="s">
        <v>870</v>
      </c>
      <c r="HM22" s="17" t="s">
        <v>870</v>
      </c>
      <c r="HN22" s="17" t="s">
        <v>870</v>
      </c>
      <c r="HO22" s="17" t="s">
        <v>870</v>
      </c>
      <c r="HP22" s="17" t="s">
        <v>870</v>
      </c>
      <c r="HQ22" s="17" t="s">
        <v>870</v>
      </c>
      <c r="HR22" s="17" t="s">
        <v>870</v>
      </c>
      <c r="HS22" s="17" t="s">
        <v>870</v>
      </c>
      <c r="HT22" s="17" t="s">
        <v>870</v>
      </c>
      <c r="HU22" s="17" t="s">
        <v>870</v>
      </c>
      <c r="HV22" s="17" t="s">
        <v>870</v>
      </c>
      <c r="HW22" s="17" t="s">
        <v>870</v>
      </c>
      <c r="HX22" s="17" t="s">
        <v>870</v>
      </c>
      <c r="HY22" s="17" t="s">
        <v>870</v>
      </c>
      <c r="HZ22" s="17" t="s">
        <v>870</v>
      </c>
      <c r="IA22" s="17" t="s">
        <v>870</v>
      </c>
      <c r="IB22" s="17" t="s">
        <v>870</v>
      </c>
      <c r="IC22" s="17" t="s">
        <v>870</v>
      </c>
      <c r="ID22" s="17" t="s">
        <v>870</v>
      </c>
      <c r="IE22" s="17" t="s">
        <v>870</v>
      </c>
      <c r="IF22" s="17" t="s">
        <v>870</v>
      </c>
      <c r="IG22" s="17" t="s">
        <v>870</v>
      </c>
      <c r="IH22" s="17" t="s">
        <v>870</v>
      </c>
      <c r="II22" s="17" t="s">
        <v>870</v>
      </c>
      <c r="IJ22" s="17" t="s">
        <v>870</v>
      </c>
      <c r="IK22" s="17" t="s">
        <v>870</v>
      </c>
      <c r="IL22" s="17" t="s">
        <v>870</v>
      </c>
      <c r="IM22" s="17" t="s">
        <v>870</v>
      </c>
      <c r="IN22" s="17" t="s">
        <v>870</v>
      </c>
      <c r="IO22" s="17" t="s">
        <v>870</v>
      </c>
      <c r="IP22" s="17" t="s">
        <v>870</v>
      </c>
      <c r="IQ22" s="17" t="s">
        <v>870</v>
      </c>
      <c r="IR22" s="17" t="s">
        <v>870</v>
      </c>
      <c r="IS22" s="17" t="s">
        <v>870</v>
      </c>
      <c r="IT22" s="17" t="s">
        <v>870</v>
      </c>
      <c r="IU22" s="17" t="s">
        <v>870</v>
      </c>
      <c r="IV22" s="17" t="s">
        <v>870</v>
      </c>
      <c r="IW22" s="17" t="s">
        <v>870</v>
      </c>
      <c r="IX22" s="17" t="s">
        <v>870</v>
      </c>
      <c r="IY22" s="17" t="s">
        <v>870</v>
      </c>
      <c r="IZ22" s="17" t="s">
        <v>870</v>
      </c>
      <c r="JA22" s="17" t="s">
        <v>870</v>
      </c>
      <c r="JB22" s="17" t="s">
        <v>870</v>
      </c>
      <c r="JC22" s="17" t="s">
        <v>870</v>
      </c>
      <c r="JD22" s="17" t="s">
        <v>870</v>
      </c>
      <c r="JE22" s="17" t="s">
        <v>870</v>
      </c>
      <c r="JF22" s="17" t="s">
        <v>870</v>
      </c>
      <c r="JG22" s="17" t="s">
        <v>870</v>
      </c>
      <c r="JH22" s="17" t="s">
        <v>870</v>
      </c>
      <c r="JI22" s="17" t="s">
        <v>870</v>
      </c>
      <c r="JJ22" s="17" t="s">
        <v>870</v>
      </c>
      <c r="JK22" s="17" t="s">
        <v>870</v>
      </c>
      <c r="JL22" s="17" t="s">
        <v>870</v>
      </c>
      <c r="JM22" s="17" t="s">
        <v>870</v>
      </c>
      <c r="JN22" s="17" t="s">
        <v>870</v>
      </c>
      <c r="JO22" s="17" t="s">
        <v>870</v>
      </c>
      <c r="JP22" s="17" t="s">
        <v>870</v>
      </c>
      <c r="JQ22" s="17" t="s">
        <v>870</v>
      </c>
      <c r="JR22" s="17" t="s">
        <v>870</v>
      </c>
      <c r="JS22" s="17" t="s">
        <v>870</v>
      </c>
      <c r="JT22" s="17" t="s">
        <v>870</v>
      </c>
    </row>
    <row r="23" spans="1:280" x14ac:dyDescent="0.25">
      <c r="A23" t="s">
        <v>238</v>
      </c>
      <c r="B23" s="17" t="s">
        <v>870</v>
      </c>
      <c r="C23" s="17" t="s">
        <v>870</v>
      </c>
      <c r="D23" s="17" t="s">
        <v>870</v>
      </c>
      <c r="E23" s="17" t="s">
        <v>870</v>
      </c>
      <c r="F23" s="17" t="s">
        <v>870</v>
      </c>
      <c r="G23" s="17" t="s">
        <v>870</v>
      </c>
      <c r="H23" s="17" t="s">
        <v>870</v>
      </c>
      <c r="I23" s="17" t="s">
        <v>870</v>
      </c>
      <c r="J23" s="17" t="s">
        <v>870</v>
      </c>
      <c r="K23" s="17" t="s">
        <v>870</v>
      </c>
      <c r="L23" s="17" t="s">
        <v>870</v>
      </c>
      <c r="M23" s="17" t="s">
        <v>870</v>
      </c>
      <c r="N23" s="17" t="s">
        <v>870</v>
      </c>
      <c r="O23" s="17" t="s">
        <v>870</v>
      </c>
      <c r="P23" s="17" t="s">
        <v>870</v>
      </c>
      <c r="Q23" s="17" t="s">
        <v>870</v>
      </c>
      <c r="R23" s="17" t="s">
        <v>870</v>
      </c>
      <c r="S23" s="17" t="s">
        <v>870</v>
      </c>
      <c r="T23" s="17" t="s">
        <v>870</v>
      </c>
      <c r="U23" s="17" t="s">
        <v>870</v>
      </c>
      <c r="V23" s="17" t="s">
        <v>870</v>
      </c>
      <c r="W23" s="17" t="s">
        <v>870</v>
      </c>
      <c r="X23" s="17" t="s">
        <v>870</v>
      </c>
      <c r="Y23" s="17" t="s">
        <v>870</v>
      </c>
      <c r="Z23" s="17" t="s">
        <v>870</v>
      </c>
      <c r="AA23" s="17" t="s">
        <v>870</v>
      </c>
      <c r="AB23" s="17" t="s">
        <v>870</v>
      </c>
      <c r="AC23" s="17" t="s">
        <v>870</v>
      </c>
      <c r="AD23" s="17" t="s">
        <v>870</v>
      </c>
      <c r="AE23" s="17" t="s">
        <v>870</v>
      </c>
      <c r="AF23" s="17" t="s">
        <v>870</v>
      </c>
      <c r="AG23" s="17" t="s">
        <v>870</v>
      </c>
      <c r="AH23" s="17" t="s">
        <v>870</v>
      </c>
      <c r="AI23" s="17" t="s">
        <v>870</v>
      </c>
      <c r="AJ23" s="17" t="s">
        <v>870</v>
      </c>
      <c r="AK23" s="17" t="s">
        <v>870</v>
      </c>
      <c r="AL23" s="17" t="s">
        <v>870</v>
      </c>
      <c r="AM23" s="17" t="s">
        <v>870</v>
      </c>
      <c r="AN23" s="17" t="s">
        <v>870</v>
      </c>
      <c r="AO23" s="17" t="s">
        <v>870</v>
      </c>
      <c r="AP23" s="17" t="s">
        <v>870</v>
      </c>
      <c r="AQ23" s="17" t="s">
        <v>870</v>
      </c>
      <c r="AR23" s="17" t="s">
        <v>870</v>
      </c>
      <c r="AS23" s="17" t="s">
        <v>870</v>
      </c>
      <c r="AT23" s="17" t="s">
        <v>870</v>
      </c>
      <c r="AU23" s="17" t="s">
        <v>870</v>
      </c>
      <c r="AV23" s="17" t="s">
        <v>870</v>
      </c>
      <c r="AW23" s="17" t="s">
        <v>870</v>
      </c>
      <c r="AX23" s="17" t="s">
        <v>870</v>
      </c>
      <c r="AY23" s="17" t="s">
        <v>870</v>
      </c>
      <c r="AZ23" s="17" t="s">
        <v>870</v>
      </c>
      <c r="BA23" s="17" t="s">
        <v>870</v>
      </c>
      <c r="BB23" s="17" t="s">
        <v>870</v>
      </c>
      <c r="BC23" s="17" t="s">
        <v>870</v>
      </c>
      <c r="BD23" s="17" t="s">
        <v>870</v>
      </c>
      <c r="BE23" s="17" t="s">
        <v>870</v>
      </c>
      <c r="BF23" s="17" t="s">
        <v>870</v>
      </c>
      <c r="BG23" s="17" t="s">
        <v>870</v>
      </c>
      <c r="BH23" s="17" t="s">
        <v>870</v>
      </c>
      <c r="BI23" s="17" t="s">
        <v>870</v>
      </c>
      <c r="BJ23" s="17" t="s">
        <v>870</v>
      </c>
      <c r="BK23" s="17" t="s">
        <v>870</v>
      </c>
      <c r="BL23" s="17" t="s">
        <v>870</v>
      </c>
      <c r="BM23" s="17" t="s">
        <v>870</v>
      </c>
      <c r="BN23" s="17" t="s">
        <v>870</v>
      </c>
      <c r="BO23" s="17" t="s">
        <v>870</v>
      </c>
      <c r="BP23" s="17" t="s">
        <v>870</v>
      </c>
      <c r="BQ23" s="17" t="s">
        <v>870</v>
      </c>
      <c r="BR23" s="17" t="s">
        <v>870</v>
      </c>
      <c r="BS23" s="17" t="s">
        <v>870</v>
      </c>
      <c r="BT23" s="17" t="s">
        <v>870</v>
      </c>
      <c r="BU23" s="17" t="s">
        <v>870</v>
      </c>
      <c r="BV23" s="17" t="s">
        <v>870</v>
      </c>
      <c r="BW23" s="17" t="s">
        <v>870</v>
      </c>
      <c r="BX23" s="17" t="s">
        <v>870</v>
      </c>
      <c r="BY23" s="17" t="s">
        <v>870</v>
      </c>
      <c r="BZ23" s="17" t="s">
        <v>870</v>
      </c>
      <c r="CA23" s="17" t="s">
        <v>870</v>
      </c>
      <c r="CB23" s="17" t="s">
        <v>870</v>
      </c>
      <c r="CC23" s="17" t="s">
        <v>870</v>
      </c>
      <c r="CD23" s="17" t="s">
        <v>870</v>
      </c>
      <c r="CE23" s="17" t="s">
        <v>870</v>
      </c>
      <c r="CF23" s="17" t="s">
        <v>870</v>
      </c>
      <c r="CG23" s="17" t="s">
        <v>870</v>
      </c>
      <c r="CH23" s="17" t="s">
        <v>870</v>
      </c>
      <c r="CI23" s="17" t="s">
        <v>870</v>
      </c>
      <c r="CJ23" s="17" t="s">
        <v>870</v>
      </c>
      <c r="CK23" s="17" t="s">
        <v>870</v>
      </c>
      <c r="CL23" s="17" t="s">
        <v>870</v>
      </c>
      <c r="CM23" s="17" t="s">
        <v>870</v>
      </c>
      <c r="CN23" s="17" t="s">
        <v>870</v>
      </c>
      <c r="CO23" s="17" t="s">
        <v>870</v>
      </c>
      <c r="CP23" s="17" t="s">
        <v>870</v>
      </c>
      <c r="CQ23" s="17" t="s">
        <v>870</v>
      </c>
      <c r="CR23" s="17" t="s">
        <v>870</v>
      </c>
      <c r="CS23" s="17" t="s">
        <v>870</v>
      </c>
      <c r="CT23" s="17" t="s">
        <v>870</v>
      </c>
      <c r="CU23" s="17" t="s">
        <v>870</v>
      </c>
      <c r="CV23" s="17" t="s">
        <v>870</v>
      </c>
      <c r="CW23" s="17" t="s">
        <v>870</v>
      </c>
      <c r="CX23" s="17" t="s">
        <v>870</v>
      </c>
      <c r="CY23" s="17" t="s">
        <v>870</v>
      </c>
      <c r="CZ23" s="17" t="s">
        <v>870</v>
      </c>
      <c r="DA23" s="17" t="s">
        <v>870</v>
      </c>
      <c r="DB23" s="17" t="s">
        <v>870</v>
      </c>
      <c r="DC23" s="17" t="s">
        <v>870</v>
      </c>
      <c r="DD23" s="17" t="s">
        <v>870</v>
      </c>
      <c r="DE23" s="17" t="s">
        <v>870</v>
      </c>
      <c r="DF23" s="17" t="s">
        <v>870</v>
      </c>
      <c r="DG23" s="17" t="s">
        <v>870</v>
      </c>
      <c r="DH23" s="61" t="s">
        <v>2</v>
      </c>
      <c r="DI23" s="61" t="s">
        <v>2</v>
      </c>
      <c r="DJ23" s="17" t="s">
        <v>870</v>
      </c>
      <c r="DK23" s="17" t="s">
        <v>870</v>
      </c>
      <c r="DL23" s="17" t="s">
        <v>870</v>
      </c>
      <c r="DM23" s="17" t="s">
        <v>870</v>
      </c>
      <c r="DN23" s="17" t="s">
        <v>870</v>
      </c>
      <c r="DO23" s="17" t="s">
        <v>870</v>
      </c>
      <c r="DP23" s="17" t="s">
        <v>870</v>
      </c>
      <c r="DQ23" s="17" t="s">
        <v>870</v>
      </c>
      <c r="DR23" s="17" t="s">
        <v>870</v>
      </c>
      <c r="DS23" s="17" t="s">
        <v>870</v>
      </c>
      <c r="DT23" s="17" t="s">
        <v>870</v>
      </c>
      <c r="DU23" s="17" t="s">
        <v>870</v>
      </c>
      <c r="DV23" s="17" t="s">
        <v>870</v>
      </c>
      <c r="DW23" s="17" t="s">
        <v>870</v>
      </c>
      <c r="DX23" s="17" t="s">
        <v>870</v>
      </c>
      <c r="DY23" s="17" t="s">
        <v>870</v>
      </c>
      <c r="DZ23" s="17" t="s">
        <v>870</v>
      </c>
      <c r="EA23" s="17" t="s">
        <v>870</v>
      </c>
      <c r="EB23" s="17" t="s">
        <v>870</v>
      </c>
      <c r="EC23" s="17" t="s">
        <v>870</v>
      </c>
      <c r="ED23" s="17" t="s">
        <v>870</v>
      </c>
      <c r="EE23" s="17" t="s">
        <v>870</v>
      </c>
      <c r="EF23" s="17" t="s">
        <v>870</v>
      </c>
      <c r="EG23" s="17" t="s">
        <v>870</v>
      </c>
      <c r="EH23" s="17" t="s">
        <v>870</v>
      </c>
      <c r="EI23" s="17" t="s">
        <v>870</v>
      </c>
      <c r="EJ23" s="17" t="s">
        <v>870</v>
      </c>
      <c r="EK23" s="17" t="s">
        <v>870</v>
      </c>
      <c r="EL23" s="17" t="s">
        <v>870</v>
      </c>
      <c r="EM23" s="17" t="s">
        <v>870</v>
      </c>
      <c r="EN23" s="17" t="s">
        <v>870</v>
      </c>
      <c r="EO23" s="17" t="s">
        <v>870</v>
      </c>
      <c r="EP23" s="17" t="s">
        <v>870</v>
      </c>
      <c r="EQ23" s="17" t="s">
        <v>870</v>
      </c>
      <c r="ER23" s="17" t="s">
        <v>870</v>
      </c>
      <c r="ES23" s="17" t="s">
        <v>870</v>
      </c>
      <c r="ET23" s="17" t="s">
        <v>870</v>
      </c>
      <c r="EU23" s="17" t="s">
        <v>870</v>
      </c>
      <c r="EV23" s="17" t="s">
        <v>870</v>
      </c>
      <c r="EW23" s="17" t="s">
        <v>870</v>
      </c>
      <c r="EX23" s="17" t="s">
        <v>870</v>
      </c>
      <c r="EY23" s="17" t="s">
        <v>870</v>
      </c>
      <c r="EZ23" s="17" t="s">
        <v>870</v>
      </c>
      <c r="FA23" s="17" t="s">
        <v>870</v>
      </c>
      <c r="FB23" s="17" t="s">
        <v>870</v>
      </c>
      <c r="FC23" s="17" t="s">
        <v>870</v>
      </c>
      <c r="FD23" s="17" t="s">
        <v>870</v>
      </c>
      <c r="FE23" s="17" t="s">
        <v>870</v>
      </c>
      <c r="FF23" s="17" t="s">
        <v>870</v>
      </c>
      <c r="FG23" s="17" t="s">
        <v>870</v>
      </c>
      <c r="FH23" s="17" t="s">
        <v>870</v>
      </c>
      <c r="FI23" s="17" t="s">
        <v>870</v>
      </c>
      <c r="FJ23" s="17" t="s">
        <v>870</v>
      </c>
      <c r="FK23" s="17" t="s">
        <v>870</v>
      </c>
      <c r="FL23" s="17" t="s">
        <v>870</v>
      </c>
      <c r="FM23" s="17" t="s">
        <v>870</v>
      </c>
      <c r="FN23" s="17" t="s">
        <v>870</v>
      </c>
      <c r="FO23" s="17" t="s">
        <v>870</v>
      </c>
      <c r="FP23" s="17" t="s">
        <v>870</v>
      </c>
      <c r="FQ23" s="17" t="s">
        <v>870</v>
      </c>
      <c r="FR23" s="17" t="s">
        <v>870</v>
      </c>
      <c r="FS23" s="17" t="s">
        <v>870</v>
      </c>
      <c r="FT23" s="17" t="s">
        <v>870</v>
      </c>
      <c r="FU23" s="17" t="s">
        <v>870</v>
      </c>
      <c r="FV23" s="17" t="s">
        <v>870</v>
      </c>
      <c r="FW23" s="17" t="s">
        <v>870</v>
      </c>
      <c r="FX23" s="17" t="s">
        <v>870</v>
      </c>
      <c r="FY23" s="17" t="s">
        <v>870</v>
      </c>
      <c r="FZ23" s="17" t="s">
        <v>870</v>
      </c>
      <c r="GA23" s="17" t="s">
        <v>870</v>
      </c>
      <c r="GB23" s="17" t="s">
        <v>870</v>
      </c>
      <c r="GC23" s="17" t="s">
        <v>870</v>
      </c>
      <c r="GD23" s="17" t="s">
        <v>870</v>
      </c>
      <c r="GE23" s="17" t="s">
        <v>870</v>
      </c>
      <c r="GF23" s="17" t="s">
        <v>870</v>
      </c>
      <c r="GG23" s="17" t="s">
        <v>870</v>
      </c>
      <c r="GH23" s="17" t="s">
        <v>870</v>
      </c>
      <c r="GI23" s="17" t="s">
        <v>870</v>
      </c>
      <c r="GJ23" s="17" t="s">
        <v>870</v>
      </c>
      <c r="GK23" s="17" t="s">
        <v>870</v>
      </c>
      <c r="GL23" s="17" t="s">
        <v>870</v>
      </c>
      <c r="GM23" s="17" t="s">
        <v>870</v>
      </c>
      <c r="GN23" s="17" t="s">
        <v>870</v>
      </c>
      <c r="GO23" s="17" t="s">
        <v>870</v>
      </c>
      <c r="GP23" s="17" t="s">
        <v>870</v>
      </c>
      <c r="GQ23" s="17" t="s">
        <v>870</v>
      </c>
      <c r="GR23" s="17" t="s">
        <v>870</v>
      </c>
      <c r="GS23" s="17" t="s">
        <v>870</v>
      </c>
      <c r="GT23" s="17" t="s">
        <v>870</v>
      </c>
      <c r="GU23" s="17" t="s">
        <v>870</v>
      </c>
      <c r="GV23" s="17" t="s">
        <v>870</v>
      </c>
      <c r="GW23" s="17" t="s">
        <v>870</v>
      </c>
      <c r="GX23" s="17" t="s">
        <v>870</v>
      </c>
      <c r="GY23" s="17" t="s">
        <v>870</v>
      </c>
      <c r="GZ23" s="17" t="s">
        <v>870</v>
      </c>
      <c r="HA23" s="17" t="s">
        <v>870</v>
      </c>
      <c r="HB23" s="17" t="s">
        <v>870</v>
      </c>
      <c r="HC23" s="17" t="s">
        <v>870</v>
      </c>
      <c r="HD23" s="17" t="s">
        <v>870</v>
      </c>
      <c r="HE23" s="17" t="s">
        <v>870</v>
      </c>
      <c r="HF23" s="17" t="s">
        <v>870</v>
      </c>
      <c r="HG23" s="17" t="s">
        <v>870</v>
      </c>
      <c r="HH23" s="17" t="s">
        <v>870</v>
      </c>
      <c r="HI23" s="17" t="s">
        <v>870</v>
      </c>
      <c r="HJ23" s="17" t="s">
        <v>870</v>
      </c>
      <c r="HK23" s="17" t="s">
        <v>870</v>
      </c>
      <c r="HL23" s="17" t="s">
        <v>870</v>
      </c>
      <c r="HM23" s="17" t="s">
        <v>870</v>
      </c>
      <c r="HN23" s="17" t="s">
        <v>870</v>
      </c>
      <c r="HO23" s="17" t="s">
        <v>870</v>
      </c>
      <c r="HP23" s="17" t="s">
        <v>870</v>
      </c>
      <c r="HQ23" s="17" t="s">
        <v>870</v>
      </c>
      <c r="HR23" s="17" t="s">
        <v>870</v>
      </c>
      <c r="HS23" s="17" t="s">
        <v>870</v>
      </c>
      <c r="HT23" s="17" t="s">
        <v>870</v>
      </c>
      <c r="HU23" s="17" t="s">
        <v>870</v>
      </c>
      <c r="HV23" s="17" t="s">
        <v>870</v>
      </c>
      <c r="HW23" s="17" t="s">
        <v>870</v>
      </c>
      <c r="HX23" s="17" t="s">
        <v>870</v>
      </c>
      <c r="HY23" s="17" t="s">
        <v>870</v>
      </c>
      <c r="HZ23" s="17" t="s">
        <v>870</v>
      </c>
      <c r="IA23" s="17" t="s">
        <v>870</v>
      </c>
      <c r="IB23" s="17" t="s">
        <v>870</v>
      </c>
      <c r="IC23" s="17" t="s">
        <v>870</v>
      </c>
      <c r="ID23" s="17" t="s">
        <v>870</v>
      </c>
      <c r="IE23" s="17" t="s">
        <v>870</v>
      </c>
      <c r="IF23" s="17" t="s">
        <v>870</v>
      </c>
      <c r="IG23" s="17" t="s">
        <v>870</v>
      </c>
      <c r="IH23" s="17" t="s">
        <v>870</v>
      </c>
      <c r="II23" s="17" t="s">
        <v>870</v>
      </c>
      <c r="IJ23" s="17" t="s">
        <v>870</v>
      </c>
      <c r="IK23" s="17" t="s">
        <v>870</v>
      </c>
      <c r="IL23" s="17" t="s">
        <v>870</v>
      </c>
      <c r="IM23" s="17" t="s">
        <v>870</v>
      </c>
      <c r="IN23" s="17" t="s">
        <v>870</v>
      </c>
      <c r="IO23" s="17" t="s">
        <v>870</v>
      </c>
      <c r="IP23" s="17" t="s">
        <v>870</v>
      </c>
      <c r="IQ23" s="17" t="s">
        <v>870</v>
      </c>
      <c r="IR23" s="17" t="s">
        <v>870</v>
      </c>
      <c r="IS23" s="17" t="s">
        <v>870</v>
      </c>
      <c r="IT23" s="17" t="s">
        <v>870</v>
      </c>
      <c r="IU23" s="17" t="s">
        <v>870</v>
      </c>
      <c r="IV23" s="17" t="s">
        <v>870</v>
      </c>
      <c r="IW23" s="17" t="s">
        <v>870</v>
      </c>
      <c r="IX23" s="17" t="s">
        <v>870</v>
      </c>
      <c r="IY23" s="17" t="s">
        <v>870</v>
      </c>
      <c r="IZ23" s="17" t="s">
        <v>870</v>
      </c>
      <c r="JA23" s="17" t="s">
        <v>870</v>
      </c>
      <c r="JB23" s="17" t="s">
        <v>870</v>
      </c>
      <c r="JC23" s="17" t="s">
        <v>870</v>
      </c>
      <c r="JD23" s="17" t="s">
        <v>870</v>
      </c>
      <c r="JE23" s="17" t="s">
        <v>870</v>
      </c>
      <c r="JF23" s="17" t="s">
        <v>870</v>
      </c>
      <c r="JG23" s="17" t="s">
        <v>870</v>
      </c>
      <c r="JH23" s="17" t="s">
        <v>870</v>
      </c>
      <c r="JI23" s="17" t="s">
        <v>870</v>
      </c>
      <c r="JJ23" s="17" t="s">
        <v>870</v>
      </c>
      <c r="JK23" s="17" t="s">
        <v>870</v>
      </c>
      <c r="JL23" s="17" t="s">
        <v>870</v>
      </c>
      <c r="JM23" s="17" t="s">
        <v>870</v>
      </c>
      <c r="JN23" s="17" t="s">
        <v>870</v>
      </c>
      <c r="JO23" s="17" t="s">
        <v>870</v>
      </c>
      <c r="JP23" s="17" t="s">
        <v>870</v>
      </c>
      <c r="JQ23" s="17" t="s">
        <v>870</v>
      </c>
      <c r="JR23" s="17" t="s">
        <v>870</v>
      </c>
      <c r="JS23" s="17" t="s">
        <v>870</v>
      </c>
      <c r="JT23" s="17" t="s">
        <v>870</v>
      </c>
    </row>
    <row r="24" spans="1:280" x14ac:dyDescent="0.25">
      <c r="A24" t="s">
        <v>75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2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63"/>
      <c r="BL24" s="63"/>
      <c r="BM24" s="63"/>
      <c r="BN24" s="63"/>
      <c r="BO24" s="63"/>
      <c r="BP24" s="63"/>
      <c r="BQ24" s="63"/>
      <c r="BR24" s="63"/>
      <c r="BS24" s="63"/>
      <c r="BT24" s="63"/>
      <c r="BU24" s="63"/>
      <c r="BV24" s="63"/>
      <c r="BW24" s="63"/>
      <c r="BX24" s="63"/>
      <c r="BY24" s="63"/>
      <c r="BZ24" s="17" t="s">
        <v>870</v>
      </c>
      <c r="CA24" s="17" t="s">
        <v>870</v>
      </c>
      <c r="CB24" s="17" t="s">
        <v>870</v>
      </c>
      <c r="CC24" s="17" t="s">
        <v>870</v>
      </c>
      <c r="CD24" s="63"/>
      <c r="CE24" s="63"/>
      <c r="CF24" s="63"/>
      <c r="CG24" s="63"/>
      <c r="CH24" s="63"/>
      <c r="CI24" s="63"/>
      <c r="CJ24" s="63"/>
      <c r="CK24" s="62"/>
      <c r="CL24" s="63"/>
      <c r="CM24" s="63"/>
      <c r="CN24" s="63"/>
      <c r="CO24" s="63"/>
      <c r="CP24" s="63"/>
      <c r="CQ24" s="62"/>
      <c r="CR24" s="63"/>
      <c r="CS24" s="63"/>
      <c r="CT24" s="63"/>
      <c r="CU24" s="63"/>
      <c r="CV24" s="17" t="s">
        <v>870</v>
      </c>
      <c r="CW24" s="17" t="s">
        <v>870</v>
      </c>
      <c r="CX24" s="17" t="s">
        <v>870</v>
      </c>
      <c r="CY24" s="17" t="s">
        <v>870</v>
      </c>
      <c r="CZ24" s="63"/>
      <c r="DA24" s="63"/>
      <c r="DB24" s="63"/>
      <c r="DC24" s="63"/>
      <c r="DD24" s="63"/>
      <c r="DE24" s="63"/>
      <c r="DF24" s="63"/>
      <c r="DG24" s="63"/>
      <c r="DH24" s="17" t="s">
        <v>870</v>
      </c>
      <c r="DI24" s="17" t="s">
        <v>870</v>
      </c>
      <c r="DJ24" s="63"/>
      <c r="DK24" s="63"/>
      <c r="DL24" s="63"/>
      <c r="DM24" s="63"/>
      <c r="DN24" s="63"/>
      <c r="DO24" s="63"/>
      <c r="DP24" s="17" t="s">
        <v>870</v>
      </c>
      <c r="DQ24" s="17" t="s">
        <v>870</v>
      </c>
      <c r="DR24" s="62"/>
      <c r="DS24" s="63"/>
      <c r="DT24" s="63"/>
      <c r="DU24" s="63"/>
      <c r="DV24" s="63"/>
      <c r="DW24" s="63"/>
      <c r="DX24" s="63"/>
      <c r="DY24" s="63"/>
      <c r="DZ24" s="63"/>
      <c r="EA24" s="63"/>
      <c r="EB24" s="63"/>
      <c r="EC24" s="63"/>
      <c r="ED24" s="62"/>
      <c r="EE24" s="63"/>
      <c r="EF24" s="63"/>
      <c r="EG24" s="63"/>
      <c r="EH24" s="63"/>
      <c r="EI24" s="63"/>
      <c r="EJ24" s="63"/>
      <c r="EK24" s="63"/>
      <c r="EL24" s="17" t="s">
        <v>870</v>
      </c>
      <c r="EM24" s="17" t="s">
        <v>870</v>
      </c>
      <c r="EN24" s="17" t="s">
        <v>870</v>
      </c>
      <c r="EO24" s="17" t="s">
        <v>870</v>
      </c>
      <c r="EP24" s="63"/>
      <c r="EQ24" s="63"/>
      <c r="ER24" s="63"/>
      <c r="ES24" s="63"/>
      <c r="ET24" s="63"/>
      <c r="EU24" s="63"/>
      <c r="EV24" s="62"/>
      <c r="EW24" s="63"/>
      <c r="EX24" s="63"/>
      <c r="EY24" s="63"/>
      <c r="EZ24" s="63"/>
      <c r="FA24" s="63"/>
      <c r="FB24" s="63"/>
      <c r="FC24" s="63"/>
      <c r="FD24" s="63"/>
      <c r="FE24" s="63"/>
      <c r="FF24" s="63"/>
      <c r="FG24" s="63"/>
      <c r="FH24" s="63"/>
      <c r="FI24" s="63"/>
      <c r="FJ24" s="63"/>
      <c r="FK24" s="63"/>
      <c r="FL24" s="63"/>
      <c r="FM24" s="63"/>
      <c r="FN24" s="63"/>
      <c r="FO24" s="63"/>
      <c r="FP24" s="63"/>
      <c r="FQ24" s="63"/>
      <c r="FR24" s="63"/>
      <c r="FS24" s="63"/>
      <c r="FT24" s="63"/>
      <c r="FU24" s="63"/>
      <c r="FV24" s="63"/>
      <c r="FW24" s="63"/>
      <c r="FX24" s="17" t="s">
        <v>870</v>
      </c>
      <c r="FY24" s="17" t="s">
        <v>870</v>
      </c>
      <c r="FZ24" s="17" t="s">
        <v>870</v>
      </c>
      <c r="GA24" s="17" t="s">
        <v>870</v>
      </c>
      <c r="GB24" s="63"/>
      <c r="GC24" s="63"/>
      <c r="GD24" s="63"/>
      <c r="GE24" s="63"/>
      <c r="GF24" s="63"/>
      <c r="GG24" s="63"/>
      <c r="GH24" s="63"/>
      <c r="GI24" s="63"/>
      <c r="GJ24" s="63"/>
      <c r="GK24" s="63"/>
      <c r="GL24" s="63"/>
      <c r="GM24" s="63"/>
      <c r="GN24" s="63"/>
      <c r="GO24" s="17" t="s">
        <v>870</v>
      </c>
      <c r="GP24" s="17" t="s">
        <v>870</v>
      </c>
      <c r="GQ24" s="63"/>
      <c r="GR24" s="63"/>
      <c r="GS24" s="63"/>
      <c r="GT24" s="63"/>
      <c r="GU24" s="63"/>
      <c r="GV24" s="63"/>
      <c r="GW24" s="63"/>
      <c r="GX24" s="63"/>
      <c r="GY24" s="63"/>
      <c r="GZ24" s="63"/>
      <c r="HA24" s="63"/>
      <c r="HB24" s="63"/>
      <c r="HC24" s="63"/>
      <c r="HD24" s="63"/>
      <c r="HE24" s="63"/>
      <c r="HF24" s="63"/>
      <c r="HG24" s="63"/>
      <c r="HH24" s="63"/>
      <c r="HI24" s="63"/>
      <c r="HJ24" s="17" t="s">
        <v>870</v>
      </c>
      <c r="HK24" s="63"/>
      <c r="HL24" s="63"/>
      <c r="HM24" s="17" t="s">
        <v>870</v>
      </c>
      <c r="HN24" s="17" t="s">
        <v>870</v>
      </c>
      <c r="HO24" s="63"/>
      <c r="HP24" s="63"/>
      <c r="HQ24" s="17" t="s">
        <v>870</v>
      </c>
      <c r="HR24" s="17" t="s">
        <v>870</v>
      </c>
      <c r="HS24" s="17" t="s">
        <v>870</v>
      </c>
      <c r="HT24" s="17" t="s">
        <v>870</v>
      </c>
      <c r="HU24" s="63"/>
      <c r="HV24" s="63"/>
      <c r="HW24" s="63"/>
      <c r="HX24" s="63"/>
      <c r="HY24" s="63"/>
      <c r="HZ24" s="63"/>
      <c r="IA24" s="63"/>
      <c r="IB24" s="63"/>
      <c r="IC24" s="63"/>
      <c r="ID24" s="63"/>
      <c r="IE24" s="63"/>
      <c r="IF24" s="63"/>
      <c r="IG24" s="63"/>
      <c r="IH24" s="63"/>
      <c r="II24" s="63"/>
      <c r="IJ24" s="63"/>
      <c r="IK24" s="63"/>
      <c r="IL24" s="63"/>
      <c r="IM24" s="63"/>
      <c r="IN24" s="63"/>
      <c r="IO24" s="62"/>
      <c r="IP24" s="17" t="s">
        <v>870</v>
      </c>
      <c r="IQ24" s="63"/>
      <c r="IR24" s="63"/>
      <c r="IS24" s="63"/>
      <c r="IT24" s="63"/>
      <c r="IU24" s="17" t="s">
        <v>870</v>
      </c>
      <c r="IV24" s="17" t="s">
        <v>870</v>
      </c>
      <c r="IW24" s="63"/>
      <c r="IX24" s="63"/>
      <c r="IY24" s="63"/>
      <c r="IZ24" s="63"/>
      <c r="JA24" s="17" t="s">
        <v>870</v>
      </c>
      <c r="JB24" s="17" t="s">
        <v>870</v>
      </c>
      <c r="JC24" s="63"/>
      <c r="JD24" s="63"/>
      <c r="JE24" s="17" t="s">
        <v>870</v>
      </c>
      <c r="JF24" s="17" t="s">
        <v>870</v>
      </c>
      <c r="JG24" s="63"/>
      <c r="JH24" s="63"/>
      <c r="JI24" s="63"/>
      <c r="JJ24" s="63"/>
      <c r="JK24" s="62"/>
      <c r="JL24" s="63"/>
      <c r="JM24" s="63"/>
      <c r="JN24" s="63"/>
      <c r="JO24" s="17" t="s">
        <v>870</v>
      </c>
      <c r="JP24" s="17" t="s">
        <v>870</v>
      </c>
      <c r="JQ24" s="17" t="s">
        <v>870</v>
      </c>
      <c r="JR24" s="17" t="s">
        <v>870</v>
      </c>
      <c r="JS24" s="63"/>
      <c r="JT24" s="63"/>
    </row>
    <row r="25" spans="1:280" x14ac:dyDescent="0.25">
      <c r="A25" t="s">
        <v>20</v>
      </c>
      <c r="B25" s="17" t="s">
        <v>870</v>
      </c>
      <c r="C25" s="17" t="s">
        <v>870</v>
      </c>
      <c r="D25" s="17" t="s">
        <v>870</v>
      </c>
      <c r="E25" s="17" t="s">
        <v>870</v>
      </c>
      <c r="F25" s="17" t="s">
        <v>870</v>
      </c>
      <c r="G25" s="17" t="s">
        <v>870</v>
      </c>
      <c r="H25" s="17" t="s">
        <v>870</v>
      </c>
      <c r="I25" s="17" t="s">
        <v>870</v>
      </c>
      <c r="J25" s="17" t="s">
        <v>870</v>
      </c>
      <c r="K25" s="17" t="s">
        <v>870</v>
      </c>
      <c r="L25" s="17" t="s">
        <v>870</v>
      </c>
      <c r="M25" s="17" t="s">
        <v>870</v>
      </c>
      <c r="N25" s="17" t="s">
        <v>870</v>
      </c>
      <c r="O25" s="17" t="s">
        <v>870</v>
      </c>
      <c r="P25" s="17" t="s">
        <v>870</v>
      </c>
      <c r="Q25" s="17" t="s">
        <v>870</v>
      </c>
      <c r="R25" s="17" t="s">
        <v>870</v>
      </c>
      <c r="S25" s="17" t="s">
        <v>870</v>
      </c>
      <c r="T25" s="62"/>
      <c r="U25" s="61" t="s">
        <v>2</v>
      </c>
      <c r="V25" s="17" t="s">
        <v>870</v>
      </c>
      <c r="W25" s="17" t="s">
        <v>870</v>
      </c>
      <c r="X25" s="17" t="s">
        <v>870</v>
      </c>
      <c r="Y25" s="17" t="s">
        <v>870</v>
      </c>
      <c r="Z25" s="17" t="s">
        <v>870</v>
      </c>
      <c r="AA25" s="17" t="s">
        <v>870</v>
      </c>
      <c r="AB25" s="17" t="s">
        <v>870</v>
      </c>
      <c r="AC25" s="17" t="s">
        <v>870</v>
      </c>
      <c r="AD25" s="17" t="s">
        <v>870</v>
      </c>
      <c r="AE25" s="17" t="s">
        <v>870</v>
      </c>
      <c r="AF25" s="17" t="s">
        <v>870</v>
      </c>
      <c r="AG25" s="17" t="s">
        <v>870</v>
      </c>
      <c r="AH25" s="17" t="s">
        <v>870</v>
      </c>
      <c r="AI25" s="17" t="s">
        <v>870</v>
      </c>
      <c r="AJ25" s="17" t="s">
        <v>870</v>
      </c>
      <c r="AK25" s="17" t="s">
        <v>870</v>
      </c>
      <c r="AL25" s="17" t="s">
        <v>870</v>
      </c>
      <c r="AM25" s="17" t="s">
        <v>870</v>
      </c>
      <c r="AN25" s="17" t="s">
        <v>870</v>
      </c>
      <c r="AO25" s="17" t="s">
        <v>870</v>
      </c>
      <c r="AP25" s="17" t="s">
        <v>870</v>
      </c>
      <c r="AQ25" s="17" t="s">
        <v>870</v>
      </c>
      <c r="AR25" s="17" t="s">
        <v>870</v>
      </c>
      <c r="AS25" s="17" t="s">
        <v>870</v>
      </c>
      <c r="AT25" s="17" t="s">
        <v>870</v>
      </c>
      <c r="AU25" s="17" t="s">
        <v>870</v>
      </c>
      <c r="AV25" s="17" t="s">
        <v>870</v>
      </c>
      <c r="AW25" s="17" t="s">
        <v>870</v>
      </c>
      <c r="AX25" s="17" t="s">
        <v>870</v>
      </c>
      <c r="AY25" s="17" t="s">
        <v>870</v>
      </c>
      <c r="AZ25" s="17" t="s">
        <v>870</v>
      </c>
      <c r="BA25" s="17" t="s">
        <v>870</v>
      </c>
      <c r="BB25" s="17" t="s">
        <v>870</v>
      </c>
      <c r="BC25" s="17" t="s">
        <v>870</v>
      </c>
      <c r="BD25" s="17" t="s">
        <v>870</v>
      </c>
      <c r="BE25" s="17" t="s">
        <v>870</v>
      </c>
      <c r="BF25" s="17" t="s">
        <v>870</v>
      </c>
      <c r="BG25" s="17" t="s">
        <v>870</v>
      </c>
      <c r="BH25" s="17" t="s">
        <v>870</v>
      </c>
      <c r="BI25" s="17" t="s">
        <v>870</v>
      </c>
      <c r="BJ25" s="17" t="s">
        <v>870</v>
      </c>
      <c r="BK25" s="17" t="s">
        <v>870</v>
      </c>
      <c r="BL25" s="17" t="s">
        <v>870</v>
      </c>
      <c r="BM25" s="17" t="s">
        <v>870</v>
      </c>
      <c r="BN25" s="17" t="s">
        <v>870</v>
      </c>
      <c r="BO25" s="17" t="s">
        <v>870</v>
      </c>
      <c r="BP25" s="17" t="s">
        <v>870</v>
      </c>
      <c r="BQ25" s="17" t="s">
        <v>870</v>
      </c>
      <c r="BR25" s="17" t="s">
        <v>870</v>
      </c>
      <c r="BS25" s="17" t="s">
        <v>870</v>
      </c>
      <c r="BT25" s="17" t="s">
        <v>870</v>
      </c>
      <c r="BU25" s="17" t="s">
        <v>870</v>
      </c>
      <c r="BV25" s="17" t="s">
        <v>870</v>
      </c>
      <c r="BW25" s="17" t="s">
        <v>870</v>
      </c>
      <c r="BX25" s="63"/>
      <c r="BY25" s="63"/>
      <c r="BZ25" s="62"/>
      <c r="CA25" s="63"/>
      <c r="CB25" s="17" t="s">
        <v>870</v>
      </c>
      <c r="CC25" s="17" t="s">
        <v>870</v>
      </c>
      <c r="CD25" s="61" t="s">
        <v>2</v>
      </c>
      <c r="CE25" s="63"/>
      <c r="CF25" s="17" t="s">
        <v>870</v>
      </c>
      <c r="CG25" s="17" t="s">
        <v>870</v>
      </c>
      <c r="CH25" s="17" t="s">
        <v>870</v>
      </c>
      <c r="CI25" s="17" t="s">
        <v>870</v>
      </c>
      <c r="CJ25" s="17" t="s">
        <v>870</v>
      </c>
      <c r="CK25" s="61" t="s">
        <v>2</v>
      </c>
      <c r="CL25" s="17" t="s">
        <v>870</v>
      </c>
      <c r="CM25" s="17" t="s">
        <v>870</v>
      </c>
      <c r="CN25" s="63"/>
      <c r="CO25" s="63"/>
      <c r="CP25" s="17" t="s">
        <v>870</v>
      </c>
      <c r="CQ25" s="17" t="s">
        <v>870</v>
      </c>
      <c r="CR25" s="17" t="s">
        <v>870</v>
      </c>
      <c r="CS25" s="63"/>
      <c r="CT25" s="17" t="s">
        <v>870</v>
      </c>
      <c r="CU25" s="17" t="s">
        <v>870</v>
      </c>
      <c r="CV25" s="17" t="s">
        <v>870</v>
      </c>
      <c r="CW25" s="17" t="s">
        <v>870</v>
      </c>
      <c r="CX25" s="17" t="s">
        <v>870</v>
      </c>
      <c r="CY25" s="17" t="s">
        <v>870</v>
      </c>
      <c r="CZ25" s="17" t="s">
        <v>870</v>
      </c>
      <c r="DA25" s="17" t="s">
        <v>870</v>
      </c>
      <c r="DB25" s="17" t="s">
        <v>870</v>
      </c>
      <c r="DC25" s="17" t="s">
        <v>870</v>
      </c>
      <c r="DD25" s="17" t="s">
        <v>870</v>
      </c>
      <c r="DE25" s="17" t="s">
        <v>870</v>
      </c>
      <c r="DF25" s="17" t="s">
        <v>870</v>
      </c>
      <c r="DG25" s="17" t="s">
        <v>870</v>
      </c>
      <c r="DH25" s="17" t="s">
        <v>870</v>
      </c>
      <c r="DI25" s="17" t="s">
        <v>870</v>
      </c>
      <c r="DJ25" s="17" t="s">
        <v>870</v>
      </c>
      <c r="DK25" s="17" t="s">
        <v>870</v>
      </c>
      <c r="DL25" s="17" t="s">
        <v>870</v>
      </c>
      <c r="DM25" s="17" t="s">
        <v>870</v>
      </c>
      <c r="DN25" s="17" t="s">
        <v>870</v>
      </c>
      <c r="DO25" s="17" t="s">
        <v>870</v>
      </c>
      <c r="DP25" s="17" t="s">
        <v>870</v>
      </c>
      <c r="DQ25" s="17" t="s">
        <v>870</v>
      </c>
      <c r="DR25" s="17" t="s">
        <v>870</v>
      </c>
      <c r="DS25" s="17" t="s">
        <v>870</v>
      </c>
      <c r="DT25" s="17" t="s">
        <v>870</v>
      </c>
      <c r="DU25" s="17" t="s">
        <v>870</v>
      </c>
      <c r="DV25" s="17" t="s">
        <v>870</v>
      </c>
      <c r="DW25" s="17" t="s">
        <v>870</v>
      </c>
      <c r="DX25" s="17" t="s">
        <v>870</v>
      </c>
      <c r="DY25" s="17" t="s">
        <v>870</v>
      </c>
      <c r="DZ25" s="17" t="s">
        <v>870</v>
      </c>
      <c r="EA25" s="17" t="s">
        <v>870</v>
      </c>
      <c r="EB25" s="63"/>
      <c r="EC25" s="63"/>
      <c r="ED25" s="63"/>
      <c r="EE25" s="63"/>
      <c r="EF25" s="17" t="s">
        <v>870</v>
      </c>
      <c r="EG25" s="17" t="s">
        <v>870</v>
      </c>
      <c r="EH25" s="17" t="s">
        <v>870</v>
      </c>
      <c r="EI25" s="17" t="s">
        <v>870</v>
      </c>
      <c r="EJ25" s="17" t="s">
        <v>870</v>
      </c>
      <c r="EK25" s="17" t="s">
        <v>870</v>
      </c>
      <c r="EL25" s="17" t="s">
        <v>870</v>
      </c>
      <c r="EM25" s="17" t="s">
        <v>870</v>
      </c>
      <c r="EN25" s="17" t="s">
        <v>870</v>
      </c>
      <c r="EO25" s="17" t="s">
        <v>870</v>
      </c>
      <c r="EP25" s="17" t="s">
        <v>870</v>
      </c>
      <c r="EQ25" s="17" t="s">
        <v>870</v>
      </c>
      <c r="ER25" s="17" t="s">
        <v>870</v>
      </c>
      <c r="ES25" s="17" t="s">
        <v>870</v>
      </c>
      <c r="ET25" s="17" t="s">
        <v>870</v>
      </c>
      <c r="EU25" s="17" t="s">
        <v>870</v>
      </c>
      <c r="EV25" s="17" t="s">
        <v>870</v>
      </c>
      <c r="EW25" s="17" t="s">
        <v>870</v>
      </c>
      <c r="EX25" s="17" t="s">
        <v>870</v>
      </c>
      <c r="EY25" s="17" t="s">
        <v>870</v>
      </c>
      <c r="EZ25" s="17" t="s">
        <v>870</v>
      </c>
      <c r="FA25" s="17" t="s">
        <v>870</v>
      </c>
      <c r="FB25" s="17" t="s">
        <v>870</v>
      </c>
      <c r="FC25" s="17" t="s">
        <v>870</v>
      </c>
      <c r="FD25" s="17" t="s">
        <v>870</v>
      </c>
      <c r="FE25" s="17" t="s">
        <v>870</v>
      </c>
      <c r="FF25" s="17" t="s">
        <v>870</v>
      </c>
      <c r="FG25" s="17" t="s">
        <v>870</v>
      </c>
      <c r="FH25" s="17" t="s">
        <v>870</v>
      </c>
      <c r="FI25" s="17" t="s">
        <v>870</v>
      </c>
      <c r="FJ25" s="17" t="s">
        <v>870</v>
      </c>
      <c r="FK25" s="17" t="s">
        <v>870</v>
      </c>
      <c r="FL25" s="17" t="s">
        <v>870</v>
      </c>
      <c r="FM25" s="17" t="s">
        <v>870</v>
      </c>
      <c r="FN25" s="17" t="s">
        <v>870</v>
      </c>
      <c r="FO25" s="17" t="s">
        <v>870</v>
      </c>
      <c r="FP25" s="17" t="s">
        <v>870</v>
      </c>
      <c r="FQ25" s="17" t="s">
        <v>870</v>
      </c>
      <c r="FR25" s="17" t="s">
        <v>870</v>
      </c>
      <c r="FS25" s="17" t="s">
        <v>870</v>
      </c>
      <c r="FT25" s="17" t="s">
        <v>870</v>
      </c>
      <c r="FU25" s="17" t="s">
        <v>870</v>
      </c>
      <c r="FV25" s="17" t="s">
        <v>870</v>
      </c>
      <c r="FW25" s="17" t="s">
        <v>870</v>
      </c>
      <c r="FX25" s="17" t="s">
        <v>870</v>
      </c>
      <c r="FY25" s="17" t="s">
        <v>870</v>
      </c>
      <c r="FZ25" s="17" t="s">
        <v>870</v>
      </c>
      <c r="GA25" s="17" t="s">
        <v>870</v>
      </c>
      <c r="GB25" s="17" t="s">
        <v>870</v>
      </c>
      <c r="GC25" s="17" t="s">
        <v>870</v>
      </c>
      <c r="GD25" s="17" t="s">
        <v>870</v>
      </c>
      <c r="GE25" s="17" t="s">
        <v>870</v>
      </c>
      <c r="GF25" s="17" t="s">
        <v>870</v>
      </c>
      <c r="GG25" s="17" t="s">
        <v>870</v>
      </c>
      <c r="GH25" s="17" t="s">
        <v>870</v>
      </c>
      <c r="GI25" s="17" t="s">
        <v>870</v>
      </c>
      <c r="GJ25" s="17" t="s">
        <v>870</v>
      </c>
      <c r="GK25" s="17" t="s">
        <v>870</v>
      </c>
      <c r="GL25" s="17" t="s">
        <v>870</v>
      </c>
      <c r="GM25" s="17" t="s">
        <v>870</v>
      </c>
      <c r="GN25" s="17" t="s">
        <v>870</v>
      </c>
      <c r="GO25" s="17" t="s">
        <v>870</v>
      </c>
      <c r="GP25" s="17" t="s">
        <v>870</v>
      </c>
      <c r="GQ25" s="17" t="s">
        <v>870</v>
      </c>
      <c r="GR25" s="17" t="s">
        <v>870</v>
      </c>
      <c r="GS25" s="17" t="s">
        <v>870</v>
      </c>
      <c r="GT25" s="17" t="s">
        <v>870</v>
      </c>
      <c r="GU25" s="17" t="s">
        <v>870</v>
      </c>
      <c r="GV25" s="17" t="s">
        <v>870</v>
      </c>
      <c r="GW25" s="17" t="s">
        <v>870</v>
      </c>
      <c r="GX25" s="17" t="s">
        <v>870</v>
      </c>
      <c r="GY25" s="17" t="s">
        <v>870</v>
      </c>
      <c r="GZ25" s="17" t="s">
        <v>870</v>
      </c>
      <c r="HA25" s="17" t="s">
        <v>870</v>
      </c>
      <c r="HB25" s="17" t="s">
        <v>870</v>
      </c>
      <c r="HC25" s="17" t="s">
        <v>870</v>
      </c>
      <c r="HD25" s="17" t="s">
        <v>870</v>
      </c>
      <c r="HE25" s="17" t="s">
        <v>870</v>
      </c>
      <c r="HF25" s="17" t="s">
        <v>870</v>
      </c>
      <c r="HG25" s="17" t="s">
        <v>870</v>
      </c>
      <c r="HH25" s="17" t="s">
        <v>870</v>
      </c>
      <c r="HI25" s="17" t="s">
        <v>870</v>
      </c>
      <c r="HJ25" s="17" t="s">
        <v>870</v>
      </c>
      <c r="HK25" s="17" t="s">
        <v>870</v>
      </c>
      <c r="HL25" s="17" t="s">
        <v>870</v>
      </c>
      <c r="HM25" s="17" t="s">
        <v>870</v>
      </c>
      <c r="HN25" s="17" t="s">
        <v>870</v>
      </c>
      <c r="HO25" s="17" t="s">
        <v>870</v>
      </c>
      <c r="HP25" s="17" t="s">
        <v>870</v>
      </c>
      <c r="HQ25" s="17" t="s">
        <v>870</v>
      </c>
      <c r="HR25" s="17" t="s">
        <v>870</v>
      </c>
      <c r="HS25" s="17" t="s">
        <v>870</v>
      </c>
      <c r="HT25" s="17" t="s">
        <v>870</v>
      </c>
      <c r="HU25" s="17" t="s">
        <v>870</v>
      </c>
      <c r="HV25" s="17" t="s">
        <v>870</v>
      </c>
      <c r="HW25" s="17" t="s">
        <v>870</v>
      </c>
      <c r="HX25" s="17" t="s">
        <v>870</v>
      </c>
      <c r="HY25" s="17" t="s">
        <v>870</v>
      </c>
      <c r="HZ25" s="17" t="s">
        <v>870</v>
      </c>
      <c r="IA25" s="17" t="s">
        <v>870</v>
      </c>
      <c r="IB25" s="17" t="s">
        <v>870</v>
      </c>
      <c r="IC25" s="17" t="s">
        <v>870</v>
      </c>
      <c r="ID25" s="17" t="s">
        <v>870</v>
      </c>
      <c r="IE25" s="17" t="s">
        <v>870</v>
      </c>
      <c r="IF25" s="17" t="s">
        <v>870</v>
      </c>
      <c r="IG25" s="17" t="s">
        <v>870</v>
      </c>
      <c r="IH25" s="17" t="s">
        <v>870</v>
      </c>
      <c r="II25" s="17" t="s">
        <v>870</v>
      </c>
      <c r="IJ25" s="17" t="s">
        <v>870</v>
      </c>
      <c r="IK25" s="17" t="s">
        <v>870</v>
      </c>
      <c r="IL25" s="17" t="s">
        <v>870</v>
      </c>
      <c r="IM25" s="17" t="s">
        <v>870</v>
      </c>
      <c r="IN25" s="17" t="s">
        <v>870</v>
      </c>
      <c r="IO25" s="17" t="s">
        <v>870</v>
      </c>
      <c r="IP25" s="17" t="s">
        <v>870</v>
      </c>
      <c r="IQ25" s="17" t="s">
        <v>870</v>
      </c>
      <c r="IR25" s="17" t="s">
        <v>870</v>
      </c>
      <c r="IS25" s="17" t="s">
        <v>870</v>
      </c>
      <c r="IT25" s="17" t="s">
        <v>870</v>
      </c>
      <c r="IU25" s="17" t="s">
        <v>870</v>
      </c>
      <c r="IV25" s="17" t="s">
        <v>870</v>
      </c>
      <c r="IW25" s="17" t="s">
        <v>870</v>
      </c>
      <c r="IX25" s="17" t="s">
        <v>870</v>
      </c>
      <c r="IY25" s="17" t="s">
        <v>870</v>
      </c>
      <c r="IZ25" s="17" t="s">
        <v>870</v>
      </c>
      <c r="JA25" s="17" t="s">
        <v>870</v>
      </c>
      <c r="JB25" s="17" t="s">
        <v>870</v>
      </c>
      <c r="JC25" s="17" t="s">
        <v>870</v>
      </c>
      <c r="JD25" s="17" t="s">
        <v>870</v>
      </c>
      <c r="JE25" s="17" t="s">
        <v>870</v>
      </c>
      <c r="JF25" s="17" t="s">
        <v>870</v>
      </c>
      <c r="JG25" s="17" t="s">
        <v>870</v>
      </c>
      <c r="JH25" s="17" t="s">
        <v>870</v>
      </c>
      <c r="JI25" s="17" t="s">
        <v>870</v>
      </c>
      <c r="JJ25" s="17" t="s">
        <v>870</v>
      </c>
      <c r="JK25" s="17" t="s">
        <v>870</v>
      </c>
      <c r="JL25" s="17" t="s">
        <v>870</v>
      </c>
      <c r="JM25" s="17" t="s">
        <v>870</v>
      </c>
      <c r="JN25" s="17" t="s">
        <v>870</v>
      </c>
      <c r="JO25" s="17" t="s">
        <v>870</v>
      </c>
      <c r="JP25" s="17" t="s">
        <v>870</v>
      </c>
      <c r="JQ25" s="17" t="s">
        <v>870</v>
      </c>
      <c r="JR25" s="17" t="s">
        <v>870</v>
      </c>
      <c r="JS25" s="17" t="s">
        <v>870</v>
      </c>
      <c r="JT25" s="17" t="s">
        <v>870</v>
      </c>
    </row>
    <row r="26" spans="1:280" x14ac:dyDescent="0.25">
      <c r="A26" t="s">
        <v>24</v>
      </c>
      <c r="B26" s="62"/>
      <c r="C26" s="62"/>
      <c r="D26" s="63"/>
      <c r="E26" s="63"/>
      <c r="F26" s="61" t="s">
        <v>2</v>
      </c>
      <c r="G26" s="17" t="s">
        <v>870</v>
      </c>
      <c r="H26" s="17" t="s">
        <v>870</v>
      </c>
      <c r="I26" s="63"/>
      <c r="J26" s="61" t="s">
        <v>2</v>
      </c>
      <c r="K26" s="63"/>
      <c r="L26" s="63"/>
      <c r="M26" s="63"/>
      <c r="N26" s="61" t="s">
        <v>2</v>
      </c>
      <c r="O26" s="63"/>
      <c r="P26" s="63"/>
      <c r="Q26" s="63"/>
      <c r="R26" s="63"/>
      <c r="S26" s="63"/>
      <c r="T26" s="17" t="s">
        <v>870</v>
      </c>
      <c r="U26" s="17" t="s">
        <v>870</v>
      </c>
      <c r="V26" s="17" t="s">
        <v>870</v>
      </c>
      <c r="W26" s="17" t="s">
        <v>870</v>
      </c>
      <c r="X26" s="17" t="s">
        <v>870</v>
      </c>
      <c r="Y26" s="17" t="s">
        <v>870</v>
      </c>
      <c r="Z26" s="17" t="s">
        <v>870</v>
      </c>
      <c r="AA26" s="17" t="s">
        <v>870</v>
      </c>
      <c r="AB26" s="17" t="s">
        <v>870</v>
      </c>
      <c r="AC26" s="17" t="s">
        <v>870</v>
      </c>
      <c r="AD26" s="17" t="s">
        <v>870</v>
      </c>
      <c r="AE26" s="17" t="s">
        <v>870</v>
      </c>
      <c r="AF26" s="17" t="s">
        <v>870</v>
      </c>
      <c r="AG26" s="17" t="s">
        <v>870</v>
      </c>
      <c r="AH26" s="17" t="s">
        <v>870</v>
      </c>
      <c r="AI26" s="17" t="s">
        <v>870</v>
      </c>
      <c r="AJ26" s="17" t="s">
        <v>870</v>
      </c>
      <c r="AK26" s="17" t="s">
        <v>870</v>
      </c>
      <c r="AL26" s="17" t="s">
        <v>870</v>
      </c>
      <c r="AM26" s="17" t="s">
        <v>870</v>
      </c>
      <c r="AN26" s="17" t="s">
        <v>870</v>
      </c>
      <c r="AO26" s="17" t="s">
        <v>870</v>
      </c>
      <c r="AP26" s="17" t="s">
        <v>870</v>
      </c>
      <c r="AQ26" s="17" t="s">
        <v>870</v>
      </c>
      <c r="AR26" s="17" t="s">
        <v>870</v>
      </c>
      <c r="AS26" s="17" t="s">
        <v>870</v>
      </c>
      <c r="AT26" s="17" t="s">
        <v>870</v>
      </c>
      <c r="AU26" s="17" t="s">
        <v>870</v>
      </c>
      <c r="AV26" s="17" t="s">
        <v>870</v>
      </c>
      <c r="AW26" s="17" t="s">
        <v>870</v>
      </c>
      <c r="AX26" s="17" t="s">
        <v>870</v>
      </c>
      <c r="AY26" s="17" t="s">
        <v>870</v>
      </c>
      <c r="AZ26" s="17" t="s">
        <v>870</v>
      </c>
      <c r="BA26" s="17" t="s">
        <v>870</v>
      </c>
      <c r="BB26" s="17" t="s">
        <v>870</v>
      </c>
      <c r="BC26" s="17" t="s">
        <v>870</v>
      </c>
      <c r="BD26" s="17" t="s">
        <v>870</v>
      </c>
      <c r="BE26" s="17" t="s">
        <v>870</v>
      </c>
      <c r="BF26" s="17" t="s">
        <v>870</v>
      </c>
      <c r="BG26" s="17" t="s">
        <v>870</v>
      </c>
      <c r="BH26" s="17" t="s">
        <v>870</v>
      </c>
      <c r="BI26" s="17" t="s">
        <v>870</v>
      </c>
      <c r="BJ26" s="17" t="s">
        <v>870</v>
      </c>
      <c r="BK26" s="17" t="s">
        <v>870</v>
      </c>
      <c r="BL26" s="17" t="s">
        <v>870</v>
      </c>
      <c r="BM26" s="17" t="s">
        <v>870</v>
      </c>
      <c r="BN26" s="17" t="s">
        <v>870</v>
      </c>
      <c r="BO26" s="17" t="s">
        <v>870</v>
      </c>
      <c r="BP26" s="17" t="s">
        <v>870</v>
      </c>
      <c r="BQ26" s="17" t="s">
        <v>870</v>
      </c>
      <c r="BR26" s="17" t="s">
        <v>870</v>
      </c>
      <c r="BS26" s="17" t="s">
        <v>870</v>
      </c>
      <c r="BT26" s="17" t="s">
        <v>870</v>
      </c>
      <c r="BU26" s="17" t="s">
        <v>870</v>
      </c>
      <c r="BV26" s="17" t="s">
        <v>870</v>
      </c>
      <c r="BW26" s="17" t="s">
        <v>870</v>
      </c>
      <c r="BX26" s="17" t="s">
        <v>870</v>
      </c>
      <c r="BY26" s="17" t="s">
        <v>870</v>
      </c>
      <c r="BZ26" s="17" t="s">
        <v>870</v>
      </c>
      <c r="CA26" s="17" t="s">
        <v>870</v>
      </c>
      <c r="CB26" s="17" t="s">
        <v>870</v>
      </c>
      <c r="CC26" s="17" t="s">
        <v>870</v>
      </c>
      <c r="CD26" s="17" t="s">
        <v>870</v>
      </c>
      <c r="CE26" s="17" t="s">
        <v>870</v>
      </c>
      <c r="CF26" s="17" t="s">
        <v>870</v>
      </c>
      <c r="CG26" s="17" t="s">
        <v>870</v>
      </c>
      <c r="CH26" s="17" t="s">
        <v>870</v>
      </c>
      <c r="CI26" s="17" t="s">
        <v>870</v>
      </c>
      <c r="CJ26" s="17" t="s">
        <v>870</v>
      </c>
      <c r="CK26" s="17" t="s">
        <v>870</v>
      </c>
      <c r="CL26" s="17" t="s">
        <v>870</v>
      </c>
      <c r="CM26" s="17" t="s">
        <v>870</v>
      </c>
      <c r="CN26" s="17" t="s">
        <v>870</v>
      </c>
      <c r="CO26" s="17" t="s">
        <v>870</v>
      </c>
      <c r="CP26" s="17" t="s">
        <v>870</v>
      </c>
      <c r="CQ26" s="17" t="s">
        <v>870</v>
      </c>
      <c r="CR26" s="17" t="s">
        <v>870</v>
      </c>
      <c r="CS26" s="17" t="s">
        <v>870</v>
      </c>
      <c r="CT26" s="17" t="s">
        <v>870</v>
      </c>
      <c r="CU26" s="17" t="s">
        <v>870</v>
      </c>
      <c r="CV26" s="17" t="s">
        <v>870</v>
      </c>
      <c r="CW26" s="17" t="s">
        <v>870</v>
      </c>
      <c r="CX26" s="17" t="s">
        <v>870</v>
      </c>
      <c r="CY26" s="17" t="s">
        <v>870</v>
      </c>
      <c r="CZ26" s="17" t="s">
        <v>870</v>
      </c>
      <c r="DA26" s="17" t="s">
        <v>870</v>
      </c>
      <c r="DB26" s="17" t="s">
        <v>870</v>
      </c>
      <c r="DC26" s="17" t="s">
        <v>870</v>
      </c>
      <c r="DD26" s="17" t="s">
        <v>870</v>
      </c>
      <c r="DE26" s="17" t="s">
        <v>870</v>
      </c>
      <c r="DF26" s="17" t="s">
        <v>870</v>
      </c>
      <c r="DG26" s="17" t="s">
        <v>870</v>
      </c>
      <c r="DH26" s="17" t="s">
        <v>870</v>
      </c>
      <c r="DI26" s="17" t="s">
        <v>870</v>
      </c>
      <c r="DJ26" s="17" t="s">
        <v>870</v>
      </c>
      <c r="DK26" s="17" t="s">
        <v>870</v>
      </c>
      <c r="DL26" s="17" t="s">
        <v>870</v>
      </c>
      <c r="DM26" s="17" t="s">
        <v>870</v>
      </c>
      <c r="DN26" s="17" t="s">
        <v>870</v>
      </c>
      <c r="DO26" s="17" t="s">
        <v>870</v>
      </c>
      <c r="DP26" s="17" t="s">
        <v>870</v>
      </c>
      <c r="DQ26" s="17" t="s">
        <v>870</v>
      </c>
      <c r="DR26" s="17" t="s">
        <v>870</v>
      </c>
      <c r="DS26" s="17" t="s">
        <v>870</v>
      </c>
      <c r="DT26" s="17" t="s">
        <v>870</v>
      </c>
      <c r="DU26" s="17" t="s">
        <v>870</v>
      </c>
      <c r="DV26" s="17" t="s">
        <v>870</v>
      </c>
      <c r="DW26" s="17" t="s">
        <v>870</v>
      </c>
      <c r="DX26" s="17" t="s">
        <v>870</v>
      </c>
      <c r="DY26" s="17" t="s">
        <v>870</v>
      </c>
      <c r="DZ26" s="17" t="s">
        <v>870</v>
      </c>
      <c r="EA26" s="17" t="s">
        <v>870</v>
      </c>
      <c r="EB26" s="17" t="s">
        <v>870</v>
      </c>
      <c r="EC26" s="17" t="s">
        <v>870</v>
      </c>
      <c r="ED26" s="17" t="s">
        <v>870</v>
      </c>
      <c r="EE26" s="17" t="s">
        <v>870</v>
      </c>
      <c r="EF26" s="17" t="s">
        <v>870</v>
      </c>
      <c r="EG26" s="17" t="s">
        <v>870</v>
      </c>
      <c r="EH26" s="17" t="s">
        <v>870</v>
      </c>
      <c r="EI26" s="17" t="s">
        <v>870</v>
      </c>
      <c r="EJ26" s="17" t="s">
        <v>870</v>
      </c>
      <c r="EK26" s="17" t="s">
        <v>870</v>
      </c>
      <c r="EL26" s="17" t="s">
        <v>870</v>
      </c>
      <c r="EM26" s="17" t="s">
        <v>870</v>
      </c>
      <c r="EN26" s="17" t="s">
        <v>870</v>
      </c>
      <c r="EO26" s="17" t="s">
        <v>870</v>
      </c>
      <c r="EP26" s="17" t="s">
        <v>870</v>
      </c>
      <c r="EQ26" s="17" t="s">
        <v>870</v>
      </c>
      <c r="ER26" s="17" t="s">
        <v>870</v>
      </c>
      <c r="ES26" s="17" t="s">
        <v>870</v>
      </c>
      <c r="ET26" s="17" t="s">
        <v>870</v>
      </c>
      <c r="EU26" s="17" t="s">
        <v>870</v>
      </c>
      <c r="EV26" s="17" t="s">
        <v>870</v>
      </c>
      <c r="EW26" s="17" t="s">
        <v>870</v>
      </c>
      <c r="EX26" s="17" t="s">
        <v>870</v>
      </c>
      <c r="EY26" s="17" t="s">
        <v>870</v>
      </c>
      <c r="EZ26" s="17" t="s">
        <v>870</v>
      </c>
      <c r="FA26" s="17" t="s">
        <v>870</v>
      </c>
      <c r="FB26" s="17" t="s">
        <v>870</v>
      </c>
      <c r="FC26" s="17" t="s">
        <v>870</v>
      </c>
      <c r="FD26" s="17" t="s">
        <v>870</v>
      </c>
      <c r="FE26" s="17" t="s">
        <v>870</v>
      </c>
      <c r="FF26" s="17" t="s">
        <v>870</v>
      </c>
      <c r="FG26" s="17" t="s">
        <v>870</v>
      </c>
      <c r="FH26" s="17" t="s">
        <v>870</v>
      </c>
      <c r="FI26" s="17" t="s">
        <v>870</v>
      </c>
      <c r="FJ26" s="17" t="s">
        <v>870</v>
      </c>
      <c r="FK26" s="17" t="s">
        <v>870</v>
      </c>
      <c r="FL26" s="17" t="s">
        <v>870</v>
      </c>
      <c r="FM26" s="17" t="s">
        <v>870</v>
      </c>
      <c r="FN26" s="17" t="s">
        <v>870</v>
      </c>
      <c r="FO26" s="17" t="s">
        <v>870</v>
      </c>
      <c r="FP26" s="17" t="s">
        <v>870</v>
      </c>
      <c r="FQ26" s="17" t="s">
        <v>870</v>
      </c>
      <c r="FR26" s="17" t="s">
        <v>870</v>
      </c>
      <c r="FS26" s="17" t="s">
        <v>870</v>
      </c>
      <c r="FT26" s="17" t="s">
        <v>870</v>
      </c>
      <c r="FU26" s="17" t="s">
        <v>870</v>
      </c>
      <c r="FV26" s="17" t="s">
        <v>870</v>
      </c>
      <c r="FW26" s="17" t="s">
        <v>870</v>
      </c>
      <c r="FX26" s="17" t="s">
        <v>870</v>
      </c>
      <c r="FY26" s="17" t="s">
        <v>870</v>
      </c>
      <c r="FZ26" s="17" t="s">
        <v>870</v>
      </c>
      <c r="GA26" s="17" t="s">
        <v>870</v>
      </c>
      <c r="GB26" s="17" t="s">
        <v>870</v>
      </c>
      <c r="GC26" s="17" t="s">
        <v>870</v>
      </c>
      <c r="GD26" s="17" t="s">
        <v>870</v>
      </c>
      <c r="GE26" s="17" t="s">
        <v>870</v>
      </c>
      <c r="GF26" s="17" t="s">
        <v>870</v>
      </c>
      <c r="GG26" s="17" t="s">
        <v>870</v>
      </c>
      <c r="GH26" s="17" t="s">
        <v>870</v>
      </c>
      <c r="GI26" s="17" t="s">
        <v>870</v>
      </c>
      <c r="GJ26" s="17" t="s">
        <v>870</v>
      </c>
      <c r="GK26" s="17" t="s">
        <v>870</v>
      </c>
      <c r="GL26" s="17" t="s">
        <v>870</v>
      </c>
      <c r="GM26" s="17" t="s">
        <v>870</v>
      </c>
      <c r="GN26" s="17" t="s">
        <v>870</v>
      </c>
      <c r="GO26" s="17" t="s">
        <v>870</v>
      </c>
      <c r="GP26" s="17" t="s">
        <v>870</v>
      </c>
      <c r="GQ26" s="17" t="s">
        <v>870</v>
      </c>
      <c r="GR26" s="17" t="s">
        <v>870</v>
      </c>
      <c r="GS26" s="17" t="s">
        <v>870</v>
      </c>
      <c r="GT26" s="17" t="s">
        <v>870</v>
      </c>
      <c r="GU26" s="17" t="s">
        <v>870</v>
      </c>
      <c r="GV26" s="17" t="s">
        <v>870</v>
      </c>
      <c r="GW26" s="17" t="s">
        <v>870</v>
      </c>
      <c r="GX26" s="17" t="s">
        <v>870</v>
      </c>
      <c r="GY26" s="17" t="s">
        <v>870</v>
      </c>
      <c r="GZ26" s="17" t="s">
        <v>870</v>
      </c>
      <c r="HA26" s="17" t="s">
        <v>870</v>
      </c>
      <c r="HB26" s="17" t="s">
        <v>870</v>
      </c>
      <c r="HC26" s="17" t="s">
        <v>870</v>
      </c>
      <c r="HD26" s="17" t="s">
        <v>870</v>
      </c>
      <c r="HE26" s="17" t="s">
        <v>870</v>
      </c>
      <c r="HF26" s="17" t="s">
        <v>870</v>
      </c>
      <c r="HG26" s="17" t="s">
        <v>870</v>
      </c>
      <c r="HH26" s="17" t="s">
        <v>870</v>
      </c>
      <c r="HI26" s="17" t="s">
        <v>870</v>
      </c>
      <c r="HJ26" s="17" t="s">
        <v>870</v>
      </c>
      <c r="HK26" s="17" t="s">
        <v>870</v>
      </c>
      <c r="HL26" s="17" t="s">
        <v>870</v>
      </c>
      <c r="HM26" s="17" t="s">
        <v>870</v>
      </c>
      <c r="HN26" s="17" t="s">
        <v>870</v>
      </c>
      <c r="HO26" s="17" t="s">
        <v>870</v>
      </c>
      <c r="HP26" s="17" t="s">
        <v>870</v>
      </c>
      <c r="HQ26" s="17" t="s">
        <v>870</v>
      </c>
      <c r="HR26" s="17" t="s">
        <v>870</v>
      </c>
      <c r="HS26" s="17" t="s">
        <v>870</v>
      </c>
      <c r="HT26" s="17" t="s">
        <v>870</v>
      </c>
      <c r="HU26" s="17" t="s">
        <v>870</v>
      </c>
      <c r="HV26" s="17" t="s">
        <v>870</v>
      </c>
      <c r="HW26" s="17" t="s">
        <v>870</v>
      </c>
      <c r="HX26" s="17" t="s">
        <v>870</v>
      </c>
      <c r="HY26" s="17" t="s">
        <v>870</v>
      </c>
      <c r="HZ26" s="17" t="s">
        <v>870</v>
      </c>
      <c r="IA26" s="17" t="s">
        <v>870</v>
      </c>
      <c r="IB26" s="17" t="s">
        <v>870</v>
      </c>
      <c r="IC26" s="17" t="s">
        <v>870</v>
      </c>
      <c r="ID26" s="17" t="s">
        <v>870</v>
      </c>
      <c r="IE26" s="17" t="s">
        <v>870</v>
      </c>
      <c r="IF26" s="17" t="s">
        <v>870</v>
      </c>
      <c r="IG26" s="17" t="s">
        <v>870</v>
      </c>
      <c r="IH26" s="17" t="s">
        <v>870</v>
      </c>
      <c r="II26" s="17" t="s">
        <v>870</v>
      </c>
      <c r="IJ26" s="17" t="s">
        <v>870</v>
      </c>
      <c r="IK26" s="17" t="s">
        <v>870</v>
      </c>
      <c r="IL26" s="17" t="s">
        <v>870</v>
      </c>
      <c r="IM26" s="17" t="s">
        <v>870</v>
      </c>
      <c r="IN26" s="17" t="s">
        <v>870</v>
      </c>
      <c r="IO26" s="17" t="s">
        <v>870</v>
      </c>
      <c r="IP26" s="17" t="s">
        <v>870</v>
      </c>
      <c r="IQ26" s="17" t="s">
        <v>870</v>
      </c>
      <c r="IR26" s="17" t="s">
        <v>870</v>
      </c>
      <c r="IS26" s="17" t="s">
        <v>870</v>
      </c>
      <c r="IT26" s="17" t="s">
        <v>870</v>
      </c>
      <c r="IU26" s="17" t="s">
        <v>870</v>
      </c>
      <c r="IV26" s="17" t="s">
        <v>870</v>
      </c>
      <c r="IW26" s="17" t="s">
        <v>870</v>
      </c>
      <c r="IX26" s="17" t="s">
        <v>870</v>
      </c>
      <c r="IY26" s="17" t="s">
        <v>870</v>
      </c>
      <c r="IZ26" s="17" t="s">
        <v>870</v>
      </c>
      <c r="JA26" s="17" t="s">
        <v>870</v>
      </c>
      <c r="JB26" s="17" t="s">
        <v>870</v>
      </c>
      <c r="JC26" s="17" t="s">
        <v>870</v>
      </c>
      <c r="JD26" s="17" t="s">
        <v>870</v>
      </c>
      <c r="JE26" s="17" t="s">
        <v>870</v>
      </c>
      <c r="JF26" s="17" t="s">
        <v>870</v>
      </c>
      <c r="JG26" s="17" t="s">
        <v>870</v>
      </c>
      <c r="JH26" s="17" t="s">
        <v>870</v>
      </c>
      <c r="JI26" s="17" t="s">
        <v>870</v>
      </c>
      <c r="JJ26" s="17" t="s">
        <v>870</v>
      </c>
      <c r="JK26" s="17" t="s">
        <v>870</v>
      </c>
      <c r="JL26" s="17" t="s">
        <v>870</v>
      </c>
      <c r="JM26" s="17" t="s">
        <v>870</v>
      </c>
      <c r="JN26" s="17" t="s">
        <v>870</v>
      </c>
      <c r="JO26" s="17" t="s">
        <v>870</v>
      </c>
      <c r="JP26" s="17" t="s">
        <v>870</v>
      </c>
      <c r="JQ26" s="17" t="s">
        <v>870</v>
      </c>
      <c r="JR26" s="17" t="s">
        <v>870</v>
      </c>
      <c r="JS26" s="17" t="s">
        <v>870</v>
      </c>
      <c r="JT26" s="17" t="s">
        <v>870</v>
      </c>
    </row>
    <row r="27" spans="1:280" x14ac:dyDescent="0.25">
      <c r="A27" t="s">
        <v>25</v>
      </c>
      <c r="B27" s="63"/>
      <c r="C27" s="63"/>
      <c r="D27" s="62"/>
      <c r="E27" s="62"/>
      <c r="F27" s="61" t="s">
        <v>2</v>
      </c>
      <c r="G27" s="63"/>
      <c r="H27" s="63"/>
      <c r="I27" s="17" t="s">
        <v>870</v>
      </c>
      <c r="J27" s="17" t="s">
        <v>870</v>
      </c>
      <c r="K27" s="17" t="s">
        <v>870</v>
      </c>
      <c r="L27" s="63"/>
      <c r="M27" s="63"/>
      <c r="N27" s="63"/>
      <c r="O27" s="62"/>
      <c r="P27" s="17" t="s">
        <v>870</v>
      </c>
      <c r="Q27" s="17" t="s">
        <v>870</v>
      </c>
      <c r="R27" s="17" t="s">
        <v>870</v>
      </c>
      <c r="S27" s="17" t="s">
        <v>870</v>
      </c>
      <c r="T27" s="17" t="s">
        <v>870</v>
      </c>
      <c r="U27" s="17" t="s">
        <v>870</v>
      </c>
      <c r="V27" s="17" t="s">
        <v>870</v>
      </c>
      <c r="W27" s="17" t="s">
        <v>870</v>
      </c>
      <c r="X27" s="17" t="s">
        <v>870</v>
      </c>
      <c r="Y27" s="17" t="s">
        <v>870</v>
      </c>
      <c r="Z27" s="17" t="s">
        <v>870</v>
      </c>
      <c r="AA27" s="17" t="s">
        <v>870</v>
      </c>
      <c r="AB27" s="17" t="s">
        <v>870</v>
      </c>
      <c r="AC27" s="17" t="s">
        <v>870</v>
      </c>
      <c r="AD27" s="17" t="s">
        <v>870</v>
      </c>
      <c r="AE27" s="17" t="s">
        <v>870</v>
      </c>
      <c r="AF27" s="17" t="s">
        <v>870</v>
      </c>
      <c r="AG27" s="17" t="s">
        <v>870</v>
      </c>
      <c r="AH27" s="17" t="s">
        <v>870</v>
      </c>
      <c r="AI27" s="17" t="s">
        <v>870</v>
      </c>
      <c r="AJ27" s="17" t="s">
        <v>870</v>
      </c>
      <c r="AK27" s="17" t="s">
        <v>870</v>
      </c>
      <c r="AL27" s="17" t="s">
        <v>870</v>
      </c>
      <c r="AM27" s="17" t="s">
        <v>870</v>
      </c>
      <c r="AN27" s="17" t="s">
        <v>870</v>
      </c>
      <c r="AO27" s="17" t="s">
        <v>870</v>
      </c>
      <c r="AP27" s="17" t="s">
        <v>870</v>
      </c>
      <c r="AQ27" s="17" t="s">
        <v>870</v>
      </c>
      <c r="AR27" s="17" t="s">
        <v>870</v>
      </c>
      <c r="AS27" s="17" t="s">
        <v>870</v>
      </c>
      <c r="AT27" s="17" t="s">
        <v>870</v>
      </c>
      <c r="AU27" s="17" t="s">
        <v>870</v>
      </c>
      <c r="AV27" s="17" t="s">
        <v>870</v>
      </c>
      <c r="AW27" s="17" t="s">
        <v>870</v>
      </c>
      <c r="AX27" s="17" t="s">
        <v>870</v>
      </c>
      <c r="AY27" s="17" t="s">
        <v>870</v>
      </c>
      <c r="AZ27" s="17" t="s">
        <v>870</v>
      </c>
      <c r="BA27" s="17" t="s">
        <v>870</v>
      </c>
      <c r="BB27" s="17" t="s">
        <v>870</v>
      </c>
      <c r="BC27" s="17" t="s">
        <v>870</v>
      </c>
      <c r="BD27" s="17" t="s">
        <v>870</v>
      </c>
      <c r="BE27" s="17" t="s">
        <v>870</v>
      </c>
      <c r="BF27" s="17" t="s">
        <v>870</v>
      </c>
      <c r="BG27" s="17" t="s">
        <v>870</v>
      </c>
      <c r="BH27" s="17" t="s">
        <v>870</v>
      </c>
      <c r="BI27" s="17" t="s">
        <v>870</v>
      </c>
      <c r="BJ27" s="17" t="s">
        <v>870</v>
      </c>
      <c r="BK27" s="17" t="s">
        <v>870</v>
      </c>
      <c r="BL27" s="17" t="s">
        <v>870</v>
      </c>
      <c r="BM27" s="17" t="s">
        <v>870</v>
      </c>
      <c r="BN27" s="17" t="s">
        <v>870</v>
      </c>
      <c r="BO27" s="17" t="s">
        <v>870</v>
      </c>
      <c r="BP27" s="17" t="s">
        <v>870</v>
      </c>
      <c r="BQ27" s="17" t="s">
        <v>870</v>
      </c>
      <c r="BR27" s="17" t="s">
        <v>870</v>
      </c>
      <c r="BS27" s="17" t="s">
        <v>870</v>
      </c>
      <c r="BT27" s="17" t="s">
        <v>870</v>
      </c>
      <c r="BU27" s="17" t="s">
        <v>870</v>
      </c>
      <c r="BV27" s="17" t="s">
        <v>870</v>
      </c>
      <c r="BW27" s="17" t="s">
        <v>870</v>
      </c>
      <c r="BX27" s="17" t="s">
        <v>870</v>
      </c>
      <c r="BY27" s="17" t="s">
        <v>870</v>
      </c>
      <c r="BZ27" s="17" t="s">
        <v>870</v>
      </c>
      <c r="CA27" s="17" t="s">
        <v>870</v>
      </c>
      <c r="CB27" s="17" t="s">
        <v>870</v>
      </c>
      <c r="CC27" s="17" t="s">
        <v>870</v>
      </c>
      <c r="CD27" s="17" t="s">
        <v>870</v>
      </c>
      <c r="CE27" s="17" t="s">
        <v>870</v>
      </c>
      <c r="CF27" s="17" t="s">
        <v>870</v>
      </c>
      <c r="CG27" s="17" t="s">
        <v>870</v>
      </c>
      <c r="CH27" s="17" t="s">
        <v>870</v>
      </c>
      <c r="CI27" s="17" t="s">
        <v>870</v>
      </c>
      <c r="CJ27" s="17" t="s">
        <v>870</v>
      </c>
      <c r="CK27" s="17" t="s">
        <v>870</v>
      </c>
      <c r="CL27" s="17" t="s">
        <v>870</v>
      </c>
      <c r="CM27" s="17" t="s">
        <v>870</v>
      </c>
      <c r="CN27" s="17" t="s">
        <v>870</v>
      </c>
      <c r="CO27" s="17" t="s">
        <v>870</v>
      </c>
      <c r="CP27" s="17" t="s">
        <v>870</v>
      </c>
      <c r="CQ27" s="17" t="s">
        <v>870</v>
      </c>
      <c r="CR27" s="17" t="s">
        <v>870</v>
      </c>
      <c r="CS27" s="17" t="s">
        <v>870</v>
      </c>
      <c r="CT27" s="17" t="s">
        <v>870</v>
      </c>
      <c r="CU27" s="17" t="s">
        <v>870</v>
      </c>
      <c r="CV27" s="17" t="s">
        <v>870</v>
      </c>
      <c r="CW27" s="17" t="s">
        <v>870</v>
      </c>
      <c r="CX27" s="17" t="s">
        <v>870</v>
      </c>
      <c r="CY27" s="17" t="s">
        <v>870</v>
      </c>
      <c r="CZ27" s="17" t="s">
        <v>870</v>
      </c>
      <c r="DA27" s="17" t="s">
        <v>870</v>
      </c>
      <c r="DB27" s="17" t="s">
        <v>870</v>
      </c>
      <c r="DC27" s="17" t="s">
        <v>870</v>
      </c>
      <c r="DD27" s="17" t="s">
        <v>870</v>
      </c>
      <c r="DE27" s="17" t="s">
        <v>870</v>
      </c>
      <c r="DF27" s="17" t="s">
        <v>870</v>
      </c>
      <c r="DG27" s="17" t="s">
        <v>870</v>
      </c>
      <c r="DH27" s="17" t="s">
        <v>870</v>
      </c>
      <c r="DI27" s="17" t="s">
        <v>870</v>
      </c>
      <c r="DJ27" s="17" t="s">
        <v>870</v>
      </c>
      <c r="DK27" s="17" t="s">
        <v>870</v>
      </c>
      <c r="DL27" s="17" t="s">
        <v>870</v>
      </c>
      <c r="DM27" s="17" t="s">
        <v>870</v>
      </c>
      <c r="DN27" s="17" t="s">
        <v>870</v>
      </c>
      <c r="DO27" s="17" t="s">
        <v>870</v>
      </c>
      <c r="DP27" s="17" t="s">
        <v>870</v>
      </c>
      <c r="DQ27" s="17" t="s">
        <v>870</v>
      </c>
      <c r="DR27" s="17" t="s">
        <v>870</v>
      </c>
      <c r="DS27" s="17" t="s">
        <v>870</v>
      </c>
      <c r="DT27" s="17" t="s">
        <v>870</v>
      </c>
      <c r="DU27" s="17" t="s">
        <v>870</v>
      </c>
      <c r="DV27" s="17" t="s">
        <v>870</v>
      </c>
      <c r="DW27" s="17" t="s">
        <v>870</v>
      </c>
      <c r="DX27" s="17" t="s">
        <v>870</v>
      </c>
      <c r="DY27" s="17" t="s">
        <v>870</v>
      </c>
      <c r="DZ27" s="17" t="s">
        <v>870</v>
      </c>
      <c r="EA27" s="17" t="s">
        <v>870</v>
      </c>
      <c r="EB27" s="17" t="s">
        <v>870</v>
      </c>
      <c r="EC27" s="17" t="s">
        <v>870</v>
      </c>
      <c r="ED27" s="17" t="s">
        <v>870</v>
      </c>
      <c r="EE27" s="17" t="s">
        <v>870</v>
      </c>
      <c r="EF27" s="17" t="s">
        <v>870</v>
      </c>
      <c r="EG27" s="17" t="s">
        <v>870</v>
      </c>
      <c r="EH27" s="17" t="s">
        <v>870</v>
      </c>
      <c r="EI27" s="17" t="s">
        <v>870</v>
      </c>
      <c r="EJ27" s="17" t="s">
        <v>870</v>
      </c>
      <c r="EK27" s="17" t="s">
        <v>870</v>
      </c>
      <c r="EL27" s="17" t="s">
        <v>870</v>
      </c>
      <c r="EM27" s="17" t="s">
        <v>870</v>
      </c>
      <c r="EN27" s="17" t="s">
        <v>870</v>
      </c>
      <c r="EO27" s="17" t="s">
        <v>870</v>
      </c>
      <c r="EP27" s="17" t="s">
        <v>870</v>
      </c>
      <c r="EQ27" s="17" t="s">
        <v>870</v>
      </c>
      <c r="ER27" s="17" t="s">
        <v>870</v>
      </c>
      <c r="ES27" s="17" t="s">
        <v>870</v>
      </c>
      <c r="ET27" s="17" t="s">
        <v>870</v>
      </c>
      <c r="EU27" s="17" t="s">
        <v>870</v>
      </c>
      <c r="EV27" s="17" t="s">
        <v>870</v>
      </c>
      <c r="EW27" s="17" t="s">
        <v>870</v>
      </c>
      <c r="EX27" s="17" t="s">
        <v>870</v>
      </c>
      <c r="EY27" s="17" t="s">
        <v>870</v>
      </c>
      <c r="EZ27" s="17" t="s">
        <v>870</v>
      </c>
      <c r="FA27" s="17" t="s">
        <v>870</v>
      </c>
      <c r="FB27" s="17" t="s">
        <v>870</v>
      </c>
      <c r="FC27" s="17" t="s">
        <v>870</v>
      </c>
      <c r="FD27" s="17" t="s">
        <v>870</v>
      </c>
      <c r="FE27" s="17" t="s">
        <v>870</v>
      </c>
      <c r="FF27" s="17" t="s">
        <v>870</v>
      </c>
      <c r="FG27" s="17" t="s">
        <v>870</v>
      </c>
      <c r="FH27" s="17" t="s">
        <v>870</v>
      </c>
      <c r="FI27" s="17" t="s">
        <v>870</v>
      </c>
      <c r="FJ27" s="17" t="s">
        <v>870</v>
      </c>
      <c r="FK27" s="17" t="s">
        <v>870</v>
      </c>
      <c r="FL27" s="17" t="s">
        <v>870</v>
      </c>
      <c r="FM27" s="17" t="s">
        <v>870</v>
      </c>
      <c r="FN27" s="17" t="s">
        <v>870</v>
      </c>
      <c r="FO27" s="17" t="s">
        <v>870</v>
      </c>
      <c r="FP27" s="17" t="s">
        <v>870</v>
      </c>
      <c r="FQ27" s="17" t="s">
        <v>870</v>
      </c>
      <c r="FR27" s="17" t="s">
        <v>870</v>
      </c>
      <c r="FS27" s="17" t="s">
        <v>870</v>
      </c>
      <c r="FT27" s="17" t="s">
        <v>870</v>
      </c>
      <c r="FU27" s="17" t="s">
        <v>870</v>
      </c>
      <c r="FV27" s="17" t="s">
        <v>870</v>
      </c>
      <c r="FW27" s="17" t="s">
        <v>870</v>
      </c>
      <c r="FX27" s="17" t="s">
        <v>870</v>
      </c>
      <c r="FY27" s="17" t="s">
        <v>870</v>
      </c>
      <c r="FZ27" s="17" t="s">
        <v>870</v>
      </c>
      <c r="GA27" s="17" t="s">
        <v>870</v>
      </c>
      <c r="GB27" s="17" t="s">
        <v>870</v>
      </c>
      <c r="GC27" s="17" t="s">
        <v>870</v>
      </c>
      <c r="GD27" s="17" t="s">
        <v>870</v>
      </c>
      <c r="GE27" s="17" t="s">
        <v>870</v>
      </c>
      <c r="GF27" s="17" t="s">
        <v>870</v>
      </c>
      <c r="GG27" s="17" t="s">
        <v>870</v>
      </c>
      <c r="GH27" s="17" t="s">
        <v>870</v>
      </c>
      <c r="GI27" s="17" t="s">
        <v>870</v>
      </c>
      <c r="GJ27" s="17" t="s">
        <v>870</v>
      </c>
      <c r="GK27" s="17" t="s">
        <v>870</v>
      </c>
      <c r="GL27" s="17" t="s">
        <v>870</v>
      </c>
      <c r="GM27" s="17" t="s">
        <v>870</v>
      </c>
      <c r="GN27" s="17" t="s">
        <v>870</v>
      </c>
      <c r="GO27" s="17" t="s">
        <v>870</v>
      </c>
      <c r="GP27" s="17" t="s">
        <v>870</v>
      </c>
      <c r="GQ27" s="17" t="s">
        <v>870</v>
      </c>
      <c r="GR27" s="17" t="s">
        <v>870</v>
      </c>
      <c r="GS27" s="17" t="s">
        <v>870</v>
      </c>
      <c r="GT27" s="17" t="s">
        <v>870</v>
      </c>
      <c r="GU27" s="17" t="s">
        <v>870</v>
      </c>
      <c r="GV27" s="17" t="s">
        <v>870</v>
      </c>
      <c r="GW27" s="17" t="s">
        <v>870</v>
      </c>
      <c r="GX27" s="17" t="s">
        <v>870</v>
      </c>
      <c r="GY27" s="17" t="s">
        <v>870</v>
      </c>
      <c r="GZ27" s="17" t="s">
        <v>870</v>
      </c>
      <c r="HA27" s="17" t="s">
        <v>870</v>
      </c>
      <c r="HB27" s="17" t="s">
        <v>870</v>
      </c>
      <c r="HC27" s="17" t="s">
        <v>870</v>
      </c>
      <c r="HD27" s="17" t="s">
        <v>870</v>
      </c>
      <c r="HE27" s="17" t="s">
        <v>870</v>
      </c>
      <c r="HF27" s="17" t="s">
        <v>870</v>
      </c>
      <c r="HG27" s="17" t="s">
        <v>870</v>
      </c>
      <c r="HH27" s="17" t="s">
        <v>870</v>
      </c>
      <c r="HI27" s="17" t="s">
        <v>870</v>
      </c>
      <c r="HJ27" s="17" t="s">
        <v>870</v>
      </c>
      <c r="HK27" s="17" t="s">
        <v>870</v>
      </c>
      <c r="HL27" s="17" t="s">
        <v>870</v>
      </c>
      <c r="HM27" s="17" t="s">
        <v>870</v>
      </c>
      <c r="HN27" s="17" t="s">
        <v>870</v>
      </c>
      <c r="HO27" s="17" t="s">
        <v>870</v>
      </c>
      <c r="HP27" s="17" t="s">
        <v>870</v>
      </c>
      <c r="HQ27" s="17" t="s">
        <v>870</v>
      </c>
      <c r="HR27" s="17" t="s">
        <v>870</v>
      </c>
      <c r="HS27" s="17" t="s">
        <v>870</v>
      </c>
      <c r="HT27" s="17" t="s">
        <v>870</v>
      </c>
      <c r="HU27" s="17" t="s">
        <v>870</v>
      </c>
      <c r="HV27" s="17" t="s">
        <v>870</v>
      </c>
      <c r="HW27" s="17" t="s">
        <v>870</v>
      </c>
      <c r="HX27" s="17" t="s">
        <v>870</v>
      </c>
      <c r="HY27" s="17" t="s">
        <v>870</v>
      </c>
      <c r="HZ27" s="17" t="s">
        <v>870</v>
      </c>
      <c r="IA27" s="17" t="s">
        <v>870</v>
      </c>
      <c r="IB27" s="17" t="s">
        <v>870</v>
      </c>
      <c r="IC27" s="17" t="s">
        <v>870</v>
      </c>
      <c r="ID27" s="17" t="s">
        <v>870</v>
      </c>
      <c r="IE27" s="17" t="s">
        <v>870</v>
      </c>
      <c r="IF27" s="17" t="s">
        <v>870</v>
      </c>
      <c r="IG27" s="17" t="s">
        <v>870</v>
      </c>
      <c r="IH27" s="17" t="s">
        <v>870</v>
      </c>
      <c r="II27" s="17" t="s">
        <v>870</v>
      </c>
      <c r="IJ27" s="17" t="s">
        <v>870</v>
      </c>
      <c r="IK27" s="17" t="s">
        <v>870</v>
      </c>
      <c r="IL27" s="17" t="s">
        <v>870</v>
      </c>
      <c r="IM27" s="17" t="s">
        <v>870</v>
      </c>
      <c r="IN27" s="17" t="s">
        <v>870</v>
      </c>
      <c r="IO27" s="17" t="s">
        <v>870</v>
      </c>
      <c r="IP27" s="17" t="s">
        <v>870</v>
      </c>
      <c r="IQ27" s="17" t="s">
        <v>870</v>
      </c>
      <c r="IR27" s="17" t="s">
        <v>870</v>
      </c>
      <c r="IS27" s="17" t="s">
        <v>870</v>
      </c>
      <c r="IT27" s="17" t="s">
        <v>870</v>
      </c>
      <c r="IU27" s="17" t="s">
        <v>870</v>
      </c>
      <c r="IV27" s="17" t="s">
        <v>870</v>
      </c>
      <c r="IW27" s="17" t="s">
        <v>870</v>
      </c>
      <c r="IX27" s="17" t="s">
        <v>870</v>
      </c>
      <c r="IY27" s="17" t="s">
        <v>870</v>
      </c>
      <c r="IZ27" s="17" t="s">
        <v>870</v>
      </c>
      <c r="JA27" s="17" t="s">
        <v>870</v>
      </c>
      <c r="JB27" s="17" t="s">
        <v>870</v>
      </c>
      <c r="JC27" s="17" t="s">
        <v>870</v>
      </c>
      <c r="JD27" s="17" t="s">
        <v>870</v>
      </c>
      <c r="JE27" s="17" t="s">
        <v>870</v>
      </c>
      <c r="JF27" s="17" t="s">
        <v>870</v>
      </c>
      <c r="JG27" s="17" t="s">
        <v>870</v>
      </c>
      <c r="JH27" s="17" t="s">
        <v>870</v>
      </c>
      <c r="JI27" s="17" t="s">
        <v>870</v>
      </c>
      <c r="JJ27" s="17" t="s">
        <v>870</v>
      </c>
      <c r="JK27" s="17" t="s">
        <v>870</v>
      </c>
      <c r="JL27" s="17" t="s">
        <v>870</v>
      </c>
      <c r="JM27" s="17" t="s">
        <v>870</v>
      </c>
      <c r="JN27" s="17" t="s">
        <v>870</v>
      </c>
      <c r="JO27" s="17" t="s">
        <v>870</v>
      </c>
      <c r="JP27" s="17" t="s">
        <v>870</v>
      </c>
      <c r="JQ27" s="17" t="s">
        <v>870</v>
      </c>
      <c r="JR27" s="17" t="s">
        <v>870</v>
      </c>
      <c r="JS27" s="17" t="s">
        <v>870</v>
      </c>
      <c r="JT27" s="17" t="s">
        <v>870</v>
      </c>
    </row>
    <row r="28" spans="1:280" x14ac:dyDescent="0.25">
      <c r="A28" t="s">
        <v>19</v>
      </c>
      <c r="B28" s="17" t="s">
        <v>870</v>
      </c>
      <c r="C28" s="17" t="s">
        <v>870</v>
      </c>
      <c r="D28" s="17" t="s">
        <v>870</v>
      </c>
      <c r="E28" s="17" t="s">
        <v>870</v>
      </c>
      <c r="F28" s="17" t="s">
        <v>870</v>
      </c>
      <c r="G28" s="17" t="s">
        <v>870</v>
      </c>
      <c r="H28" s="17" t="s">
        <v>870</v>
      </c>
      <c r="I28" s="17" t="s">
        <v>870</v>
      </c>
      <c r="J28" s="17" t="s">
        <v>870</v>
      </c>
      <c r="K28" s="17" t="s">
        <v>870</v>
      </c>
      <c r="L28" s="17" t="s">
        <v>870</v>
      </c>
      <c r="M28" s="17" t="s">
        <v>870</v>
      </c>
      <c r="N28" s="17" t="s">
        <v>870</v>
      </c>
      <c r="O28" s="17" t="s">
        <v>870</v>
      </c>
      <c r="P28" s="17" t="s">
        <v>870</v>
      </c>
      <c r="Q28" s="17" t="s">
        <v>870</v>
      </c>
      <c r="R28" s="17" t="s">
        <v>870</v>
      </c>
      <c r="S28" s="17" t="s">
        <v>870</v>
      </c>
      <c r="T28" s="17" t="s">
        <v>870</v>
      </c>
      <c r="U28" s="17" t="s">
        <v>870</v>
      </c>
      <c r="V28" s="17" t="s">
        <v>870</v>
      </c>
      <c r="W28" s="17" t="s">
        <v>870</v>
      </c>
      <c r="X28" s="17" t="s">
        <v>870</v>
      </c>
      <c r="Y28" s="17" t="s">
        <v>870</v>
      </c>
      <c r="Z28" s="17" t="s">
        <v>870</v>
      </c>
      <c r="AA28" s="17" t="s">
        <v>870</v>
      </c>
      <c r="AB28" s="17" t="s">
        <v>870</v>
      </c>
      <c r="AC28" s="61" t="s">
        <v>2</v>
      </c>
      <c r="AD28" s="61" t="s">
        <v>2</v>
      </c>
      <c r="AE28" s="17" t="s">
        <v>870</v>
      </c>
      <c r="AF28" s="17" t="s">
        <v>870</v>
      </c>
      <c r="AG28" s="17" t="s">
        <v>870</v>
      </c>
      <c r="AH28" s="17" t="s">
        <v>870</v>
      </c>
      <c r="AI28" s="17" t="s">
        <v>870</v>
      </c>
      <c r="AJ28" s="17" t="s">
        <v>870</v>
      </c>
      <c r="AK28" s="17" t="s">
        <v>870</v>
      </c>
      <c r="AL28" s="17" t="s">
        <v>870</v>
      </c>
      <c r="AM28" s="17" t="s">
        <v>870</v>
      </c>
      <c r="AN28" s="17" t="s">
        <v>870</v>
      </c>
      <c r="AO28" s="17" t="s">
        <v>870</v>
      </c>
      <c r="AP28" s="17" t="s">
        <v>870</v>
      </c>
      <c r="AQ28" s="17" t="s">
        <v>870</v>
      </c>
      <c r="AR28" s="17" t="s">
        <v>870</v>
      </c>
      <c r="AS28" s="17" t="s">
        <v>870</v>
      </c>
      <c r="AT28" s="17" t="s">
        <v>870</v>
      </c>
      <c r="AU28" s="17" t="s">
        <v>870</v>
      </c>
      <c r="AV28" s="17" t="s">
        <v>870</v>
      </c>
      <c r="AW28" s="17" t="s">
        <v>870</v>
      </c>
      <c r="AX28" s="17" t="s">
        <v>870</v>
      </c>
      <c r="AY28" s="17" t="s">
        <v>870</v>
      </c>
      <c r="AZ28" s="17" t="s">
        <v>870</v>
      </c>
      <c r="BA28" s="17" t="s">
        <v>870</v>
      </c>
      <c r="BB28" s="17" t="s">
        <v>870</v>
      </c>
      <c r="BC28" s="17" t="s">
        <v>870</v>
      </c>
      <c r="BD28" s="17" t="s">
        <v>870</v>
      </c>
      <c r="BE28" s="17" t="s">
        <v>870</v>
      </c>
      <c r="BF28" s="17" t="s">
        <v>870</v>
      </c>
      <c r="BG28" s="17" t="s">
        <v>870</v>
      </c>
      <c r="BH28" s="17" t="s">
        <v>870</v>
      </c>
      <c r="BI28" s="17" t="s">
        <v>870</v>
      </c>
      <c r="BJ28" s="17" t="s">
        <v>870</v>
      </c>
      <c r="BK28" s="17" t="s">
        <v>870</v>
      </c>
      <c r="BL28" s="17" t="s">
        <v>870</v>
      </c>
      <c r="BM28" s="17" t="s">
        <v>870</v>
      </c>
      <c r="BN28" s="17" t="s">
        <v>870</v>
      </c>
      <c r="BO28" s="17" t="s">
        <v>870</v>
      </c>
      <c r="BP28" s="17" t="s">
        <v>870</v>
      </c>
      <c r="BQ28" s="17" t="s">
        <v>870</v>
      </c>
      <c r="BR28" s="17" t="s">
        <v>870</v>
      </c>
      <c r="BS28" s="17" t="s">
        <v>870</v>
      </c>
      <c r="BT28" s="17" t="s">
        <v>870</v>
      </c>
      <c r="BU28" s="17" t="s">
        <v>870</v>
      </c>
      <c r="BV28" s="17" t="s">
        <v>870</v>
      </c>
      <c r="BW28" s="17" t="s">
        <v>870</v>
      </c>
      <c r="BX28" s="17" t="s">
        <v>870</v>
      </c>
      <c r="BY28" s="17" t="s">
        <v>870</v>
      </c>
      <c r="BZ28" s="17" t="s">
        <v>870</v>
      </c>
      <c r="CA28" s="17" t="s">
        <v>870</v>
      </c>
      <c r="CB28" s="17" t="s">
        <v>870</v>
      </c>
      <c r="CC28" s="17" t="s">
        <v>870</v>
      </c>
      <c r="CD28" s="17" t="s">
        <v>870</v>
      </c>
      <c r="CE28" s="17" t="s">
        <v>870</v>
      </c>
      <c r="CF28" s="17" t="s">
        <v>870</v>
      </c>
      <c r="CG28" s="17" t="s">
        <v>870</v>
      </c>
      <c r="CH28" s="17" t="s">
        <v>870</v>
      </c>
      <c r="CI28" s="17" t="s">
        <v>870</v>
      </c>
      <c r="CJ28" s="17" t="s">
        <v>870</v>
      </c>
      <c r="CK28" s="17" t="s">
        <v>870</v>
      </c>
      <c r="CL28" s="17" t="s">
        <v>870</v>
      </c>
      <c r="CM28" s="17" t="s">
        <v>870</v>
      </c>
      <c r="CN28" s="17" t="s">
        <v>870</v>
      </c>
      <c r="CO28" s="17" t="s">
        <v>870</v>
      </c>
      <c r="CP28" s="17" t="s">
        <v>870</v>
      </c>
      <c r="CQ28" s="17" t="s">
        <v>870</v>
      </c>
      <c r="CR28" s="17" t="s">
        <v>870</v>
      </c>
      <c r="CS28" s="17" t="s">
        <v>870</v>
      </c>
      <c r="CT28" s="17" t="s">
        <v>870</v>
      </c>
      <c r="CU28" s="17" t="s">
        <v>870</v>
      </c>
      <c r="CV28" s="17" t="s">
        <v>870</v>
      </c>
      <c r="CW28" s="17" t="s">
        <v>870</v>
      </c>
      <c r="CX28" s="17" t="s">
        <v>870</v>
      </c>
      <c r="CY28" s="17" t="s">
        <v>870</v>
      </c>
      <c r="CZ28" s="17" t="s">
        <v>870</v>
      </c>
      <c r="DA28" s="17" t="s">
        <v>870</v>
      </c>
      <c r="DB28" s="17" t="s">
        <v>870</v>
      </c>
      <c r="DC28" s="17" t="s">
        <v>870</v>
      </c>
      <c r="DD28" s="17" t="s">
        <v>870</v>
      </c>
      <c r="DE28" s="17" t="s">
        <v>870</v>
      </c>
      <c r="DF28" s="17" t="s">
        <v>870</v>
      </c>
      <c r="DG28" s="17" t="s">
        <v>870</v>
      </c>
      <c r="DH28" s="17" t="s">
        <v>870</v>
      </c>
      <c r="DI28" s="17" t="s">
        <v>870</v>
      </c>
      <c r="DJ28" s="17" t="s">
        <v>870</v>
      </c>
      <c r="DK28" s="17" t="s">
        <v>870</v>
      </c>
      <c r="DL28" s="17" t="s">
        <v>870</v>
      </c>
      <c r="DM28" s="17" t="s">
        <v>870</v>
      </c>
      <c r="DN28" s="17" t="s">
        <v>870</v>
      </c>
      <c r="DO28" s="17" t="s">
        <v>870</v>
      </c>
      <c r="DP28" s="17" t="s">
        <v>870</v>
      </c>
      <c r="DQ28" s="17" t="s">
        <v>870</v>
      </c>
      <c r="DR28" s="17" t="s">
        <v>870</v>
      </c>
      <c r="DS28" s="17" t="s">
        <v>870</v>
      </c>
      <c r="DT28" s="17" t="s">
        <v>870</v>
      </c>
      <c r="DU28" s="17" t="s">
        <v>870</v>
      </c>
      <c r="DV28" s="17" t="s">
        <v>870</v>
      </c>
      <c r="DW28" s="17" t="s">
        <v>870</v>
      </c>
      <c r="DX28" s="17" t="s">
        <v>870</v>
      </c>
      <c r="DY28" s="17" t="s">
        <v>870</v>
      </c>
      <c r="DZ28" s="17" t="s">
        <v>870</v>
      </c>
      <c r="EA28" s="17" t="s">
        <v>870</v>
      </c>
      <c r="EB28" s="17" t="s">
        <v>870</v>
      </c>
      <c r="EC28" s="17" t="s">
        <v>870</v>
      </c>
      <c r="ED28" s="17" t="s">
        <v>870</v>
      </c>
      <c r="EE28" s="17" t="s">
        <v>870</v>
      </c>
      <c r="EF28" s="17" t="s">
        <v>870</v>
      </c>
      <c r="EG28" s="17" t="s">
        <v>870</v>
      </c>
      <c r="EH28" s="17" t="s">
        <v>870</v>
      </c>
      <c r="EI28" s="17" t="s">
        <v>870</v>
      </c>
      <c r="EJ28" s="17" t="s">
        <v>870</v>
      </c>
      <c r="EK28" s="17" t="s">
        <v>870</v>
      </c>
      <c r="EL28" s="17" t="s">
        <v>870</v>
      </c>
      <c r="EM28" s="17" t="s">
        <v>870</v>
      </c>
      <c r="EN28" s="17" t="s">
        <v>870</v>
      </c>
      <c r="EO28" s="17" t="s">
        <v>870</v>
      </c>
      <c r="EP28" s="17" t="s">
        <v>870</v>
      </c>
      <c r="EQ28" s="17" t="s">
        <v>870</v>
      </c>
      <c r="ER28" s="17" t="s">
        <v>870</v>
      </c>
      <c r="ES28" s="17" t="s">
        <v>870</v>
      </c>
      <c r="ET28" s="17" t="s">
        <v>870</v>
      </c>
      <c r="EU28" s="17" t="s">
        <v>870</v>
      </c>
      <c r="EV28" s="17" t="s">
        <v>870</v>
      </c>
      <c r="EW28" s="17" t="s">
        <v>870</v>
      </c>
      <c r="EX28" s="17" t="s">
        <v>870</v>
      </c>
      <c r="EY28" s="17" t="s">
        <v>870</v>
      </c>
      <c r="EZ28" s="17" t="s">
        <v>870</v>
      </c>
      <c r="FA28" s="17" t="s">
        <v>870</v>
      </c>
      <c r="FB28" s="17" t="s">
        <v>870</v>
      </c>
      <c r="FC28" s="17" t="s">
        <v>870</v>
      </c>
      <c r="FD28" s="17" t="s">
        <v>870</v>
      </c>
      <c r="FE28" s="17" t="s">
        <v>870</v>
      </c>
      <c r="FF28" s="17" t="s">
        <v>870</v>
      </c>
      <c r="FG28" s="17" t="s">
        <v>870</v>
      </c>
      <c r="FH28" s="17" t="s">
        <v>870</v>
      </c>
      <c r="FI28" s="17" t="s">
        <v>870</v>
      </c>
      <c r="FJ28" s="17" t="s">
        <v>870</v>
      </c>
      <c r="FK28" s="17" t="s">
        <v>870</v>
      </c>
      <c r="FL28" s="17" t="s">
        <v>870</v>
      </c>
      <c r="FM28" s="17" t="s">
        <v>870</v>
      </c>
      <c r="FN28" s="17" t="s">
        <v>870</v>
      </c>
      <c r="FO28" s="17" t="s">
        <v>870</v>
      </c>
      <c r="FP28" s="17" t="s">
        <v>870</v>
      </c>
      <c r="FQ28" s="17" t="s">
        <v>870</v>
      </c>
      <c r="FR28" s="17" t="s">
        <v>870</v>
      </c>
      <c r="FS28" s="17" t="s">
        <v>870</v>
      </c>
      <c r="FT28" s="17" t="s">
        <v>870</v>
      </c>
      <c r="FU28" s="17" t="s">
        <v>870</v>
      </c>
      <c r="FV28" s="17" t="s">
        <v>870</v>
      </c>
      <c r="FW28" s="17" t="s">
        <v>870</v>
      </c>
      <c r="FX28" s="17" t="s">
        <v>870</v>
      </c>
      <c r="FY28" s="17" t="s">
        <v>870</v>
      </c>
      <c r="FZ28" s="17" t="s">
        <v>870</v>
      </c>
      <c r="GA28" s="17" t="s">
        <v>870</v>
      </c>
      <c r="GB28" s="17" t="s">
        <v>870</v>
      </c>
      <c r="GC28" s="17" t="s">
        <v>870</v>
      </c>
      <c r="GD28" s="17" t="s">
        <v>870</v>
      </c>
      <c r="GE28" s="17" t="s">
        <v>870</v>
      </c>
      <c r="GF28" s="17" t="s">
        <v>870</v>
      </c>
      <c r="GG28" s="17" t="s">
        <v>870</v>
      </c>
      <c r="GH28" s="17" t="s">
        <v>870</v>
      </c>
      <c r="GI28" s="17" t="s">
        <v>870</v>
      </c>
      <c r="GJ28" s="17" t="s">
        <v>870</v>
      </c>
      <c r="GK28" s="17" t="s">
        <v>870</v>
      </c>
      <c r="GL28" s="17" t="s">
        <v>870</v>
      </c>
      <c r="GM28" s="17" t="s">
        <v>870</v>
      </c>
      <c r="GN28" s="17" t="s">
        <v>870</v>
      </c>
      <c r="GO28" s="17" t="s">
        <v>870</v>
      </c>
      <c r="GP28" s="17" t="s">
        <v>870</v>
      </c>
      <c r="GQ28" s="17" t="s">
        <v>870</v>
      </c>
      <c r="GR28" s="17" t="s">
        <v>870</v>
      </c>
      <c r="GS28" s="17" t="s">
        <v>870</v>
      </c>
      <c r="GT28" s="17" t="s">
        <v>870</v>
      </c>
      <c r="GU28" s="17" t="s">
        <v>870</v>
      </c>
      <c r="GV28" s="17" t="s">
        <v>870</v>
      </c>
      <c r="GW28" s="17" t="s">
        <v>870</v>
      </c>
      <c r="GX28" s="17" t="s">
        <v>870</v>
      </c>
      <c r="GY28" s="17" t="s">
        <v>870</v>
      </c>
      <c r="GZ28" s="17" t="s">
        <v>870</v>
      </c>
      <c r="HA28" s="17" t="s">
        <v>870</v>
      </c>
      <c r="HB28" s="17" t="s">
        <v>870</v>
      </c>
      <c r="HC28" s="17" t="s">
        <v>870</v>
      </c>
      <c r="HD28" s="17" t="s">
        <v>870</v>
      </c>
      <c r="HE28" s="17" t="s">
        <v>870</v>
      </c>
      <c r="HF28" s="17" t="s">
        <v>870</v>
      </c>
      <c r="HG28" s="17" t="s">
        <v>870</v>
      </c>
      <c r="HH28" s="17" t="s">
        <v>870</v>
      </c>
      <c r="HI28" s="17" t="s">
        <v>870</v>
      </c>
      <c r="HJ28" s="17" t="s">
        <v>870</v>
      </c>
      <c r="HK28" s="17" t="s">
        <v>870</v>
      </c>
      <c r="HL28" s="17" t="s">
        <v>870</v>
      </c>
      <c r="HM28" s="17" t="s">
        <v>870</v>
      </c>
      <c r="HN28" s="17" t="s">
        <v>870</v>
      </c>
      <c r="HO28" s="17" t="s">
        <v>870</v>
      </c>
      <c r="HP28" s="17" t="s">
        <v>870</v>
      </c>
      <c r="HQ28" s="17" t="s">
        <v>870</v>
      </c>
      <c r="HR28" s="17" t="s">
        <v>870</v>
      </c>
      <c r="HS28" s="17" t="s">
        <v>870</v>
      </c>
      <c r="HT28" s="17" t="s">
        <v>870</v>
      </c>
      <c r="HU28" s="17" t="s">
        <v>870</v>
      </c>
      <c r="HV28" s="17" t="s">
        <v>870</v>
      </c>
      <c r="HW28" s="17" t="s">
        <v>870</v>
      </c>
      <c r="HX28" s="17" t="s">
        <v>870</v>
      </c>
      <c r="HY28" s="17" t="s">
        <v>870</v>
      </c>
      <c r="HZ28" s="17" t="s">
        <v>870</v>
      </c>
      <c r="IA28" s="17" t="s">
        <v>870</v>
      </c>
      <c r="IB28" s="17" t="s">
        <v>870</v>
      </c>
      <c r="IC28" s="17" t="s">
        <v>870</v>
      </c>
      <c r="ID28" s="17" t="s">
        <v>870</v>
      </c>
      <c r="IE28" s="17" t="s">
        <v>870</v>
      </c>
      <c r="IF28" s="17" t="s">
        <v>870</v>
      </c>
      <c r="IG28" s="17" t="s">
        <v>870</v>
      </c>
      <c r="IH28" s="17" t="s">
        <v>870</v>
      </c>
      <c r="II28" s="17" t="s">
        <v>870</v>
      </c>
      <c r="IJ28" s="17" t="s">
        <v>870</v>
      </c>
      <c r="IK28" s="17" t="s">
        <v>870</v>
      </c>
      <c r="IL28" s="17" t="s">
        <v>870</v>
      </c>
      <c r="IM28" s="17" t="s">
        <v>870</v>
      </c>
      <c r="IN28" s="17" t="s">
        <v>870</v>
      </c>
      <c r="IO28" s="17" t="s">
        <v>870</v>
      </c>
      <c r="IP28" s="17" t="s">
        <v>870</v>
      </c>
      <c r="IQ28" s="17" t="s">
        <v>870</v>
      </c>
      <c r="IR28" s="17" t="s">
        <v>870</v>
      </c>
      <c r="IS28" s="17" t="s">
        <v>870</v>
      </c>
      <c r="IT28" s="17" t="s">
        <v>870</v>
      </c>
      <c r="IU28" s="17" t="s">
        <v>870</v>
      </c>
      <c r="IV28" s="17" t="s">
        <v>870</v>
      </c>
      <c r="IW28" s="17" t="s">
        <v>870</v>
      </c>
      <c r="IX28" s="17" t="s">
        <v>870</v>
      </c>
      <c r="IY28" s="17" t="s">
        <v>870</v>
      </c>
      <c r="IZ28" s="17" t="s">
        <v>870</v>
      </c>
      <c r="JA28" s="17" t="s">
        <v>870</v>
      </c>
      <c r="JB28" s="17" t="s">
        <v>870</v>
      </c>
      <c r="JC28" s="17" t="s">
        <v>870</v>
      </c>
      <c r="JD28" s="17" t="s">
        <v>870</v>
      </c>
      <c r="JE28" s="17" t="s">
        <v>870</v>
      </c>
      <c r="JF28" s="17" t="s">
        <v>870</v>
      </c>
      <c r="JG28" s="17" t="s">
        <v>870</v>
      </c>
      <c r="JH28" s="17" t="s">
        <v>870</v>
      </c>
      <c r="JI28" s="17" t="s">
        <v>870</v>
      </c>
      <c r="JJ28" s="17" t="s">
        <v>870</v>
      </c>
      <c r="JK28" s="17" t="s">
        <v>870</v>
      </c>
      <c r="JL28" s="17" t="s">
        <v>870</v>
      </c>
      <c r="JM28" s="17" t="s">
        <v>870</v>
      </c>
      <c r="JN28" s="17" t="s">
        <v>870</v>
      </c>
      <c r="JO28" s="17" t="s">
        <v>870</v>
      </c>
      <c r="JP28" s="17" t="s">
        <v>870</v>
      </c>
      <c r="JQ28" s="17" t="s">
        <v>870</v>
      </c>
      <c r="JR28" s="17" t="s">
        <v>870</v>
      </c>
      <c r="JS28" s="17" t="s">
        <v>870</v>
      </c>
      <c r="JT28" s="17" t="s">
        <v>870</v>
      </c>
    </row>
    <row r="29" spans="1:280" x14ac:dyDescent="0.25">
      <c r="A29" t="s">
        <v>400</v>
      </c>
      <c r="B29" s="17" t="s">
        <v>870</v>
      </c>
      <c r="C29" s="17" t="s">
        <v>870</v>
      </c>
      <c r="D29" s="17" t="s">
        <v>870</v>
      </c>
      <c r="E29" s="17" t="s">
        <v>870</v>
      </c>
      <c r="F29" s="17" t="s">
        <v>870</v>
      </c>
      <c r="G29" s="17" t="s">
        <v>870</v>
      </c>
      <c r="H29" s="17" t="s">
        <v>870</v>
      </c>
      <c r="I29" s="17" t="s">
        <v>870</v>
      </c>
      <c r="J29" s="17" t="s">
        <v>870</v>
      </c>
      <c r="K29" s="17" t="s">
        <v>870</v>
      </c>
      <c r="L29" s="17" t="s">
        <v>870</v>
      </c>
      <c r="M29" s="17" t="s">
        <v>870</v>
      </c>
      <c r="N29" s="17" t="s">
        <v>870</v>
      </c>
      <c r="O29" s="17" t="s">
        <v>870</v>
      </c>
      <c r="P29" s="17" t="s">
        <v>870</v>
      </c>
      <c r="Q29" s="17" t="s">
        <v>870</v>
      </c>
      <c r="R29" s="17" t="s">
        <v>870</v>
      </c>
      <c r="S29" s="17" t="s">
        <v>870</v>
      </c>
      <c r="T29" s="17" t="s">
        <v>870</v>
      </c>
      <c r="U29" s="17" t="s">
        <v>870</v>
      </c>
      <c r="V29" s="17" t="s">
        <v>870</v>
      </c>
      <c r="W29" s="17" t="s">
        <v>870</v>
      </c>
      <c r="X29" s="17" t="s">
        <v>870</v>
      </c>
      <c r="Y29" s="17" t="s">
        <v>870</v>
      </c>
      <c r="Z29" s="17" t="s">
        <v>870</v>
      </c>
      <c r="AA29" s="17" t="s">
        <v>870</v>
      </c>
      <c r="AB29" s="17" t="s">
        <v>870</v>
      </c>
      <c r="AC29" s="17" t="s">
        <v>870</v>
      </c>
      <c r="AD29" s="17" t="s">
        <v>870</v>
      </c>
      <c r="AE29" s="17" t="s">
        <v>870</v>
      </c>
      <c r="AF29" s="17" t="s">
        <v>870</v>
      </c>
      <c r="AG29" s="17" t="s">
        <v>870</v>
      </c>
      <c r="AH29" s="17" t="s">
        <v>870</v>
      </c>
      <c r="AI29" s="17" t="s">
        <v>870</v>
      </c>
      <c r="AJ29" s="17" t="s">
        <v>870</v>
      </c>
      <c r="AK29" s="17" t="s">
        <v>870</v>
      </c>
      <c r="AL29" s="17" t="s">
        <v>870</v>
      </c>
      <c r="AM29" s="17" t="s">
        <v>870</v>
      </c>
      <c r="AN29" s="17" t="s">
        <v>870</v>
      </c>
      <c r="AO29" s="17" t="s">
        <v>870</v>
      </c>
      <c r="AP29" s="17" t="s">
        <v>870</v>
      </c>
      <c r="AQ29" s="17" t="s">
        <v>870</v>
      </c>
      <c r="AR29" s="17" t="s">
        <v>870</v>
      </c>
      <c r="AS29" s="17" t="s">
        <v>870</v>
      </c>
      <c r="AT29" s="17" t="s">
        <v>870</v>
      </c>
      <c r="AU29" s="17" t="s">
        <v>870</v>
      </c>
      <c r="AV29" s="17" t="s">
        <v>870</v>
      </c>
      <c r="AW29" s="17" t="s">
        <v>870</v>
      </c>
      <c r="AX29" s="17" t="s">
        <v>870</v>
      </c>
      <c r="AY29" s="17" t="s">
        <v>870</v>
      </c>
      <c r="AZ29" s="17" t="s">
        <v>870</v>
      </c>
      <c r="BA29" s="17" t="s">
        <v>870</v>
      </c>
      <c r="BB29" s="17" t="s">
        <v>870</v>
      </c>
      <c r="BC29" s="17" t="s">
        <v>870</v>
      </c>
      <c r="BD29" s="17" t="s">
        <v>870</v>
      </c>
      <c r="BE29" s="17" t="s">
        <v>870</v>
      </c>
      <c r="BF29" s="17" t="s">
        <v>870</v>
      </c>
      <c r="BG29" s="17" t="s">
        <v>870</v>
      </c>
      <c r="BH29" s="17" t="s">
        <v>870</v>
      </c>
      <c r="BI29" s="17" t="s">
        <v>870</v>
      </c>
      <c r="BJ29" s="17" t="s">
        <v>870</v>
      </c>
      <c r="BK29" s="17" t="s">
        <v>870</v>
      </c>
      <c r="BL29" s="17" t="s">
        <v>870</v>
      </c>
      <c r="BM29" s="17" t="s">
        <v>870</v>
      </c>
      <c r="BN29" s="17" t="s">
        <v>870</v>
      </c>
      <c r="BO29" s="17" t="s">
        <v>870</v>
      </c>
      <c r="BP29" s="17" t="s">
        <v>870</v>
      </c>
      <c r="BQ29" s="17" t="s">
        <v>870</v>
      </c>
      <c r="BR29" s="17" t="s">
        <v>870</v>
      </c>
      <c r="BS29" s="17" t="s">
        <v>870</v>
      </c>
      <c r="BT29" s="17" t="s">
        <v>870</v>
      </c>
      <c r="BU29" s="17" t="s">
        <v>870</v>
      </c>
      <c r="BV29" s="17" t="s">
        <v>870</v>
      </c>
      <c r="BW29" s="17" t="s">
        <v>870</v>
      </c>
      <c r="BX29" s="17" t="s">
        <v>870</v>
      </c>
      <c r="BY29" s="17" t="s">
        <v>870</v>
      </c>
      <c r="BZ29" s="17" t="s">
        <v>870</v>
      </c>
      <c r="CA29" s="17" t="s">
        <v>870</v>
      </c>
      <c r="CB29" s="17" t="s">
        <v>870</v>
      </c>
      <c r="CC29" s="17" t="s">
        <v>870</v>
      </c>
      <c r="CD29" s="17" t="s">
        <v>870</v>
      </c>
      <c r="CE29" s="17" t="s">
        <v>870</v>
      </c>
      <c r="CF29" s="17" t="s">
        <v>870</v>
      </c>
      <c r="CG29" s="17" t="s">
        <v>870</v>
      </c>
      <c r="CH29" s="17" t="s">
        <v>870</v>
      </c>
      <c r="CI29" s="17" t="s">
        <v>870</v>
      </c>
      <c r="CJ29" s="17" t="s">
        <v>870</v>
      </c>
      <c r="CK29" s="17" t="s">
        <v>870</v>
      </c>
      <c r="CL29" s="17" t="s">
        <v>870</v>
      </c>
      <c r="CM29" s="17" t="s">
        <v>870</v>
      </c>
      <c r="CN29" s="17" t="s">
        <v>870</v>
      </c>
      <c r="CO29" s="17" t="s">
        <v>870</v>
      </c>
      <c r="CP29" s="17" t="s">
        <v>870</v>
      </c>
      <c r="CQ29" s="17" t="s">
        <v>870</v>
      </c>
      <c r="CR29" s="17" t="s">
        <v>870</v>
      </c>
      <c r="CS29" s="17" t="s">
        <v>870</v>
      </c>
      <c r="CT29" s="17" t="s">
        <v>870</v>
      </c>
      <c r="CU29" s="17" t="s">
        <v>870</v>
      </c>
      <c r="CV29" s="17" t="s">
        <v>870</v>
      </c>
      <c r="CW29" s="17" t="s">
        <v>870</v>
      </c>
      <c r="CX29" s="17" t="s">
        <v>870</v>
      </c>
      <c r="CY29" s="17" t="s">
        <v>870</v>
      </c>
      <c r="CZ29" s="17" t="s">
        <v>870</v>
      </c>
      <c r="DA29" s="17" t="s">
        <v>870</v>
      </c>
      <c r="DB29" s="17" t="s">
        <v>870</v>
      </c>
      <c r="DC29" s="17" t="s">
        <v>870</v>
      </c>
      <c r="DD29" s="17" t="s">
        <v>870</v>
      </c>
      <c r="DE29" s="17" t="s">
        <v>870</v>
      </c>
      <c r="DF29" s="17" t="s">
        <v>870</v>
      </c>
      <c r="DG29" s="17" t="s">
        <v>870</v>
      </c>
      <c r="DH29" s="17" t="s">
        <v>870</v>
      </c>
      <c r="DI29" s="17" t="s">
        <v>870</v>
      </c>
      <c r="DJ29" s="17" t="s">
        <v>870</v>
      </c>
      <c r="DK29" s="17" t="s">
        <v>870</v>
      </c>
      <c r="DL29" s="17" t="s">
        <v>870</v>
      </c>
      <c r="DM29" s="17" t="s">
        <v>870</v>
      </c>
      <c r="DN29" s="17" t="s">
        <v>870</v>
      </c>
      <c r="DO29" s="17" t="s">
        <v>870</v>
      </c>
      <c r="DP29" s="17" t="s">
        <v>870</v>
      </c>
      <c r="DQ29" s="17" t="s">
        <v>870</v>
      </c>
      <c r="DR29" s="17" t="s">
        <v>870</v>
      </c>
      <c r="DS29" s="17" t="s">
        <v>870</v>
      </c>
      <c r="DT29" s="17" t="s">
        <v>870</v>
      </c>
      <c r="DU29" s="17" t="s">
        <v>870</v>
      </c>
      <c r="DV29" s="17" t="s">
        <v>870</v>
      </c>
      <c r="DW29" s="17" t="s">
        <v>870</v>
      </c>
      <c r="DX29" s="17" t="s">
        <v>870</v>
      </c>
      <c r="DY29" s="17" t="s">
        <v>870</v>
      </c>
      <c r="DZ29" s="17" t="s">
        <v>870</v>
      </c>
      <c r="EA29" s="17" t="s">
        <v>870</v>
      </c>
      <c r="EB29" s="17" t="s">
        <v>870</v>
      </c>
      <c r="EC29" s="17" t="s">
        <v>870</v>
      </c>
      <c r="ED29" s="17" t="s">
        <v>870</v>
      </c>
      <c r="EE29" s="17" t="s">
        <v>870</v>
      </c>
      <c r="EF29" s="17" t="s">
        <v>870</v>
      </c>
      <c r="EG29" s="17" t="s">
        <v>870</v>
      </c>
      <c r="EH29" s="17" t="s">
        <v>870</v>
      </c>
      <c r="EI29" s="17" t="s">
        <v>870</v>
      </c>
      <c r="EJ29" s="17" t="s">
        <v>870</v>
      </c>
      <c r="EK29" s="17" t="s">
        <v>870</v>
      </c>
      <c r="EL29" s="17" t="s">
        <v>870</v>
      </c>
      <c r="EM29" s="17" t="s">
        <v>870</v>
      </c>
      <c r="EN29" s="17" t="s">
        <v>870</v>
      </c>
      <c r="EO29" s="17" t="s">
        <v>870</v>
      </c>
      <c r="EP29" s="17" t="s">
        <v>870</v>
      </c>
      <c r="EQ29" s="17" t="s">
        <v>870</v>
      </c>
      <c r="ER29" s="17" t="s">
        <v>870</v>
      </c>
      <c r="ES29" s="17" t="s">
        <v>870</v>
      </c>
      <c r="ET29" s="17" t="s">
        <v>870</v>
      </c>
      <c r="EU29" s="17" t="s">
        <v>870</v>
      </c>
      <c r="EV29" s="17" t="s">
        <v>870</v>
      </c>
      <c r="EW29" s="17" t="s">
        <v>870</v>
      </c>
      <c r="EX29" s="17" t="s">
        <v>870</v>
      </c>
      <c r="EY29" s="17" t="s">
        <v>870</v>
      </c>
      <c r="EZ29" s="17" t="s">
        <v>870</v>
      </c>
      <c r="FA29" s="17" t="s">
        <v>870</v>
      </c>
      <c r="FB29" s="17" t="s">
        <v>870</v>
      </c>
      <c r="FC29" s="17" t="s">
        <v>870</v>
      </c>
      <c r="FD29" s="17" t="s">
        <v>870</v>
      </c>
      <c r="FE29" s="17" t="s">
        <v>870</v>
      </c>
      <c r="FF29" s="17" t="s">
        <v>870</v>
      </c>
      <c r="FG29" s="17" t="s">
        <v>870</v>
      </c>
      <c r="FH29" s="17" t="s">
        <v>870</v>
      </c>
      <c r="FI29" s="17" t="s">
        <v>870</v>
      </c>
      <c r="FJ29" s="17" t="s">
        <v>870</v>
      </c>
      <c r="FK29" s="17" t="s">
        <v>870</v>
      </c>
      <c r="FL29" s="17" t="s">
        <v>870</v>
      </c>
      <c r="FM29" s="17" t="s">
        <v>870</v>
      </c>
      <c r="FN29" s="17" t="s">
        <v>870</v>
      </c>
      <c r="FO29" s="17" t="s">
        <v>870</v>
      </c>
      <c r="FP29" s="17" t="s">
        <v>870</v>
      </c>
      <c r="FQ29" s="17" t="s">
        <v>870</v>
      </c>
      <c r="FR29" s="17" t="s">
        <v>870</v>
      </c>
      <c r="FS29" s="17" t="s">
        <v>870</v>
      </c>
      <c r="FT29" s="17" t="s">
        <v>870</v>
      </c>
      <c r="FU29" s="17" t="s">
        <v>870</v>
      </c>
      <c r="FV29" s="17" t="s">
        <v>870</v>
      </c>
      <c r="FW29" s="17" t="s">
        <v>870</v>
      </c>
      <c r="FX29" s="17" t="s">
        <v>870</v>
      </c>
      <c r="FY29" s="17" t="s">
        <v>870</v>
      </c>
      <c r="FZ29" s="63"/>
      <c r="GA29" s="61" t="s">
        <v>2</v>
      </c>
      <c r="GB29" s="17" t="s">
        <v>870</v>
      </c>
      <c r="GC29" s="17" t="s">
        <v>870</v>
      </c>
      <c r="GD29" s="17" t="s">
        <v>870</v>
      </c>
      <c r="GE29" s="17" t="s">
        <v>870</v>
      </c>
      <c r="GF29" s="17" t="s">
        <v>870</v>
      </c>
      <c r="GG29" s="17" t="s">
        <v>870</v>
      </c>
      <c r="GH29" s="17" t="s">
        <v>870</v>
      </c>
      <c r="GI29" s="17" t="s">
        <v>870</v>
      </c>
      <c r="GJ29" s="17" t="s">
        <v>870</v>
      </c>
      <c r="GK29" s="17" t="s">
        <v>870</v>
      </c>
      <c r="GL29" s="17" t="s">
        <v>870</v>
      </c>
      <c r="GM29" s="17" t="s">
        <v>870</v>
      </c>
      <c r="GN29" s="17" t="s">
        <v>870</v>
      </c>
      <c r="GO29" s="17" t="s">
        <v>870</v>
      </c>
      <c r="GP29" s="17" t="s">
        <v>870</v>
      </c>
      <c r="GQ29" s="17" t="s">
        <v>870</v>
      </c>
      <c r="GR29" s="17" t="s">
        <v>870</v>
      </c>
      <c r="GS29" s="17" t="s">
        <v>870</v>
      </c>
      <c r="GT29" s="17" t="s">
        <v>870</v>
      </c>
      <c r="GU29" s="17" t="s">
        <v>870</v>
      </c>
      <c r="GV29" s="17" t="s">
        <v>870</v>
      </c>
      <c r="GW29" s="17" t="s">
        <v>870</v>
      </c>
      <c r="GX29" s="17" t="s">
        <v>870</v>
      </c>
      <c r="GY29" s="17" t="s">
        <v>870</v>
      </c>
      <c r="GZ29" s="17" t="s">
        <v>870</v>
      </c>
      <c r="HA29" s="17" t="s">
        <v>870</v>
      </c>
      <c r="HB29" s="17" t="s">
        <v>870</v>
      </c>
      <c r="HC29" s="17" t="s">
        <v>870</v>
      </c>
      <c r="HD29" s="17" t="s">
        <v>870</v>
      </c>
      <c r="HE29" s="17" t="s">
        <v>870</v>
      </c>
      <c r="HF29" s="17" t="s">
        <v>870</v>
      </c>
      <c r="HG29" s="17" t="s">
        <v>870</v>
      </c>
      <c r="HH29" s="17" t="s">
        <v>870</v>
      </c>
      <c r="HI29" s="17" t="s">
        <v>870</v>
      </c>
      <c r="HJ29" s="17" t="s">
        <v>870</v>
      </c>
      <c r="HK29" s="17" t="s">
        <v>870</v>
      </c>
      <c r="HL29" s="17" t="s">
        <v>870</v>
      </c>
      <c r="HM29" s="17" t="s">
        <v>870</v>
      </c>
      <c r="HN29" s="17" t="s">
        <v>870</v>
      </c>
      <c r="HO29" s="17" t="s">
        <v>870</v>
      </c>
      <c r="HP29" s="17" t="s">
        <v>870</v>
      </c>
      <c r="HQ29" s="17" t="s">
        <v>870</v>
      </c>
      <c r="HR29" s="17" t="s">
        <v>870</v>
      </c>
      <c r="HS29" s="17" t="s">
        <v>870</v>
      </c>
      <c r="HT29" s="17" t="s">
        <v>870</v>
      </c>
      <c r="HU29" s="17" t="s">
        <v>870</v>
      </c>
      <c r="HV29" s="17" t="s">
        <v>870</v>
      </c>
      <c r="HW29" s="17" t="s">
        <v>870</v>
      </c>
      <c r="HX29" s="17" t="s">
        <v>870</v>
      </c>
      <c r="HY29" s="17" t="s">
        <v>870</v>
      </c>
      <c r="HZ29" s="17" t="s">
        <v>870</v>
      </c>
      <c r="IA29" s="17" t="s">
        <v>870</v>
      </c>
      <c r="IB29" s="17" t="s">
        <v>870</v>
      </c>
      <c r="IC29" s="17" t="s">
        <v>870</v>
      </c>
      <c r="ID29" s="17" t="s">
        <v>870</v>
      </c>
      <c r="IE29" s="17" t="s">
        <v>870</v>
      </c>
      <c r="IF29" s="17" t="s">
        <v>870</v>
      </c>
      <c r="IG29" s="17" t="s">
        <v>870</v>
      </c>
      <c r="IH29" s="17" t="s">
        <v>870</v>
      </c>
      <c r="II29" s="17" t="s">
        <v>870</v>
      </c>
      <c r="IJ29" s="17" t="s">
        <v>870</v>
      </c>
      <c r="IK29" s="17" t="s">
        <v>870</v>
      </c>
      <c r="IL29" s="17" t="s">
        <v>870</v>
      </c>
      <c r="IM29" s="17" t="s">
        <v>870</v>
      </c>
      <c r="IN29" s="17" t="s">
        <v>870</v>
      </c>
      <c r="IO29" s="17" t="s">
        <v>870</v>
      </c>
      <c r="IP29" s="17" t="s">
        <v>870</v>
      </c>
      <c r="IQ29" s="17" t="s">
        <v>870</v>
      </c>
      <c r="IR29" s="17" t="s">
        <v>870</v>
      </c>
      <c r="IS29" s="17" t="s">
        <v>870</v>
      </c>
      <c r="IT29" s="17" t="s">
        <v>870</v>
      </c>
      <c r="IU29" s="17" t="s">
        <v>870</v>
      </c>
      <c r="IV29" s="17" t="s">
        <v>870</v>
      </c>
      <c r="IW29" s="17" t="s">
        <v>870</v>
      </c>
      <c r="IX29" s="17" t="s">
        <v>870</v>
      </c>
      <c r="IY29" s="17" t="s">
        <v>870</v>
      </c>
      <c r="IZ29" s="17" t="s">
        <v>870</v>
      </c>
      <c r="JA29" s="17" t="s">
        <v>870</v>
      </c>
      <c r="JB29" s="17" t="s">
        <v>870</v>
      </c>
      <c r="JC29" s="17" t="s">
        <v>870</v>
      </c>
      <c r="JD29" s="17" t="s">
        <v>870</v>
      </c>
      <c r="JE29" s="17" t="s">
        <v>870</v>
      </c>
      <c r="JF29" s="17" t="s">
        <v>870</v>
      </c>
      <c r="JG29" s="17" t="s">
        <v>870</v>
      </c>
      <c r="JH29" s="17" t="s">
        <v>870</v>
      </c>
      <c r="JI29" s="17" t="s">
        <v>870</v>
      </c>
      <c r="JJ29" s="17" t="s">
        <v>870</v>
      </c>
      <c r="JK29" s="17" t="s">
        <v>870</v>
      </c>
      <c r="JL29" s="17" t="s">
        <v>870</v>
      </c>
      <c r="JM29" s="17" t="s">
        <v>870</v>
      </c>
      <c r="JN29" s="17" t="s">
        <v>870</v>
      </c>
      <c r="JO29" s="17" t="s">
        <v>870</v>
      </c>
      <c r="JP29" s="17" t="s">
        <v>870</v>
      </c>
      <c r="JQ29" s="17" t="s">
        <v>870</v>
      </c>
      <c r="JR29" s="17" t="s">
        <v>870</v>
      </c>
      <c r="JS29" s="17" t="s">
        <v>870</v>
      </c>
      <c r="JT29" s="17" t="s">
        <v>870</v>
      </c>
    </row>
    <row r="30" spans="1:280" x14ac:dyDescent="0.25">
      <c r="A30" t="s">
        <v>18</v>
      </c>
      <c r="B30" s="17" t="s">
        <v>870</v>
      </c>
      <c r="C30" s="17" t="s">
        <v>870</v>
      </c>
      <c r="D30" s="17" t="s">
        <v>870</v>
      </c>
      <c r="E30" s="17" t="s">
        <v>870</v>
      </c>
      <c r="F30" s="17" t="s">
        <v>870</v>
      </c>
      <c r="G30" s="17" t="s">
        <v>870</v>
      </c>
      <c r="H30" s="17" t="s">
        <v>870</v>
      </c>
      <c r="I30" s="17" t="s">
        <v>870</v>
      </c>
      <c r="J30" s="17" t="s">
        <v>870</v>
      </c>
      <c r="K30" s="17" t="s">
        <v>870</v>
      </c>
      <c r="L30" s="17" t="s">
        <v>870</v>
      </c>
      <c r="M30" s="17" t="s">
        <v>870</v>
      </c>
      <c r="N30" s="17" t="s">
        <v>870</v>
      </c>
      <c r="O30" s="17" t="s">
        <v>870</v>
      </c>
      <c r="P30" s="17" t="s">
        <v>870</v>
      </c>
      <c r="Q30" s="17" t="s">
        <v>870</v>
      </c>
      <c r="R30" s="17" t="s">
        <v>870</v>
      </c>
      <c r="S30" s="17" t="s">
        <v>870</v>
      </c>
      <c r="T30" s="17" t="s">
        <v>870</v>
      </c>
      <c r="U30" s="17" t="s">
        <v>870</v>
      </c>
      <c r="V30" s="17" t="s">
        <v>870</v>
      </c>
      <c r="W30" s="17" t="s">
        <v>870</v>
      </c>
      <c r="X30" s="17" t="s">
        <v>870</v>
      </c>
      <c r="Y30" s="17" t="s">
        <v>870</v>
      </c>
      <c r="Z30" s="17" t="s">
        <v>870</v>
      </c>
      <c r="AA30" s="17" t="s">
        <v>870</v>
      </c>
      <c r="AB30" s="17" t="s">
        <v>870</v>
      </c>
      <c r="AC30" s="17" t="s">
        <v>870</v>
      </c>
      <c r="AD30" s="17" t="s">
        <v>870</v>
      </c>
      <c r="AE30" s="17" t="s">
        <v>870</v>
      </c>
      <c r="AF30" s="17" t="s">
        <v>870</v>
      </c>
      <c r="AG30" s="17" t="s">
        <v>870</v>
      </c>
      <c r="AH30" s="17" t="s">
        <v>870</v>
      </c>
      <c r="AI30" s="17" t="s">
        <v>870</v>
      </c>
      <c r="AJ30" s="17" t="s">
        <v>870</v>
      </c>
      <c r="AK30" s="17" t="s">
        <v>870</v>
      </c>
      <c r="AL30" s="17" t="s">
        <v>870</v>
      </c>
      <c r="AM30" s="17" t="s">
        <v>870</v>
      </c>
      <c r="AN30" s="17" t="s">
        <v>870</v>
      </c>
      <c r="AO30" s="17" t="s">
        <v>870</v>
      </c>
      <c r="AP30" s="17" t="s">
        <v>870</v>
      </c>
      <c r="AQ30" s="17" t="s">
        <v>870</v>
      </c>
      <c r="AR30" s="17" t="s">
        <v>870</v>
      </c>
      <c r="AS30" s="17" t="s">
        <v>870</v>
      </c>
      <c r="AT30" s="61" t="s">
        <v>2</v>
      </c>
      <c r="AU30" s="17" t="s">
        <v>870</v>
      </c>
      <c r="AV30" s="17" t="s">
        <v>870</v>
      </c>
      <c r="AW30" s="17" t="s">
        <v>870</v>
      </c>
      <c r="AX30" s="17" t="s">
        <v>870</v>
      </c>
      <c r="AY30" s="17" t="s">
        <v>870</v>
      </c>
      <c r="AZ30" s="17" t="s">
        <v>870</v>
      </c>
      <c r="BA30" s="17" t="s">
        <v>870</v>
      </c>
      <c r="BB30" s="17" t="s">
        <v>870</v>
      </c>
      <c r="BC30" s="17" t="s">
        <v>870</v>
      </c>
      <c r="BD30" s="17" t="s">
        <v>870</v>
      </c>
      <c r="BE30" s="17" t="s">
        <v>870</v>
      </c>
      <c r="BF30" s="17" t="s">
        <v>870</v>
      </c>
      <c r="BG30" s="17" t="s">
        <v>870</v>
      </c>
      <c r="BH30" s="17" t="s">
        <v>870</v>
      </c>
      <c r="BI30" s="61" t="s">
        <v>2</v>
      </c>
      <c r="BJ30" s="17" t="s">
        <v>870</v>
      </c>
      <c r="BK30" s="17" t="s">
        <v>870</v>
      </c>
      <c r="BL30" s="17" t="s">
        <v>870</v>
      </c>
      <c r="BM30" s="17" t="s">
        <v>870</v>
      </c>
      <c r="BN30" s="17" t="s">
        <v>870</v>
      </c>
      <c r="BO30" s="17" t="s">
        <v>870</v>
      </c>
      <c r="BP30" s="17" t="s">
        <v>870</v>
      </c>
      <c r="BQ30" s="17" t="s">
        <v>870</v>
      </c>
      <c r="BR30" s="17" t="s">
        <v>870</v>
      </c>
      <c r="BS30" s="17" t="s">
        <v>870</v>
      </c>
      <c r="BT30" s="17" t="s">
        <v>870</v>
      </c>
      <c r="BU30" s="17" t="s">
        <v>870</v>
      </c>
      <c r="BV30" s="17" t="s">
        <v>870</v>
      </c>
      <c r="BW30" s="17" t="s">
        <v>870</v>
      </c>
      <c r="BX30" s="17" t="s">
        <v>870</v>
      </c>
      <c r="BY30" s="17" t="s">
        <v>870</v>
      </c>
      <c r="BZ30" s="17" t="s">
        <v>870</v>
      </c>
      <c r="CA30" s="17" t="s">
        <v>870</v>
      </c>
      <c r="CB30" s="17" t="s">
        <v>870</v>
      </c>
      <c r="CC30" s="17" t="s">
        <v>870</v>
      </c>
      <c r="CD30" s="17" t="s">
        <v>870</v>
      </c>
      <c r="CE30" s="17" t="s">
        <v>870</v>
      </c>
      <c r="CF30" s="17" t="s">
        <v>870</v>
      </c>
      <c r="CG30" s="17" t="s">
        <v>870</v>
      </c>
      <c r="CH30" s="17" t="s">
        <v>870</v>
      </c>
      <c r="CI30" s="17" t="s">
        <v>870</v>
      </c>
      <c r="CJ30" s="17" t="s">
        <v>870</v>
      </c>
      <c r="CK30" s="17" t="s">
        <v>870</v>
      </c>
      <c r="CL30" s="17" t="s">
        <v>870</v>
      </c>
      <c r="CM30" s="17" t="s">
        <v>870</v>
      </c>
      <c r="CN30" s="17" t="s">
        <v>870</v>
      </c>
      <c r="CO30" s="17" t="s">
        <v>870</v>
      </c>
      <c r="CP30" s="17" t="s">
        <v>870</v>
      </c>
      <c r="CQ30" s="17" t="s">
        <v>870</v>
      </c>
      <c r="CR30" s="17" t="s">
        <v>870</v>
      </c>
      <c r="CS30" s="17" t="s">
        <v>870</v>
      </c>
      <c r="CT30" s="17" t="s">
        <v>870</v>
      </c>
      <c r="CU30" s="17" t="s">
        <v>870</v>
      </c>
      <c r="CV30" s="17" t="s">
        <v>870</v>
      </c>
      <c r="CW30" s="17" t="s">
        <v>870</v>
      </c>
      <c r="CX30" s="17" t="s">
        <v>870</v>
      </c>
      <c r="CY30" s="17" t="s">
        <v>870</v>
      </c>
      <c r="CZ30" s="17" t="s">
        <v>870</v>
      </c>
      <c r="DA30" s="17" t="s">
        <v>870</v>
      </c>
      <c r="DB30" s="17" t="s">
        <v>870</v>
      </c>
      <c r="DC30" s="17" t="s">
        <v>870</v>
      </c>
      <c r="DD30" s="17" t="s">
        <v>870</v>
      </c>
      <c r="DE30" s="17" t="s">
        <v>870</v>
      </c>
      <c r="DF30" s="17" t="s">
        <v>870</v>
      </c>
      <c r="DG30" s="17" t="s">
        <v>870</v>
      </c>
      <c r="DH30" s="17" t="s">
        <v>870</v>
      </c>
      <c r="DI30" s="17" t="s">
        <v>870</v>
      </c>
      <c r="DJ30" s="17" t="s">
        <v>870</v>
      </c>
      <c r="DK30" s="17" t="s">
        <v>870</v>
      </c>
      <c r="DL30" s="17" t="s">
        <v>870</v>
      </c>
      <c r="DM30" s="17" t="s">
        <v>870</v>
      </c>
      <c r="DN30" s="17" t="s">
        <v>870</v>
      </c>
      <c r="DO30" s="17" t="s">
        <v>870</v>
      </c>
      <c r="DP30" s="17" t="s">
        <v>870</v>
      </c>
      <c r="DQ30" s="17" t="s">
        <v>870</v>
      </c>
      <c r="DR30" s="17" t="s">
        <v>870</v>
      </c>
      <c r="DS30" s="17" t="s">
        <v>870</v>
      </c>
      <c r="DT30" s="17" t="s">
        <v>870</v>
      </c>
      <c r="DU30" s="17" t="s">
        <v>870</v>
      </c>
      <c r="DV30" s="17" t="s">
        <v>870</v>
      </c>
      <c r="DW30" s="17" t="s">
        <v>870</v>
      </c>
      <c r="DX30" s="17" t="s">
        <v>870</v>
      </c>
      <c r="DY30" s="17" t="s">
        <v>870</v>
      </c>
      <c r="DZ30" s="17" t="s">
        <v>870</v>
      </c>
      <c r="EA30" s="17" t="s">
        <v>870</v>
      </c>
      <c r="EB30" s="17" t="s">
        <v>870</v>
      </c>
      <c r="EC30" s="17" t="s">
        <v>870</v>
      </c>
      <c r="ED30" s="17" t="s">
        <v>870</v>
      </c>
      <c r="EE30" s="17" t="s">
        <v>870</v>
      </c>
      <c r="EF30" s="17" t="s">
        <v>870</v>
      </c>
      <c r="EG30" s="17" t="s">
        <v>870</v>
      </c>
      <c r="EH30" s="17" t="s">
        <v>870</v>
      </c>
      <c r="EI30" s="17" t="s">
        <v>870</v>
      </c>
      <c r="EJ30" s="17" t="s">
        <v>870</v>
      </c>
      <c r="EK30" s="17" t="s">
        <v>870</v>
      </c>
      <c r="EL30" s="17" t="s">
        <v>870</v>
      </c>
      <c r="EM30" s="17" t="s">
        <v>870</v>
      </c>
      <c r="EN30" s="17" t="s">
        <v>870</v>
      </c>
      <c r="EO30" s="17" t="s">
        <v>870</v>
      </c>
      <c r="EP30" s="17" t="s">
        <v>870</v>
      </c>
      <c r="EQ30" s="17" t="s">
        <v>870</v>
      </c>
      <c r="ER30" s="17" t="s">
        <v>870</v>
      </c>
      <c r="ES30" s="17" t="s">
        <v>870</v>
      </c>
      <c r="ET30" s="17" t="s">
        <v>870</v>
      </c>
      <c r="EU30" s="17" t="s">
        <v>870</v>
      </c>
      <c r="EV30" s="17" t="s">
        <v>870</v>
      </c>
      <c r="EW30" s="17" t="s">
        <v>870</v>
      </c>
      <c r="EX30" s="17" t="s">
        <v>870</v>
      </c>
      <c r="EY30" s="17" t="s">
        <v>870</v>
      </c>
      <c r="EZ30" s="17" t="s">
        <v>870</v>
      </c>
      <c r="FA30" s="17" t="s">
        <v>870</v>
      </c>
      <c r="FB30" s="17" t="s">
        <v>870</v>
      </c>
      <c r="FC30" s="17" t="s">
        <v>870</v>
      </c>
      <c r="FD30" s="17" t="s">
        <v>870</v>
      </c>
      <c r="FE30" s="17" t="s">
        <v>870</v>
      </c>
      <c r="FF30" s="17" t="s">
        <v>870</v>
      </c>
      <c r="FG30" s="17" t="s">
        <v>870</v>
      </c>
      <c r="FH30" s="17" t="s">
        <v>870</v>
      </c>
      <c r="FI30" s="17" t="s">
        <v>870</v>
      </c>
      <c r="FJ30" s="17" t="s">
        <v>870</v>
      </c>
      <c r="FK30" s="17" t="s">
        <v>870</v>
      </c>
      <c r="FL30" s="17" t="s">
        <v>870</v>
      </c>
      <c r="FM30" s="17" t="s">
        <v>870</v>
      </c>
      <c r="FN30" s="17" t="s">
        <v>870</v>
      </c>
      <c r="FO30" s="17" t="s">
        <v>870</v>
      </c>
      <c r="FP30" s="17" t="s">
        <v>870</v>
      </c>
      <c r="FQ30" s="17" t="s">
        <v>870</v>
      </c>
      <c r="FR30" s="17" t="s">
        <v>870</v>
      </c>
      <c r="FS30" s="17" t="s">
        <v>870</v>
      </c>
      <c r="FT30" s="17" t="s">
        <v>870</v>
      </c>
      <c r="FU30" s="17" t="s">
        <v>870</v>
      </c>
      <c r="FV30" s="17" t="s">
        <v>870</v>
      </c>
      <c r="FW30" s="17" t="s">
        <v>870</v>
      </c>
      <c r="FX30" s="17" t="s">
        <v>870</v>
      </c>
      <c r="FY30" s="17" t="s">
        <v>870</v>
      </c>
      <c r="FZ30" s="17" t="s">
        <v>870</v>
      </c>
      <c r="GA30" s="17" t="s">
        <v>870</v>
      </c>
      <c r="GB30" s="17" t="s">
        <v>870</v>
      </c>
      <c r="GC30" s="17" t="s">
        <v>870</v>
      </c>
      <c r="GD30" s="17" t="s">
        <v>870</v>
      </c>
      <c r="GE30" s="17" t="s">
        <v>870</v>
      </c>
      <c r="GF30" s="17" t="s">
        <v>870</v>
      </c>
      <c r="GG30" s="17" t="s">
        <v>870</v>
      </c>
      <c r="GH30" s="17" t="s">
        <v>870</v>
      </c>
      <c r="GI30" s="17" t="s">
        <v>870</v>
      </c>
      <c r="GJ30" s="17" t="s">
        <v>870</v>
      </c>
      <c r="GK30" s="17" t="s">
        <v>870</v>
      </c>
      <c r="GL30" s="17" t="s">
        <v>870</v>
      </c>
      <c r="GM30" s="17" t="s">
        <v>870</v>
      </c>
      <c r="GN30" s="17" t="s">
        <v>870</v>
      </c>
      <c r="GO30" s="17" t="s">
        <v>870</v>
      </c>
      <c r="GP30" s="17" t="s">
        <v>870</v>
      </c>
      <c r="GQ30" s="17" t="s">
        <v>870</v>
      </c>
      <c r="GR30" s="17" t="s">
        <v>870</v>
      </c>
      <c r="GS30" s="17" t="s">
        <v>870</v>
      </c>
      <c r="GT30" s="17" t="s">
        <v>870</v>
      </c>
      <c r="GU30" s="17" t="s">
        <v>870</v>
      </c>
      <c r="GV30" s="17" t="s">
        <v>870</v>
      </c>
      <c r="GW30" s="17" t="s">
        <v>870</v>
      </c>
      <c r="GX30" s="17" t="s">
        <v>870</v>
      </c>
      <c r="GY30" s="17" t="s">
        <v>870</v>
      </c>
      <c r="GZ30" s="17" t="s">
        <v>870</v>
      </c>
      <c r="HA30" s="17" t="s">
        <v>870</v>
      </c>
      <c r="HB30" s="17" t="s">
        <v>870</v>
      </c>
      <c r="HC30" s="17" t="s">
        <v>870</v>
      </c>
      <c r="HD30" s="17" t="s">
        <v>870</v>
      </c>
      <c r="HE30" s="17" t="s">
        <v>870</v>
      </c>
      <c r="HF30" s="17" t="s">
        <v>870</v>
      </c>
      <c r="HG30" s="17" t="s">
        <v>870</v>
      </c>
      <c r="HH30" s="17" t="s">
        <v>870</v>
      </c>
      <c r="HI30" s="17" t="s">
        <v>870</v>
      </c>
      <c r="HJ30" s="17" t="s">
        <v>870</v>
      </c>
      <c r="HK30" s="17" t="s">
        <v>870</v>
      </c>
      <c r="HL30" s="17" t="s">
        <v>870</v>
      </c>
      <c r="HM30" s="17" t="s">
        <v>870</v>
      </c>
      <c r="HN30" s="17" t="s">
        <v>870</v>
      </c>
      <c r="HO30" s="17" t="s">
        <v>870</v>
      </c>
      <c r="HP30" s="17" t="s">
        <v>870</v>
      </c>
      <c r="HQ30" s="17" t="s">
        <v>870</v>
      </c>
      <c r="HR30" s="17" t="s">
        <v>870</v>
      </c>
      <c r="HS30" s="17" t="s">
        <v>870</v>
      </c>
      <c r="HT30" s="17" t="s">
        <v>870</v>
      </c>
      <c r="HU30" s="17" t="s">
        <v>870</v>
      </c>
      <c r="HV30" s="17" t="s">
        <v>870</v>
      </c>
      <c r="HW30" s="17" t="s">
        <v>870</v>
      </c>
      <c r="HX30" s="17" t="s">
        <v>870</v>
      </c>
      <c r="HY30" s="17" t="s">
        <v>870</v>
      </c>
      <c r="HZ30" s="17" t="s">
        <v>870</v>
      </c>
      <c r="IA30" s="17" t="s">
        <v>870</v>
      </c>
      <c r="IB30" s="17" t="s">
        <v>870</v>
      </c>
      <c r="IC30" s="17" t="s">
        <v>870</v>
      </c>
      <c r="ID30" s="17" t="s">
        <v>870</v>
      </c>
      <c r="IE30" s="17" t="s">
        <v>870</v>
      </c>
      <c r="IF30" s="17" t="s">
        <v>870</v>
      </c>
      <c r="IG30" s="17" t="s">
        <v>870</v>
      </c>
      <c r="IH30" s="17" t="s">
        <v>870</v>
      </c>
      <c r="II30" s="17" t="s">
        <v>870</v>
      </c>
      <c r="IJ30" s="17" t="s">
        <v>870</v>
      </c>
      <c r="IK30" s="17" t="s">
        <v>870</v>
      </c>
      <c r="IL30" s="17" t="s">
        <v>870</v>
      </c>
      <c r="IM30" s="17" t="s">
        <v>870</v>
      </c>
      <c r="IN30" s="17" t="s">
        <v>870</v>
      </c>
      <c r="IO30" s="17" t="s">
        <v>870</v>
      </c>
      <c r="IP30" s="17" t="s">
        <v>870</v>
      </c>
      <c r="IQ30" s="17" t="s">
        <v>870</v>
      </c>
      <c r="IR30" s="17" t="s">
        <v>870</v>
      </c>
      <c r="IS30" s="17" t="s">
        <v>870</v>
      </c>
      <c r="IT30" s="17" t="s">
        <v>870</v>
      </c>
      <c r="IU30" s="17" t="s">
        <v>870</v>
      </c>
      <c r="IV30" s="17" t="s">
        <v>870</v>
      </c>
      <c r="IW30" s="17" t="s">
        <v>870</v>
      </c>
      <c r="IX30" s="17" t="s">
        <v>870</v>
      </c>
      <c r="IY30" s="17" t="s">
        <v>870</v>
      </c>
      <c r="IZ30" s="17" t="s">
        <v>870</v>
      </c>
      <c r="JA30" s="17" t="s">
        <v>870</v>
      </c>
      <c r="JB30" s="17" t="s">
        <v>870</v>
      </c>
      <c r="JC30" s="17" t="s">
        <v>870</v>
      </c>
      <c r="JD30" s="17" t="s">
        <v>870</v>
      </c>
      <c r="JE30" s="17" t="s">
        <v>870</v>
      </c>
      <c r="JF30" s="17" t="s">
        <v>870</v>
      </c>
      <c r="JG30" s="17" t="s">
        <v>870</v>
      </c>
      <c r="JH30" s="17" t="s">
        <v>870</v>
      </c>
      <c r="JI30" s="17" t="s">
        <v>870</v>
      </c>
      <c r="JJ30" s="17" t="s">
        <v>870</v>
      </c>
      <c r="JK30" s="17" t="s">
        <v>870</v>
      </c>
      <c r="JL30" s="17" t="s">
        <v>870</v>
      </c>
      <c r="JM30" s="17" t="s">
        <v>870</v>
      </c>
      <c r="JN30" s="17" t="s">
        <v>870</v>
      </c>
      <c r="JO30" s="17" t="s">
        <v>870</v>
      </c>
      <c r="JP30" s="17" t="s">
        <v>870</v>
      </c>
      <c r="JQ30" s="17" t="s">
        <v>870</v>
      </c>
      <c r="JR30" s="17" t="s">
        <v>870</v>
      </c>
      <c r="JS30" s="17" t="s">
        <v>870</v>
      </c>
      <c r="JT30" s="17" t="s">
        <v>870</v>
      </c>
    </row>
    <row r="31" spans="1:280" x14ac:dyDescent="0.25">
      <c r="A31" t="s">
        <v>82</v>
      </c>
      <c r="B31" s="17" t="s">
        <v>870</v>
      </c>
      <c r="C31" s="17" t="s">
        <v>870</v>
      </c>
      <c r="D31" s="17" t="s">
        <v>870</v>
      </c>
      <c r="E31" s="17" t="s">
        <v>870</v>
      </c>
      <c r="F31" s="17" t="s">
        <v>870</v>
      </c>
      <c r="G31" s="17" t="s">
        <v>870</v>
      </c>
      <c r="H31" s="17" t="s">
        <v>870</v>
      </c>
      <c r="I31" s="17" t="s">
        <v>870</v>
      </c>
      <c r="J31" s="17" t="s">
        <v>870</v>
      </c>
      <c r="K31" s="17" t="s">
        <v>870</v>
      </c>
      <c r="L31" s="17" t="s">
        <v>870</v>
      </c>
      <c r="M31" s="17" t="s">
        <v>870</v>
      </c>
      <c r="N31" s="17" t="s">
        <v>870</v>
      </c>
      <c r="O31" s="17" t="s">
        <v>870</v>
      </c>
      <c r="P31" s="17" t="s">
        <v>870</v>
      </c>
      <c r="Q31" s="17" t="s">
        <v>870</v>
      </c>
      <c r="R31" s="17" t="s">
        <v>870</v>
      </c>
      <c r="S31" s="17" t="s">
        <v>870</v>
      </c>
      <c r="T31" s="17" t="s">
        <v>870</v>
      </c>
      <c r="U31" s="17" t="s">
        <v>870</v>
      </c>
      <c r="V31" s="17" t="s">
        <v>870</v>
      </c>
      <c r="W31" s="17" t="s">
        <v>870</v>
      </c>
      <c r="X31" s="17" t="s">
        <v>870</v>
      </c>
      <c r="Y31" s="17" t="s">
        <v>870</v>
      </c>
      <c r="Z31" s="17" t="s">
        <v>870</v>
      </c>
      <c r="AA31" s="17" t="s">
        <v>870</v>
      </c>
      <c r="AB31" s="17" t="s">
        <v>870</v>
      </c>
      <c r="AC31" s="17" t="s">
        <v>870</v>
      </c>
      <c r="AD31" s="17" t="s">
        <v>870</v>
      </c>
      <c r="AE31" s="17" t="s">
        <v>870</v>
      </c>
      <c r="AF31" s="17" t="s">
        <v>870</v>
      </c>
      <c r="AG31" s="17" t="s">
        <v>870</v>
      </c>
      <c r="AH31" s="17" t="s">
        <v>870</v>
      </c>
      <c r="AI31" s="17" t="s">
        <v>870</v>
      </c>
      <c r="AJ31" s="17" t="s">
        <v>870</v>
      </c>
      <c r="AK31" s="17" t="s">
        <v>870</v>
      </c>
      <c r="AL31" s="17" t="s">
        <v>870</v>
      </c>
      <c r="AM31" s="17" t="s">
        <v>870</v>
      </c>
      <c r="AN31" s="17" t="s">
        <v>870</v>
      </c>
      <c r="AO31" s="17" t="s">
        <v>870</v>
      </c>
      <c r="AP31" s="17" t="s">
        <v>870</v>
      </c>
      <c r="AQ31" s="17" t="s">
        <v>870</v>
      </c>
      <c r="AR31" s="17" t="s">
        <v>870</v>
      </c>
      <c r="AS31" s="17" t="s">
        <v>870</v>
      </c>
      <c r="AT31" s="17" t="s">
        <v>870</v>
      </c>
      <c r="AU31" s="17" t="s">
        <v>870</v>
      </c>
      <c r="AV31" s="17" t="s">
        <v>870</v>
      </c>
      <c r="AW31" s="17" t="s">
        <v>870</v>
      </c>
      <c r="AX31" s="17" t="s">
        <v>870</v>
      </c>
      <c r="AY31" s="17" t="s">
        <v>870</v>
      </c>
      <c r="AZ31" s="17" t="s">
        <v>870</v>
      </c>
      <c r="BA31" s="17" t="s">
        <v>870</v>
      </c>
      <c r="BB31" s="17" t="s">
        <v>870</v>
      </c>
      <c r="BC31" s="17" t="s">
        <v>870</v>
      </c>
      <c r="BD31" s="17" t="s">
        <v>870</v>
      </c>
      <c r="BE31" s="17" t="s">
        <v>870</v>
      </c>
      <c r="BF31" s="17" t="s">
        <v>870</v>
      </c>
      <c r="BG31" s="17" t="s">
        <v>870</v>
      </c>
      <c r="BH31" s="17" t="s">
        <v>870</v>
      </c>
      <c r="BI31" s="17" t="s">
        <v>870</v>
      </c>
      <c r="BJ31" s="17" t="s">
        <v>870</v>
      </c>
      <c r="BK31" s="17" t="s">
        <v>870</v>
      </c>
      <c r="BL31" s="17" t="s">
        <v>870</v>
      </c>
      <c r="BM31" s="17" t="s">
        <v>870</v>
      </c>
      <c r="BN31" s="17" t="s">
        <v>870</v>
      </c>
      <c r="BO31" s="17" t="s">
        <v>870</v>
      </c>
      <c r="BP31" s="17" t="s">
        <v>870</v>
      </c>
      <c r="BQ31" s="17" t="s">
        <v>870</v>
      </c>
      <c r="BR31" s="17" t="s">
        <v>870</v>
      </c>
      <c r="BS31" s="17" t="s">
        <v>870</v>
      </c>
      <c r="BT31" s="17" t="s">
        <v>870</v>
      </c>
      <c r="BU31" s="17" t="s">
        <v>870</v>
      </c>
      <c r="BV31" s="17" t="s">
        <v>870</v>
      </c>
      <c r="BW31" s="17" t="s">
        <v>870</v>
      </c>
      <c r="BX31" s="17" t="s">
        <v>870</v>
      </c>
      <c r="BY31" s="17" t="s">
        <v>870</v>
      </c>
      <c r="BZ31" s="17" t="s">
        <v>870</v>
      </c>
      <c r="CA31" s="17" t="s">
        <v>870</v>
      </c>
      <c r="CB31" s="17" t="s">
        <v>870</v>
      </c>
      <c r="CC31" s="17" t="s">
        <v>870</v>
      </c>
      <c r="CD31" s="17" t="s">
        <v>870</v>
      </c>
      <c r="CE31" s="61" t="s">
        <v>2</v>
      </c>
      <c r="CF31" s="17" t="s">
        <v>870</v>
      </c>
      <c r="CG31" s="17" t="s">
        <v>870</v>
      </c>
      <c r="CH31" s="17" t="s">
        <v>870</v>
      </c>
      <c r="CI31" s="17" t="s">
        <v>870</v>
      </c>
      <c r="CJ31" s="17" t="s">
        <v>870</v>
      </c>
      <c r="CK31" s="17" t="s">
        <v>870</v>
      </c>
      <c r="CL31" s="17" t="s">
        <v>870</v>
      </c>
      <c r="CM31" s="17" t="s">
        <v>870</v>
      </c>
      <c r="CN31" s="17" t="s">
        <v>870</v>
      </c>
      <c r="CO31" s="17" t="s">
        <v>870</v>
      </c>
      <c r="CP31" s="17" t="s">
        <v>870</v>
      </c>
      <c r="CQ31" s="17" t="s">
        <v>870</v>
      </c>
      <c r="CR31" s="17" t="s">
        <v>870</v>
      </c>
      <c r="CS31" s="17" t="s">
        <v>870</v>
      </c>
      <c r="CT31" s="17" t="s">
        <v>870</v>
      </c>
      <c r="CU31" s="17" t="s">
        <v>870</v>
      </c>
      <c r="CV31" s="63"/>
      <c r="CW31" s="63"/>
      <c r="CX31" s="63"/>
      <c r="CY31" s="61" t="s">
        <v>2</v>
      </c>
      <c r="CZ31" s="17" t="s">
        <v>870</v>
      </c>
      <c r="DA31" s="17" t="s">
        <v>870</v>
      </c>
      <c r="DB31" s="17" t="s">
        <v>870</v>
      </c>
      <c r="DC31" s="17" t="s">
        <v>870</v>
      </c>
      <c r="DD31" s="17" t="s">
        <v>870</v>
      </c>
      <c r="DE31" s="17" t="s">
        <v>870</v>
      </c>
      <c r="DF31" s="17" t="s">
        <v>870</v>
      </c>
      <c r="DG31" s="17" t="s">
        <v>870</v>
      </c>
      <c r="DH31" s="17" t="s">
        <v>870</v>
      </c>
      <c r="DI31" s="17" t="s">
        <v>870</v>
      </c>
      <c r="DJ31" s="17" t="s">
        <v>870</v>
      </c>
      <c r="DK31" s="17" t="s">
        <v>870</v>
      </c>
      <c r="DL31" s="17" t="s">
        <v>870</v>
      </c>
      <c r="DM31" s="17" t="s">
        <v>870</v>
      </c>
      <c r="DN31" s="17" t="s">
        <v>870</v>
      </c>
      <c r="DO31" s="17" t="s">
        <v>870</v>
      </c>
      <c r="DP31" s="17" t="s">
        <v>870</v>
      </c>
      <c r="DQ31" s="17" t="s">
        <v>870</v>
      </c>
      <c r="DR31" s="17" t="s">
        <v>870</v>
      </c>
      <c r="DS31" s="17" t="s">
        <v>870</v>
      </c>
      <c r="DT31" s="17" t="s">
        <v>870</v>
      </c>
      <c r="DU31" s="17" t="s">
        <v>870</v>
      </c>
      <c r="DV31" s="17" t="s">
        <v>870</v>
      </c>
      <c r="DW31" s="17" t="s">
        <v>870</v>
      </c>
      <c r="DX31" s="17" t="s">
        <v>870</v>
      </c>
      <c r="DY31" s="17" t="s">
        <v>870</v>
      </c>
      <c r="DZ31" s="17" t="s">
        <v>870</v>
      </c>
      <c r="EA31" s="17" t="s">
        <v>870</v>
      </c>
      <c r="EB31" s="17" t="s">
        <v>870</v>
      </c>
      <c r="EC31" s="17" t="s">
        <v>870</v>
      </c>
      <c r="ED31" s="17" t="s">
        <v>870</v>
      </c>
      <c r="EE31" s="17" t="s">
        <v>870</v>
      </c>
      <c r="EF31" s="17" t="s">
        <v>870</v>
      </c>
      <c r="EG31" s="17" t="s">
        <v>870</v>
      </c>
      <c r="EH31" s="17" t="s">
        <v>870</v>
      </c>
      <c r="EI31" s="17" t="s">
        <v>870</v>
      </c>
      <c r="EJ31" s="17" t="s">
        <v>870</v>
      </c>
      <c r="EK31" s="17" t="s">
        <v>870</v>
      </c>
      <c r="EL31" s="17" t="s">
        <v>870</v>
      </c>
      <c r="EM31" s="17" t="s">
        <v>870</v>
      </c>
      <c r="EN31" s="17" t="s">
        <v>870</v>
      </c>
      <c r="EO31" s="17" t="s">
        <v>870</v>
      </c>
      <c r="EP31" s="17" t="s">
        <v>870</v>
      </c>
      <c r="EQ31" s="17" t="s">
        <v>870</v>
      </c>
      <c r="ER31" s="17" t="s">
        <v>870</v>
      </c>
      <c r="ES31" s="17" t="s">
        <v>870</v>
      </c>
      <c r="ET31" s="17" t="s">
        <v>870</v>
      </c>
      <c r="EU31" s="17" t="s">
        <v>870</v>
      </c>
      <c r="EV31" s="17" t="s">
        <v>870</v>
      </c>
      <c r="EW31" s="17" t="s">
        <v>870</v>
      </c>
      <c r="EX31" s="17" t="s">
        <v>870</v>
      </c>
      <c r="EY31" s="17" t="s">
        <v>870</v>
      </c>
      <c r="EZ31" s="17" t="s">
        <v>870</v>
      </c>
      <c r="FA31" s="17" t="s">
        <v>870</v>
      </c>
      <c r="FB31" s="17" t="s">
        <v>870</v>
      </c>
      <c r="FC31" s="17" t="s">
        <v>870</v>
      </c>
      <c r="FD31" s="17" t="s">
        <v>870</v>
      </c>
      <c r="FE31" s="17" t="s">
        <v>870</v>
      </c>
      <c r="FF31" s="17" t="s">
        <v>870</v>
      </c>
      <c r="FG31" s="17" t="s">
        <v>870</v>
      </c>
      <c r="FH31" s="17" t="s">
        <v>870</v>
      </c>
      <c r="FI31" s="17" t="s">
        <v>870</v>
      </c>
      <c r="FJ31" s="17" t="s">
        <v>870</v>
      </c>
      <c r="FK31" s="17" t="s">
        <v>870</v>
      </c>
      <c r="FL31" s="17" t="s">
        <v>870</v>
      </c>
      <c r="FM31" s="17" t="s">
        <v>870</v>
      </c>
      <c r="FN31" s="17" t="s">
        <v>870</v>
      </c>
      <c r="FO31" s="17" t="s">
        <v>870</v>
      </c>
      <c r="FP31" s="17" t="s">
        <v>870</v>
      </c>
      <c r="FQ31" s="17" t="s">
        <v>870</v>
      </c>
      <c r="FR31" s="17" t="s">
        <v>870</v>
      </c>
      <c r="FS31" s="17" t="s">
        <v>870</v>
      </c>
      <c r="FT31" s="17" t="s">
        <v>870</v>
      </c>
      <c r="FU31" s="17" t="s">
        <v>870</v>
      </c>
      <c r="FV31" s="17" t="s">
        <v>870</v>
      </c>
      <c r="FW31" s="17" t="s">
        <v>870</v>
      </c>
      <c r="FX31" s="17" t="s">
        <v>870</v>
      </c>
      <c r="FY31" s="17" t="s">
        <v>870</v>
      </c>
      <c r="FZ31" s="17" t="s">
        <v>870</v>
      </c>
      <c r="GA31" s="17" t="s">
        <v>870</v>
      </c>
      <c r="GB31" s="17" t="s">
        <v>870</v>
      </c>
      <c r="GC31" s="17" t="s">
        <v>870</v>
      </c>
      <c r="GD31" s="17" t="s">
        <v>870</v>
      </c>
      <c r="GE31" s="17" t="s">
        <v>870</v>
      </c>
      <c r="GF31" s="17" t="s">
        <v>870</v>
      </c>
      <c r="GG31" s="17" t="s">
        <v>870</v>
      </c>
      <c r="GH31" s="17" t="s">
        <v>870</v>
      </c>
      <c r="GI31" s="17" t="s">
        <v>870</v>
      </c>
      <c r="GJ31" s="17" t="s">
        <v>870</v>
      </c>
      <c r="GK31" s="17" t="s">
        <v>870</v>
      </c>
      <c r="GL31" s="17" t="s">
        <v>870</v>
      </c>
      <c r="GM31" s="17" t="s">
        <v>870</v>
      </c>
      <c r="GN31" s="17" t="s">
        <v>870</v>
      </c>
      <c r="GO31" s="17" t="s">
        <v>870</v>
      </c>
      <c r="GP31" s="17" t="s">
        <v>870</v>
      </c>
      <c r="GQ31" s="17" t="s">
        <v>870</v>
      </c>
      <c r="GR31" s="17" t="s">
        <v>870</v>
      </c>
      <c r="GS31" s="17" t="s">
        <v>870</v>
      </c>
      <c r="GT31" s="17" t="s">
        <v>870</v>
      </c>
      <c r="GU31" s="17" t="s">
        <v>870</v>
      </c>
      <c r="GV31" s="17" t="s">
        <v>870</v>
      </c>
      <c r="GW31" s="17" t="s">
        <v>870</v>
      </c>
      <c r="GX31" s="17" t="s">
        <v>870</v>
      </c>
      <c r="GY31" s="17" t="s">
        <v>870</v>
      </c>
      <c r="GZ31" s="17" t="s">
        <v>870</v>
      </c>
      <c r="HA31" s="17" t="s">
        <v>870</v>
      </c>
      <c r="HB31" s="17" t="s">
        <v>870</v>
      </c>
      <c r="HC31" s="17" t="s">
        <v>870</v>
      </c>
      <c r="HD31" s="17" t="s">
        <v>870</v>
      </c>
      <c r="HE31" s="17" t="s">
        <v>870</v>
      </c>
      <c r="HF31" s="17" t="s">
        <v>870</v>
      </c>
      <c r="HG31" s="17" t="s">
        <v>870</v>
      </c>
      <c r="HH31" s="17" t="s">
        <v>870</v>
      </c>
      <c r="HI31" s="17" t="s">
        <v>870</v>
      </c>
      <c r="HJ31" s="17" t="s">
        <v>870</v>
      </c>
      <c r="HK31" s="17" t="s">
        <v>870</v>
      </c>
      <c r="HL31" s="17" t="s">
        <v>870</v>
      </c>
      <c r="HM31" s="17" t="s">
        <v>870</v>
      </c>
      <c r="HN31" s="17" t="s">
        <v>870</v>
      </c>
      <c r="HO31" s="17" t="s">
        <v>870</v>
      </c>
      <c r="HP31" s="17" t="s">
        <v>870</v>
      </c>
      <c r="HQ31" s="17" t="s">
        <v>870</v>
      </c>
      <c r="HR31" s="17" t="s">
        <v>870</v>
      </c>
      <c r="HS31" s="17" t="s">
        <v>870</v>
      </c>
      <c r="HT31" s="17" t="s">
        <v>870</v>
      </c>
      <c r="HU31" s="17" t="s">
        <v>870</v>
      </c>
      <c r="HV31" s="17" t="s">
        <v>870</v>
      </c>
      <c r="HW31" s="17" t="s">
        <v>870</v>
      </c>
      <c r="HX31" s="17" t="s">
        <v>870</v>
      </c>
      <c r="HY31" s="17" t="s">
        <v>870</v>
      </c>
      <c r="HZ31" s="17" t="s">
        <v>870</v>
      </c>
      <c r="IA31" s="17" t="s">
        <v>870</v>
      </c>
      <c r="IB31" s="17" t="s">
        <v>870</v>
      </c>
      <c r="IC31" s="17" t="s">
        <v>870</v>
      </c>
      <c r="ID31" s="17" t="s">
        <v>870</v>
      </c>
      <c r="IE31" s="17" t="s">
        <v>870</v>
      </c>
      <c r="IF31" s="17" t="s">
        <v>870</v>
      </c>
      <c r="IG31" s="17" t="s">
        <v>870</v>
      </c>
      <c r="IH31" s="17" t="s">
        <v>870</v>
      </c>
      <c r="II31" s="17" t="s">
        <v>870</v>
      </c>
      <c r="IJ31" s="17" t="s">
        <v>870</v>
      </c>
      <c r="IK31" s="17" t="s">
        <v>870</v>
      </c>
      <c r="IL31" s="17" t="s">
        <v>870</v>
      </c>
      <c r="IM31" s="17" t="s">
        <v>870</v>
      </c>
      <c r="IN31" s="17" t="s">
        <v>870</v>
      </c>
      <c r="IO31" s="17" t="s">
        <v>870</v>
      </c>
      <c r="IP31" s="17" t="s">
        <v>870</v>
      </c>
      <c r="IQ31" s="17" t="s">
        <v>870</v>
      </c>
      <c r="IR31" s="17" t="s">
        <v>870</v>
      </c>
      <c r="IS31" s="17" t="s">
        <v>870</v>
      </c>
      <c r="IT31" s="17" t="s">
        <v>870</v>
      </c>
      <c r="IU31" s="17" t="s">
        <v>870</v>
      </c>
      <c r="IV31" s="17" t="s">
        <v>870</v>
      </c>
      <c r="IW31" s="17" t="s">
        <v>870</v>
      </c>
      <c r="IX31" s="17" t="s">
        <v>870</v>
      </c>
      <c r="IY31" s="17" t="s">
        <v>870</v>
      </c>
      <c r="IZ31" s="17" t="s">
        <v>870</v>
      </c>
      <c r="JA31" s="17" t="s">
        <v>870</v>
      </c>
      <c r="JB31" s="17" t="s">
        <v>870</v>
      </c>
      <c r="JC31" s="17" t="s">
        <v>870</v>
      </c>
      <c r="JD31" s="17" t="s">
        <v>870</v>
      </c>
      <c r="JE31" s="17" t="s">
        <v>870</v>
      </c>
      <c r="JF31" s="17" t="s">
        <v>870</v>
      </c>
      <c r="JG31" s="17" t="s">
        <v>870</v>
      </c>
      <c r="JH31" s="17" t="s">
        <v>870</v>
      </c>
      <c r="JI31" s="17" t="s">
        <v>870</v>
      </c>
      <c r="JJ31" s="17" t="s">
        <v>870</v>
      </c>
      <c r="JK31" s="17" t="s">
        <v>870</v>
      </c>
      <c r="JL31" s="17" t="s">
        <v>870</v>
      </c>
      <c r="JM31" s="17" t="s">
        <v>870</v>
      </c>
      <c r="JN31" s="17" t="s">
        <v>870</v>
      </c>
      <c r="JO31" s="17" t="s">
        <v>870</v>
      </c>
      <c r="JP31" s="17" t="s">
        <v>870</v>
      </c>
      <c r="JQ31" s="17" t="s">
        <v>870</v>
      </c>
      <c r="JR31" s="17" t="s">
        <v>870</v>
      </c>
      <c r="JS31" s="17" t="s">
        <v>870</v>
      </c>
      <c r="JT31" s="17" t="s">
        <v>870</v>
      </c>
    </row>
    <row r="32" spans="1:280" x14ac:dyDescent="0.25">
      <c r="A32" t="s">
        <v>26</v>
      </c>
      <c r="B32" s="62"/>
      <c r="C32" s="62"/>
      <c r="D32" s="17" t="s">
        <v>870</v>
      </c>
      <c r="E32" s="17" t="s">
        <v>870</v>
      </c>
      <c r="F32" s="17" t="s">
        <v>870</v>
      </c>
      <c r="G32" s="17" t="s">
        <v>870</v>
      </c>
      <c r="H32" s="17" t="s">
        <v>870</v>
      </c>
      <c r="I32" s="17" t="s">
        <v>870</v>
      </c>
      <c r="J32" s="17" t="s">
        <v>870</v>
      </c>
      <c r="K32" s="17" t="s">
        <v>870</v>
      </c>
      <c r="L32" s="17" t="s">
        <v>870</v>
      </c>
      <c r="M32" s="17" t="s">
        <v>870</v>
      </c>
      <c r="N32" s="17" t="s">
        <v>870</v>
      </c>
      <c r="O32" s="17" t="s">
        <v>870</v>
      </c>
      <c r="P32" s="17" t="s">
        <v>870</v>
      </c>
      <c r="Q32" s="17" t="s">
        <v>870</v>
      </c>
      <c r="R32" s="17" t="s">
        <v>870</v>
      </c>
      <c r="S32" s="17" t="s">
        <v>870</v>
      </c>
      <c r="T32" s="17" t="s">
        <v>870</v>
      </c>
      <c r="U32" s="17" t="s">
        <v>870</v>
      </c>
      <c r="V32" s="17" t="s">
        <v>870</v>
      </c>
      <c r="W32" s="17" t="s">
        <v>870</v>
      </c>
      <c r="X32" s="17" t="s">
        <v>870</v>
      </c>
      <c r="Y32" s="17" t="s">
        <v>870</v>
      </c>
      <c r="Z32" s="17" t="s">
        <v>870</v>
      </c>
      <c r="AA32" s="17" t="s">
        <v>870</v>
      </c>
      <c r="AB32" s="17" t="s">
        <v>870</v>
      </c>
      <c r="AC32" s="17" t="s">
        <v>870</v>
      </c>
      <c r="AD32" s="17" t="s">
        <v>870</v>
      </c>
      <c r="AE32" s="17" t="s">
        <v>870</v>
      </c>
      <c r="AF32" s="17" t="s">
        <v>870</v>
      </c>
      <c r="AG32" s="17" t="s">
        <v>870</v>
      </c>
      <c r="AH32" s="17" t="s">
        <v>870</v>
      </c>
      <c r="AI32" s="17" t="s">
        <v>870</v>
      </c>
      <c r="AJ32" s="17" t="s">
        <v>870</v>
      </c>
      <c r="AK32" s="17" t="s">
        <v>870</v>
      </c>
      <c r="AL32" s="17" t="s">
        <v>870</v>
      </c>
      <c r="AM32" s="17" t="s">
        <v>870</v>
      </c>
      <c r="AN32" s="17" t="s">
        <v>870</v>
      </c>
      <c r="AO32" s="17" t="s">
        <v>870</v>
      </c>
      <c r="AP32" s="17" t="s">
        <v>870</v>
      </c>
      <c r="AQ32" s="17" t="s">
        <v>870</v>
      </c>
      <c r="AR32" s="17" t="s">
        <v>870</v>
      </c>
      <c r="AS32" s="17" t="s">
        <v>870</v>
      </c>
      <c r="AT32" s="17" t="s">
        <v>870</v>
      </c>
      <c r="AU32" s="17" t="s">
        <v>870</v>
      </c>
      <c r="AV32" s="17" t="s">
        <v>870</v>
      </c>
      <c r="AW32" s="17" t="s">
        <v>870</v>
      </c>
      <c r="AX32" s="17" t="s">
        <v>870</v>
      </c>
      <c r="AY32" s="17" t="s">
        <v>870</v>
      </c>
      <c r="AZ32" s="17" t="s">
        <v>870</v>
      </c>
      <c r="BA32" s="17" t="s">
        <v>870</v>
      </c>
      <c r="BB32" s="17" t="s">
        <v>870</v>
      </c>
      <c r="BC32" s="17" t="s">
        <v>870</v>
      </c>
      <c r="BD32" s="17" t="s">
        <v>870</v>
      </c>
      <c r="BE32" s="17" t="s">
        <v>870</v>
      </c>
      <c r="BF32" s="17" t="s">
        <v>870</v>
      </c>
      <c r="BG32" s="17" t="s">
        <v>870</v>
      </c>
      <c r="BH32" s="17" t="s">
        <v>870</v>
      </c>
      <c r="BI32" s="17" t="s">
        <v>870</v>
      </c>
      <c r="BJ32" s="17" t="s">
        <v>870</v>
      </c>
      <c r="BK32" s="17" t="s">
        <v>870</v>
      </c>
      <c r="BL32" s="17" t="s">
        <v>870</v>
      </c>
      <c r="BM32" s="17" t="s">
        <v>870</v>
      </c>
      <c r="BN32" s="17" t="s">
        <v>870</v>
      </c>
      <c r="BO32" s="17" t="s">
        <v>870</v>
      </c>
      <c r="BP32" s="17" t="s">
        <v>870</v>
      </c>
      <c r="BQ32" s="17" t="s">
        <v>870</v>
      </c>
      <c r="BR32" s="17" t="s">
        <v>870</v>
      </c>
      <c r="BS32" s="17" t="s">
        <v>870</v>
      </c>
      <c r="BT32" s="17" t="s">
        <v>870</v>
      </c>
      <c r="BU32" s="17" t="s">
        <v>870</v>
      </c>
      <c r="BV32" s="17" t="s">
        <v>870</v>
      </c>
      <c r="BW32" s="17" t="s">
        <v>870</v>
      </c>
      <c r="BX32" s="17" t="s">
        <v>870</v>
      </c>
      <c r="BY32" s="17" t="s">
        <v>870</v>
      </c>
      <c r="BZ32" s="17" t="s">
        <v>870</v>
      </c>
      <c r="CA32" s="17" t="s">
        <v>870</v>
      </c>
      <c r="CB32" s="17" t="s">
        <v>870</v>
      </c>
      <c r="CC32" s="17" t="s">
        <v>870</v>
      </c>
      <c r="CD32" s="17" t="s">
        <v>870</v>
      </c>
      <c r="CE32" s="17" t="s">
        <v>870</v>
      </c>
      <c r="CF32" s="17" t="s">
        <v>870</v>
      </c>
      <c r="CG32" s="17" t="s">
        <v>870</v>
      </c>
      <c r="CH32" s="17" t="s">
        <v>870</v>
      </c>
      <c r="CI32" s="17" t="s">
        <v>870</v>
      </c>
      <c r="CJ32" s="17" t="s">
        <v>870</v>
      </c>
      <c r="CK32" s="17" t="s">
        <v>870</v>
      </c>
      <c r="CL32" s="17" t="s">
        <v>870</v>
      </c>
      <c r="CM32" s="17" t="s">
        <v>870</v>
      </c>
      <c r="CN32" s="17" t="s">
        <v>870</v>
      </c>
      <c r="CO32" s="17" t="s">
        <v>870</v>
      </c>
      <c r="CP32" s="17" t="s">
        <v>870</v>
      </c>
      <c r="CQ32" s="17" t="s">
        <v>870</v>
      </c>
      <c r="CR32" s="17" t="s">
        <v>870</v>
      </c>
      <c r="CS32" s="17" t="s">
        <v>870</v>
      </c>
      <c r="CT32" s="17" t="s">
        <v>870</v>
      </c>
      <c r="CU32" s="17" t="s">
        <v>870</v>
      </c>
      <c r="CV32" s="17" t="s">
        <v>870</v>
      </c>
      <c r="CW32" s="17" t="s">
        <v>870</v>
      </c>
      <c r="CX32" s="17" t="s">
        <v>870</v>
      </c>
      <c r="CY32" s="17" t="s">
        <v>870</v>
      </c>
      <c r="CZ32" s="17" t="s">
        <v>870</v>
      </c>
      <c r="DA32" s="17" t="s">
        <v>870</v>
      </c>
      <c r="DB32" s="17" t="s">
        <v>870</v>
      </c>
      <c r="DC32" s="17" t="s">
        <v>870</v>
      </c>
      <c r="DD32" s="17" t="s">
        <v>870</v>
      </c>
      <c r="DE32" s="17" t="s">
        <v>870</v>
      </c>
      <c r="DF32" s="17" t="s">
        <v>870</v>
      </c>
      <c r="DG32" s="17" t="s">
        <v>870</v>
      </c>
      <c r="DH32" s="17" t="s">
        <v>870</v>
      </c>
      <c r="DI32" s="17" t="s">
        <v>870</v>
      </c>
      <c r="DJ32" s="17" t="s">
        <v>870</v>
      </c>
      <c r="DK32" s="17" t="s">
        <v>870</v>
      </c>
      <c r="DL32" s="17" t="s">
        <v>870</v>
      </c>
      <c r="DM32" s="17" t="s">
        <v>870</v>
      </c>
      <c r="DN32" s="17" t="s">
        <v>870</v>
      </c>
      <c r="DO32" s="17" t="s">
        <v>870</v>
      </c>
      <c r="DP32" s="17" t="s">
        <v>870</v>
      </c>
      <c r="DQ32" s="17" t="s">
        <v>870</v>
      </c>
      <c r="DR32" s="17" t="s">
        <v>870</v>
      </c>
      <c r="DS32" s="17" t="s">
        <v>870</v>
      </c>
      <c r="DT32" s="17" t="s">
        <v>870</v>
      </c>
      <c r="DU32" s="17" t="s">
        <v>870</v>
      </c>
      <c r="DV32" s="17" t="s">
        <v>870</v>
      </c>
      <c r="DW32" s="17" t="s">
        <v>870</v>
      </c>
      <c r="DX32" s="17" t="s">
        <v>870</v>
      </c>
      <c r="DY32" s="17" t="s">
        <v>870</v>
      </c>
      <c r="DZ32" s="17" t="s">
        <v>870</v>
      </c>
      <c r="EA32" s="17" t="s">
        <v>870</v>
      </c>
      <c r="EB32" s="17" t="s">
        <v>870</v>
      </c>
      <c r="EC32" s="17" t="s">
        <v>870</v>
      </c>
      <c r="ED32" s="17" t="s">
        <v>870</v>
      </c>
      <c r="EE32" s="17" t="s">
        <v>870</v>
      </c>
      <c r="EF32" s="17" t="s">
        <v>870</v>
      </c>
      <c r="EG32" s="17" t="s">
        <v>870</v>
      </c>
      <c r="EH32" s="17" t="s">
        <v>870</v>
      </c>
      <c r="EI32" s="17" t="s">
        <v>870</v>
      </c>
      <c r="EJ32" s="17" t="s">
        <v>870</v>
      </c>
      <c r="EK32" s="17" t="s">
        <v>870</v>
      </c>
      <c r="EL32" s="17" t="s">
        <v>870</v>
      </c>
      <c r="EM32" s="17" t="s">
        <v>870</v>
      </c>
      <c r="EN32" s="17" t="s">
        <v>870</v>
      </c>
      <c r="EO32" s="17" t="s">
        <v>870</v>
      </c>
      <c r="EP32" s="17" t="s">
        <v>870</v>
      </c>
      <c r="EQ32" s="17" t="s">
        <v>870</v>
      </c>
      <c r="ER32" s="17" t="s">
        <v>870</v>
      </c>
      <c r="ES32" s="17" t="s">
        <v>870</v>
      </c>
      <c r="ET32" s="17" t="s">
        <v>870</v>
      </c>
      <c r="EU32" s="17" t="s">
        <v>870</v>
      </c>
      <c r="EV32" s="17" t="s">
        <v>870</v>
      </c>
      <c r="EW32" s="17" t="s">
        <v>870</v>
      </c>
      <c r="EX32" s="17" t="s">
        <v>870</v>
      </c>
      <c r="EY32" s="17" t="s">
        <v>870</v>
      </c>
      <c r="EZ32" s="17" t="s">
        <v>870</v>
      </c>
      <c r="FA32" s="17" t="s">
        <v>870</v>
      </c>
      <c r="FB32" s="17" t="s">
        <v>870</v>
      </c>
      <c r="FC32" s="17" t="s">
        <v>870</v>
      </c>
      <c r="FD32" s="17" t="s">
        <v>870</v>
      </c>
      <c r="FE32" s="17" t="s">
        <v>870</v>
      </c>
      <c r="FF32" s="17" t="s">
        <v>870</v>
      </c>
      <c r="FG32" s="17" t="s">
        <v>870</v>
      </c>
      <c r="FH32" s="17" t="s">
        <v>870</v>
      </c>
      <c r="FI32" s="17" t="s">
        <v>870</v>
      </c>
      <c r="FJ32" s="17" t="s">
        <v>870</v>
      </c>
      <c r="FK32" s="17" t="s">
        <v>870</v>
      </c>
      <c r="FL32" s="17" t="s">
        <v>870</v>
      </c>
      <c r="FM32" s="17" t="s">
        <v>870</v>
      </c>
      <c r="FN32" s="17" t="s">
        <v>870</v>
      </c>
      <c r="FO32" s="17" t="s">
        <v>870</v>
      </c>
      <c r="FP32" s="17" t="s">
        <v>870</v>
      </c>
      <c r="FQ32" s="17" t="s">
        <v>870</v>
      </c>
      <c r="FR32" s="17" t="s">
        <v>870</v>
      </c>
      <c r="FS32" s="17" t="s">
        <v>870</v>
      </c>
      <c r="FT32" s="17" t="s">
        <v>870</v>
      </c>
      <c r="FU32" s="17" t="s">
        <v>870</v>
      </c>
      <c r="FV32" s="17" t="s">
        <v>870</v>
      </c>
      <c r="FW32" s="17" t="s">
        <v>870</v>
      </c>
      <c r="FX32" s="17" t="s">
        <v>870</v>
      </c>
      <c r="FY32" s="17" t="s">
        <v>870</v>
      </c>
      <c r="FZ32" s="17" t="s">
        <v>870</v>
      </c>
      <c r="GA32" s="17" t="s">
        <v>870</v>
      </c>
      <c r="GB32" s="17" t="s">
        <v>870</v>
      </c>
      <c r="GC32" s="17" t="s">
        <v>870</v>
      </c>
      <c r="GD32" s="17" t="s">
        <v>870</v>
      </c>
      <c r="GE32" s="17" t="s">
        <v>870</v>
      </c>
      <c r="GF32" s="17" t="s">
        <v>870</v>
      </c>
      <c r="GG32" s="17" t="s">
        <v>870</v>
      </c>
      <c r="GH32" s="17" t="s">
        <v>870</v>
      </c>
      <c r="GI32" s="17" t="s">
        <v>870</v>
      </c>
      <c r="GJ32" s="17" t="s">
        <v>870</v>
      </c>
      <c r="GK32" s="17" t="s">
        <v>870</v>
      </c>
      <c r="GL32" s="17" t="s">
        <v>870</v>
      </c>
      <c r="GM32" s="17" t="s">
        <v>870</v>
      </c>
      <c r="GN32" s="17" t="s">
        <v>870</v>
      </c>
      <c r="GO32" s="17" t="s">
        <v>870</v>
      </c>
      <c r="GP32" s="17" t="s">
        <v>870</v>
      </c>
      <c r="GQ32" s="17" t="s">
        <v>870</v>
      </c>
      <c r="GR32" s="17" t="s">
        <v>870</v>
      </c>
      <c r="GS32" s="17" t="s">
        <v>870</v>
      </c>
      <c r="GT32" s="17" t="s">
        <v>870</v>
      </c>
      <c r="GU32" s="17" t="s">
        <v>870</v>
      </c>
      <c r="GV32" s="17" t="s">
        <v>870</v>
      </c>
      <c r="GW32" s="17" t="s">
        <v>870</v>
      </c>
      <c r="GX32" s="17" t="s">
        <v>870</v>
      </c>
      <c r="GY32" s="17" t="s">
        <v>870</v>
      </c>
      <c r="GZ32" s="17" t="s">
        <v>870</v>
      </c>
      <c r="HA32" s="17" t="s">
        <v>870</v>
      </c>
      <c r="HB32" s="17" t="s">
        <v>870</v>
      </c>
      <c r="HC32" s="17" t="s">
        <v>870</v>
      </c>
      <c r="HD32" s="17" t="s">
        <v>870</v>
      </c>
      <c r="HE32" s="17" t="s">
        <v>870</v>
      </c>
      <c r="HF32" s="17" t="s">
        <v>870</v>
      </c>
      <c r="HG32" s="17" t="s">
        <v>870</v>
      </c>
      <c r="HH32" s="17" t="s">
        <v>870</v>
      </c>
      <c r="HI32" s="17" t="s">
        <v>870</v>
      </c>
      <c r="HJ32" s="17" t="s">
        <v>870</v>
      </c>
      <c r="HK32" s="17" t="s">
        <v>870</v>
      </c>
      <c r="HL32" s="17" t="s">
        <v>870</v>
      </c>
      <c r="HM32" s="17" t="s">
        <v>870</v>
      </c>
      <c r="HN32" s="17" t="s">
        <v>870</v>
      </c>
      <c r="HO32" s="17" t="s">
        <v>870</v>
      </c>
      <c r="HP32" s="17" t="s">
        <v>870</v>
      </c>
      <c r="HQ32" s="17" t="s">
        <v>870</v>
      </c>
      <c r="HR32" s="17" t="s">
        <v>870</v>
      </c>
      <c r="HS32" s="17" t="s">
        <v>870</v>
      </c>
      <c r="HT32" s="17" t="s">
        <v>870</v>
      </c>
      <c r="HU32" s="17" t="s">
        <v>870</v>
      </c>
      <c r="HV32" s="17" t="s">
        <v>870</v>
      </c>
      <c r="HW32" s="17" t="s">
        <v>870</v>
      </c>
      <c r="HX32" s="17" t="s">
        <v>870</v>
      </c>
      <c r="HY32" s="17" t="s">
        <v>870</v>
      </c>
      <c r="HZ32" s="17" t="s">
        <v>870</v>
      </c>
      <c r="IA32" s="17" t="s">
        <v>870</v>
      </c>
      <c r="IB32" s="17" t="s">
        <v>870</v>
      </c>
      <c r="IC32" s="17" t="s">
        <v>870</v>
      </c>
      <c r="ID32" s="17" t="s">
        <v>870</v>
      </c>
      <c r="IE32" s="17" t="s">
        <v>870</v>
      </c>
      <c r="IF32" s="17" t="s">
        <v>870</v>
      </c>
      <c r="IG32" s="17" t="s">
        <v>870</v>
      </c>
      <c r="IH32" s="17" t="s">
        <v>870</v>
      </c>
      <c r="II32" s="17" t="s">
        <v>870</v>
      </c>
      <c r="IJ32" s="17" t="s">
        <v>870</v>
      </c>
      <c r="IK32" s="17" t="s">
        <v>870</v>
      </c>
      <c r="IL32" s="17" t="s">
        <v>870</v>
      </c>
      <c r="IM32" s="17" t="s">
        <v>870</v>
      </c>
      <c r="IN32" s="17" t="s">
        <v>870</v>
      </c>
      <c r="IO32" s="17" t="s">
        <v>870</v>
      </c>
      <c r="IP32" s="17" t="s">
        <v>870</v>
      </c>
      <c r="IQ32" s="17" t="s">
        <v>870</v>
      </c>
      <c r="IR32" s="17" t="s">
        <v>870</v>
      </c>
      <c r="IS32" s="17" t="s">
        <v>870</v>
      </c>
      <c r="IT32" s="17" t="s">
        <v>870</v>
      </c>
      <c r="IU32" s="17" t="s">
        <v>870</v>
      </c>
      <c r="IV32" s="17" t="s">
        <v>870</v>
      </c>
      <c r="IW32" s="17" t="s">
        <v>870</v>
      </c>
      <c r="IX32" s="17" t="s">
        <v>870</v>
      </c>
      <c r="IY32" s="17" t="s">
        <v>870</v>
      </c>
      <c r="IZ32" s="17" t="s">
        <v>870</v>
      </c>
      <c r="JA32" s="17" t="s">
        <v>870</v>
      </c>
      <c r="JB32" s="17" t="s">
        <v>870</v>
      </c>
      <c r="JC32" s="17" t="s">
        <v>870</v>
      </c>
      <c r="JD32" s="17" t="s">
        <v>870</v>
      </c>
      <c r="JE32" s="17" t="s">
        <v>870</v>
      </c>
      <c r="JF32" s="17" t="s">
        <v>870</v>
      </c>
      <c r="JG32" s="17" t="s">
        <v>870</v>
      </c>
      <c r="JH32" s="17" t="s">
        <v>870</v>
      </c>
      <c r="JI32" s="17" t="s">
        <v>870</v>
      </c>
      <c r="JJ32" s="17" t="s">
        <v>870</v>
      </c>
      <c r="JK32" s="17" t="s">
        <v>870</v>
      </c>
      <c r="JL32" s="17" t="s">
        <v>870</v>
      </c>
      <c r="JM32" s="17" t="s">
        <v>870</v>
      </c>
      <c r="JN32" s="17" t="s">
        <v>870</v>
      </c>
      <c r="JO32" s="17" t="s">
        <v>870</v>
      </c>
      <c r="JP32" s="17" t="s">
        <v>870</v>
      </c>
      <c r="JQ32" s="17" t="s">
        <v>870</v>
      </c>
      <c r="JR32" s="17" t="s">
        <v>870</v>
      </c>
      <c r="JS32" s="17" t="s">
        <v>870</v>
      </c>
      <c r="JT32" s="17" t="s">
        <v>870</v>
      </c>
    </row>
    <row r="33" spans="1:280" x14ac:dyDescent="0.25">
      <c r="A33" t="s">
        <v>358</v>
      </c>
      <c r="B33" s="17" t="s">
        <v>870</v>
      </c>
      <c r="C33" s="17" t="s">
        <v>870</v>
      </c>
      <c r="D33" s="17" t="s">
        <v>870</v>
      </c>
      <c r="E33" s="17" t="s">
        <v>870</v>
      </c>
      <c r="F33" s="17" t="s">
        <v>870</v>
      </c>
      <c r="G33" s="17" t="s">
        <v>870</v>
      </c>
      <c r="H33" s="17" t="s">
        <v>870</v>
      </c>
      <c r="I33" s="17" t="s">
        <v>870</v>
      </c>
      <c r="J33" s="17" t="s">
        <v>870</v>
      </c>
      <c r="K33" s="17" t="s">
        <v>870</v>
      </c>
      <c r="L33" s="17" t="s">
        <v>870</v>
      </c>
      <c r="M33" s="17" t="s">
        <v>870</v>
      </c>
      <c r="N33" s="17" t="s">
        <v>870</v>
      </c>
      <c r="O33" s="17" t="s">
        <v>870</v>
      </c>
      <c r="P33" s="17" t="s">
        <v>870</v>
      </c>
      <c r="Q33" s="17" t="s">
        <v>870</v>
      </c>
      <c r="R33" s="17" t="s">
        <v>870</v>
      </c>
      <c r="S33" s="17" t="s">
        <v>870</v>
      </c>
      <c r="T33" s="17" t="s">
        <v>870</v>
      </c>
      <c r="U33" s="17" t="s">
        <v>870</v>
      </c>
      <c r="V33" s="17" t="s">
        <v>870</v>
      </c>
      <c r="W33" s="17" t="s">
        <v>870</v>
      </c>
      <c r="X33" s="17" t="s">
        <v>870</v>
      </c>
      <c r="Y33" s="17" t="s">
        <v>870</v>
      </c>
      <c r="Z33" s="17" t="s">
        <v>870</v>
      </c>
      <c r="AA33" s="17" t="s">
        <v>870</v>
      </c>
      <c r="AB33" s="17" t="s">
        <v>870</v>
      </c>
      <c r="AC33" s="17" t="s">
        <v>870</v>
      </c>
      <c r="AD33" s="17" t="s">
        <v>870</v>
      </c>
      <c r="AE33" s="17" t="s">
        <v>870</v>
      </c>
      <c r="AF33" s="17" t="s">
        <v>870</v>
      </c>
      <c r="AG33" s="17" t="s">
        <v>870</v>
      </c>
      <c r="AH33" s="17" t="s">
        <v>870</v>
      </c>
      <c r="AI33" s="17" t="s">
        <v>870</v>
      </c>
      <c r="AJ33" s="17" t="s">
        <v>870</v>
      </c>
      <c r="AK33" s="17" t="s">
        <v>870</v>
      </c>
      <c r="AL33" s="17" t="s">
        <v>870</v>
      </c>
      <c r="AM33" s="17" t="s">
        <v>870</v>
      </c>
      <c r="AN33" s="17" t="s">
        <v>870</v>
      </c>
      <c r="AO33" s="17" t="s">
        <v>870</v>
      </c>
      <c r="AP33" s="17" t="s">
        <v>870</v>
      </c>
      <c r="AQ33" s="17" t="s">
        <v>870</v>
      </c>
      <c r="AR33" s="17" t="s">
        <v>870</v>
      </c>
      <c r="AS33" s="17" t="s">
        <v>870</v>
      </c>
      <c r="AT33" s="17" t="s">
        <v>870</v>
      </c>
      <c r="AU33" s="17" t="s">
        <v>870</v>
      </c>
      <c r="AV33" s="17" t="s">
        <v>870</v>
      </c>
      <c r="AW33" s="17" t="s">
        <v>870</v>
      </c>
      <c r="AX33" s="17" t="s">
        <v>870</v>
      </c>
      <c r="AY33" s="17" t="s">
        <v>870</v>
      </c>
      <c r="AZ33" s="17" t="s">
        <v>870</v>
      </c>
      <c r="BA33" s="17" t="s">
        <v>870</v>
      </c>
      <c r="BB33" s="17" t="s">
        <v>870</v>
      </c>
      <c r="BC33" s="17" t="s">
        <v>870</v>
      </c>
      <c r="BD33" s="17" t="s">
        <v>870</v>
      </c>
      <c r="BE33" s="17" t="s">
        <v>870</v>
      </c>
      <c r="BF33" s="17" t="s">
        <v>870</v>
      </c>
      <c r="BG33" s="17" t="s">
        <v>870</v>
      </c>
      <c r="BH33" s="17" t="s">
        <v>870</v>
      </c>
      <c r="BI33" s="17" t="s">
        <v>870</v>
      </c>
      <c r="BJ33" s="17" t="s">
        <v>870</v>
      </c>
      <c r="BK33" s="17" t="s">
        <v>870</v>
      </c>
      <c r="BL33" s="17" t="s">
        <v>870</v>
      </c>
      <c r="BM33" s="17" t="s">
        <v>870</v>
      </c>
      <c r="BN33" s="17" t="s">
        <v>870</v>
      </c>
      <c r="BO33" s="17" t="s">
        <v>870</v>
      </c>
      <c r="BP33" s="17" t="s">
        <v>870</v>
      </c>
      <c r="BQ33" s="17" t="s">
        <v>870</v>
      </c>
      <c r="BR33" s="17" t="s">
        <v>870</v>
      </c>
      <c r="BS33" s="17" t="s">
        <v>870</v>
      </c>
      <c r="BT33" s="17" t="s">
        <v>870</v>
      </c>
      <c r="BU33" s="17" t="s">
        <v>870</v>
      </c>
      <c r="BV33" s="17" t="s">
        <v>870</v>
      </c>
      <c r="BW33" s="17" t="s">
        <v>870</v>
      </c>
      <c r="BX33" s="17" t="s">
        <v>870</v>
      </c>
      <c r="BY33" s="17" t="s">
        <v>870</v>
      </c>
      <c r="BZ33" s="17" t="s">
        <v>870</v>
      </c>
      <c r="CA33" s="17" t="s">
        <v>870</v>
      </c>
      <c r="CB33" s="17" t="s">
        <v>870</v>
      </c>
      <c r="CC33" s="17" t="s">
        <v>870</v>
      </c>
      <c r="CD33" s="17" t="s">
        <v>870</v>
      </c>
      <c r="CE33" s="17" t="s">
        <v>870</v>
      </c>
      <c r="CF33" s="17" t="s">
        <v>870</v>
      </c>
      <c r="CG33" s="17" t="s">
        <v>870</v>
      </c>
      <c r="CH33" s="17" t="s">
        <v>870</v>
      </c>
      <c r="CI33" s="17" t="s">
        <v>870</v>
      </c>
      <c r="CJ33" s="17" t="s">
        <v>870</v>
      </c>
      <c r="CK33" s="17" t="s">
        <v>870</v>
      </c>
      <c r="CL33" s="17" t="s">
        <v>870</v>
      </c>
      <c r="CM33" s="17" t="s">
        <v>870</v>
      </c>
      <c r="CN33" s="17" t="s">
        <v>870</v>
      </c>
      <c r="CO33" s="17" t="s">
        <v>870</v>
      </c>
      <c r="CP33" s="17" t="s">
        <v>870</v>
      </c>
      <c r="CQ33" s="17" t="s">
        <v>870</v>
      </c>
      <c r="CR33" s="17" t="s">
        <v>870</v>
      </c>
      <c r="CS33" s="17" t="s">
        <v>870</v>
      </c>
      <c r="CT33" s="17" t="s">
        <v>870</v>
      </c>
      <c r="CU33" s="17" t="s">
        <v>870</v>
      </c>
      <c r="CV33" s="17" t="s">
        <v>870</v>
      </c>
      <c r="CW33" s="17" t="s">
        <v>870</v>
      </c>
      <c r="CX33" s="17" t="s">
        <v>870</v>
      </c>
      <c r="CY33" s="17" t="s">
        <v>870</v>
      </c>
      <c r="CZ33" s="17" t="s">
        <v>870</v>
      </c>
      <c r="DA33" s="17" t="s">
        <v>870</v>
      </c>
      <c r="DB33" s="17" t="s">
        <v>870</v>
      </c>
      <c r="DC33" s="17" t="s">
        <v>870</v>
      </c>
      <c r="DD33" s="17" t="s">
        <v>870</v>
      </c>
      <c r="DE33" s="17" t="s">
        <v>870</v>
      </c>
      <c r="DF33" s="17" t="s">
        <v>870</v>
      </c>
      <c r="DG33" s="17" t="s">
        <v>870</v>
      </c>
      <c r="DH33" s="17" t="s">
        <v>870</v>
      </c>
      <c r="DI33" s="17" t="s">
        <v>870</v>
      </c>
      <c r="DJ33" s="17" t="s">
        <v>870</v>
      </c>
      <c r="DK33" s="17" t="s">
        <v>870</v>
      </c>
      <c r="DL33" s="17" t="s">
        <v>870</v>
      </c>
      <c r="DM33" s="17" t="s">
        <v>870</v>
      </c>
      <c r="DN33" s="17" t="s">
        <v>870</v>
      </c>
      <c r="DO33" s="17" t="s">
        <v>870</v>
      </c>
      <c r="DP33" s="17" t="s">
        <v>870</v>
      </c>
      <c r="DQ33" s="17" t="s">
        <v>870</v>
      </c>
      <c r="DR33" s="17" t="s">
        <v>870</v>
      </c>
      <c r="DS33" s="17" t="s">
        <v>870</v>
      </c>
      <c r="DT33" s="17" t="s">
        <v>870</v>
      </c>
      <c r="DU33" s="17" t="s">
        <v>870</v>
      </c>
      <c r="DV33" s="17" t="s">
        <v>870</v>
      </c>
      <c r="DW33" s="17" t="s">
        <v>870</v>
      </c>
      <c r="DX33" s="17" t="s">
        <v>870</v>
      </c>
      <c r="DY33" s="17" t="s">
        <v>870</v>
      </c>
      <c r="DZ33" s="17" t="s">
        <v>870</v>
      </c>
      <c r="EA33" s="17" t="s">
        <v>870</v>
      </c>
      <c r="EB33" s="17" t="s">
        <v>870</v>
      </c>
      <c r="EC33" s="17" t="s">
        <v>870</v>
      </c>
      <c r="ED33" s="17" t="s">
        <v>870</v>
      </c>
      <c r="EE33" s="17" t="s">
        <v>870</v>
      </c>
      <c r="EF33" s="17" t="s">
        <v>870</v>
      </c>
      <c r="EG33" s="17" t="s">
        <v>870</v>
      </c>
      <c r="EH33" s="17" t="s">
        <v>870</v>
      </c>
      <c r="EI33" s="17" t="s">
        <v>870</v>
      </c>
      <c r="EJ33" s="17" t="s">
        <v>870</v>
      </c>
      <c r="EK33" s="17" t="s">
        <v>870</v>
      </c>
      <c r="EL33" s="17" t="s">
        <v>870</v>
      </c>
      <c r="EM33" s="17" t="s">
        <v>870</v>
      </c>
      <c r="EN33" s="17" t="s">
        <v>870</v>
      </c>
      <c r="EO33" s="17" t="s">
        <v>870</v>
      </c>
      <c r="EP33" s="17" t="s">
        <v>870</v>
      </c>
      <c r="EQ33" s="17" t="s">
        <v>870</v>
      </c>
      <c r="ER33" s="17" t="s">
        <v>870</v>
      </c>
      <c r="ES33" s="17" t="s">
        <v>870</v>
      </c>
      <c r="ET33" s="17" t="s">
        <v>870</v>
      </c>
      <c r="EU33" s="17" t="s">
        <v>870</v>
      </c>
      <c r="EV33" s="17" t="s">
        <v>870</v>
      </c>
      <c r="EW33" s="17" t="s">
        <v>870</v>
      </c>
      <c r="EX33" s="17" t="s">
        <v>870</v>
      </c>
      <c r="EY33" s="17" t="s">
        <v>870</v>
      </c>
      <c r="EZ33" s="17" t="s">
        <v>870</v>
      </c>
      <c r="FA33" s="17" t="s">
        <v>870</v>
      </c>
      <c r="FB33" s="17" t="s">
        <v>870</v>
      </c>
      <c r="FC33" s="17" t="s">
        <v>870</v>
      </c>
      <c r="FD33" s="17" t="s">
        <v>870</v>
      </c>
      <c r="FE33" s="17" t="s">
        <v>870</v>
      </c>
      <c r="FF33" s="17" t="s">
        <v>870</v>
      </c>
      <c r="FG33" s="17" t="s">
        <v>870</v>
      </c>
      <c r="FH33" s="17" t="s">
        <v>870</v>
      </c>
      <c r="FI33" s="17" t="s">
        <v>870</v>
      </c>
      <c r="FJ33" s="17" t="s">
        <v>870</v>
      </c>
      <c r="FK33" s="17" t="s">
        <v>870</v>
      </c>
      <c r="FL33" s="17" t="s">
        <v>870</v>
      </c>
      <c r="FM33" s="17" t="s">
        <v>870</v>
      </c>
      <c r="FN33" s="17" t="s">
        <v>870</v>
      </c>
      <c r="FO33" s="17" t="s">
        <v>870</v>
      </c>
      <c r="FP33" s="17" t="s">
        <v>870</v>
      </c>
      <c r="FQ33" s="17" t="s">
        <v>870</v>
      </c>
      <c r="FR33" s="17" t="s">
        <v>870</v>
      </c>
      <c r="FS33" s="17" t="s">
        <v>870</v>
      </c>
      <c r="FT33" s="17" t="s">
        <v>870</v>
      </c>
      <c r="FU33" s="17" t="s">
        <v>870</v>
      </c>
      <c r="FV33" s="17" t="s">
        <v>870</v>
      </c>
      <c r="FW33" s="17" t="s">
        <v>870</v>
      </c>
      <c r="FX33" s="17" t="s">
        <v>870</v>
      </c>
      <c r="FY33" s="17" t="s">
        <v>870</v>
      </c>
      <c r="FZ33" s="17" t="s">
        <v>870</v>
      </c>
      <c r="GA33" s="17" t="s">
        <v>870</v>
      </c>
      <c r="GB33" s="63"/>
      <c r="GC33" s="63"/>
      <c r="GD33" s="63"/>
      <c r="GE33" s="63"/>
      <c r="GF33" s="17" t="s">
        <v>870</v>
      </c>
      <c r="GG33" s="17" t="s">
        <v>870</v>
      </c>
      <c r="GH33" s="61" t="s">
        <v>2</v>
      </c>
      <c r="GI33" s="63"/>
      <c r="GJ33" s="17" t="s">
        <v>870</v>
      </c>
      <c r="GK33" s="17" t="s">
        <v>870</v>
      </c>
      <c r="GL33" s="17" t="s">
        <v>870</v>
      </c>
      <c r="GM33" s="17" t="s">
        <v>870</v>
      </c>
      <c r="GN33" s="17" t="s">
        <v>870</v>
      </c>
      <c r="GO33" s="63"/>
      <c r="GP33" s="63"/>
      <c r="GQ33" s="63"/>
      <c r="GR33" s="63"/>
      <c r="GS33" s="63"/>
      <c r="GT33" s="17" t="s">
        <v>870</v>
      </c>
      <c r="GU33" s="17" t="s">
        <v>870</v>
      </c>
      <c r="GV33" s="63"/>
      <c r="GW33" s="63"/>
      <c r="GX33" s="63"/>
      <c r="GY33" s="63"/>
      <c r="GZ33" s="61" t="s">
        <v>2</v>
      </c>
      <c r="HA33" s="63"/>
      <c r="HB33" s="62"/>
      <c r="HC33" s="63"/>
      <c r="HD33" s="63"/>
      <c r="HE33" s="63"/>
      <c r="HF33" s="63"/>
      <c r="HG33" s="61" t="s">
        <v>2</v>
      </c>
      <c r="HH33" s="61" t="s">
        <v>2</v>
      </c>
      <c r="HI33" s="61" t="s">
        <v>2</v>
      </c>
      <c r="HJ33" s="63"/>
      <c r="HK33" s="62"/>
      <c r="HL33" s="63"/>
      <c r="HM33" s="17" t="s">
        <v>870</v>
      </c>
      <c r="HN33" s="17" t="s">
        <v>870</v>
      </c>
      <c r="HO33" s="63"/>
      <c r="HP33" s="61" t="s">
        <v>2</v>
      </c>
      <c r="HQ33" s="61" t="s">
        <v>2</v>
      </c>
      <c r="HR33" s="61" t="s">
        <v>2</v>
      </c>
      <c r="HS33" s="62"/>
      <c r="HT33" s="62"/>
      <c r="HU33" s="63"/>
      <c r="HV33" s="63"/>
      <c r="HW33" s="62"/>
      <c r="HX33" s="61" t="s">
        <v>2</v>
      </c>
      <c r="HY33" s="61" t="s">
        <v>2</v>
      </c>
      <c r="HZ33" s="62"/>
      <c r="IA33" s="61" t="s">
        <v>2</v>
      </c>
      <c r="IB33" s="63"/>
      <c r="IC33" s="62"/>
      <c r="ID33" s="62"/>
      <c r="IE33" s="61" t="s">
        <v>2</v>
      </c>
      <c r="IF33" s="62"/>
      <c r="IG33" s="63"/>
      <c r="IH33" s="62"/>
      <c r="II33" s="63"/>
      <c r="IJ33" s="63"/>
      <c r="IK33" s="62"/>
      <c r="IL33" s="62"/>
      <c r="IM33" s="17" t="s">
        <v>870</v>
      </c>
      <c r="IN33" s="17" t="s">
        <v>870</v>
      </c>
      <c r="IO33" s="17" t="s">
        <v>870</v>
      </c>
      <c r="IP33" s="17" t="s">
        <v>870</v>
      </c>
      <c r="IQ33" s="63"/>
      <c r="IR33" s="61" t="s">
        <v>2</v>
      </c>
      <c r="IS33" s="63"/>
      <c r="IT33" s="63"/>
      <c r="IU33" s="63"/>
      <c r="IV33" s="61" t="s">
        <v>2</v>
      </c>
      <c r="IW33" s="63"/>
      <c r="IX33" s="61" t="s">
        <v>2</v>
      </c>
      <c r="IY33" s="63"/>
      <c r="IZ33" s="61" t="s">
        <v>2</v>
      </c>
      <c r="JA33" s="63"/>
      <c r="JB33" s="61" t="s">
        <v>2</v>
      </c>
      <c r="JC33" s="17" t="s">
        <v>870</v>
      </c>
      <c r="JD33" s="17" t="s">
        <v>870</v>
      </c>
      <c r="JE33" s="17" t="s">
        <v>870</v>
      </c>
      <c r="JF33" s="17" t="s">
        <v>870</v>
      </c>
      <c r="JG33" s="17" t="s">
        <v>870</v>
      </c>
      <c r="JH33" s="17" t="s">
        <v>870</v>
      </c>
      <c r="JI33" s="63"/>
      <c r="JJ33" s="63"/>
      <c r="JK33" s="62"/>
      <c r="JL33" s="63"/>
      <c r="JM33" s="63"/>
      <c r="JN33" s="61" t="s">
        <v>2</v>
      </c>
      <c r="JO33" s="63"/>
      <c r="JP33" s="62"/>
      <c r="JQ33" s="63"/>
      <c r="JR33" s="62"/>
      <c r="JS33" s="63"/>
      <c r="JT33" s="61" t="s">
        <v>2</v>
      </c>
    </row>
    <row r="34" spans="1:280" x14ac:dyDescent="0.25">
      <c r="A34" t="s">
        <v>255</v>
      </c>
      <c r="B34" s="17" t="s">
        <v>870</v>
      </c>
      <c r="C34" s="17" t="s">
        <v>870</v>
      </c>
      <c r="D34" s="17" t="s">
        <v>870</v>
      </c>
      <c r="E34" s="17" t="s">
        <v>870</v>
      </c>
      <c r="F34" s="17" t="s">
        <v>870</v>
      </c>
      <c r="G34" s="17" t="s">
        <v>870</v>
      </c>
      <c r="H34" s="17" t="s">
        <v>870</v>
      </c>
      <c r="I34" s="17" t="s">
        <v>870</v>
      </c>
      <c r="J34" s="17" t="s">
        <v>870</v>
      </c>
      <c r="K34" s="17" t="s">
        <v>870</v>
      </c>
      <c r="L34" s="17" t="s">
        <v>870</v>
      </c>
      <c r="M34" s="17" t="s">
        <v>870</v>
      </c>
      <c r="N34" s="17" t="s">
        <v>870</v>
      </c>
      <c r="O34" s="17" t="s">
        <v>870</v>
      </c>
      <c r="P34" s="17" t="s">
        <v>870</v>
      </c>
      <c r="Q34" s="17" t="s">
        <v>870</v>
      </c>
      <c r="R34" s="17" t="s">
        <v>870</v>
      </c>
      <c r="S34" s="17" t="s">
        <v>870</v>
      </c>
      <c r="T34" s="17" t="s">
        <v>870</v>
      </c>
      <c r="U34" s="17" t="s">
        <v>870</v>
      </c>
      <c r="V34" s="17" t="s">
        <v>870</v>
      </c>
      <c r="W34" s="17" t="s">
        <v>870</v>
      </c>
      <c r="X34" s="17" t="s">
        <v>870</v>
      </c>
      <c r="Y34" s="17" t="s">
        <v>870</v>
      </c>
      <c r="Z34" s="17" t="s">
        <v>870</v>
      </c>
      <c r="AA34" s="17" t="s">
        <v>870</v>
      </c>
      <c r="AB34" s="17" t="s">
        <v>870</v>
      </c>
      <c r="AC34" s="17" t="s">
        <v>870</v>
      </c>
      <c r="AD34" s="17" t="s">
        <v>870</v>
      </c>
      <c r="AE34" s="17" t="s">
        <v>870</v>
      </c>
      <c r="AF34" s="17" t="s">
        <v>870</v>
      </c>
      <c r="AG34" s="17" t="s">
        <v>870</v>
      </c>
      <c r="AH34" s="17" t="s">
        <v>870</v>
      </c>
      <c r="AI34" s="17" t="s">
        <v>870</v>
      </c>
      <c r="AJ34" s="17" t="s">
        <v>870</v>
      </c>
      <c r="AK34" s="17" t="s">
        <v>870</v>
      </c>
      <c r="AL34" s="17" t="s">
        <v>870</v>
      </c>
      <c r="AM34" s="17" t="s">
        <v>870</v>
      </c>
      <c r="AN34" s="17" t="s">
        <v>870</v>
      </c>
      <c r="AO34" s="17" t="s">
        <v>870</v>
      </c>
      <c r="AP34" s="17" t="s">
        <v>870</v>
      </c>
      <c r="AQ34" s="17" t="s">
        <v>870</v>
      </c>
      <c r="AR34" s="17" t="s">
        <v>870</v>
      </c>
      <c r="AS34" s="17" t="s">
        <v>870</v>
      </c>
      <c r="AT34" s="17" t="s">
        <v>870</v>
      </c>
      <c r="AU34" s="17" t="s">
        <v>870</v>
      </c>
      <c r="AV34" s="17" t="s">
        <v>870</v>
      </c>
      <c r="AW34" s="17" t="s">
        <v>870</v>
      </c>
      <c r="AX34" s="17" t="s">
        <v>870</v>
      </c>
      <c r="AY34" s="17" t="s">
        <v>870</v>
      </c>
      <c r="AZ34" s="17" t="s">
        <v>870</v>
      </c>
      <c r="BA34" s="17" t="s">
        <v>870</v>
      </c>
      <c r="BB34" s="17" t="s">
        <v>870</v>
      </c>
      <c r="BC34" s="17" t="s">
        <v>870</v>
      </c>
      <c r="BD34" s="17" t="s">
        <v>870</v>
      </c>
      <c r="BE34" s="17" t="s">
        <v>870</v>
      </c>
      <c r="BF34" s="17" t="s">
        <v>870</v>
      </c>
      <c r="BG34" s="17" t="s">
        <v>870</v>
      </c>
      <c r="BH34" s="17" t="s">
        <v>870</v>
      </c>
      <c r="BI34" s="17" t="s">
        <v>870</v>
      </c>
      <c r="BJ34" s="17" t="s">
        <v>870</v>
      </c>
      <c r="BK34" s="17" t="s">
        <v>870</v>
      </c>
      <c r="BL34" s="17" t="s">
        <v>870</v>
      </c>
      <c r="BM34" s="17" t="s">
        <v>870</v>
      </c>
      <c r="BN34" s="17" t="s">
        <v>870</v>
      </c>
      <c r="BO34" s="17" t="s">
        <v>870</v>
      </c>
      <c r="BP34" s="17" t="s">
        <v>870</v>
      </c>
      <c r="BQ34" s="17" t="s">
        <v>870</v>
      </c>
      <c r="BR34" s="17" t="s">
        <v>870</v>
      </c>
      <c r="BS34" s="17" t="s">
        <v>870</v>
      </c>
      <c r="BT34" s="17" t="s">
        <v>870</v>
      </c>
      <c r="BU34" s="17" t="s">
        <v>870</v>
      </c>
      <c r="BV34" s="17" t="s">
        <v>870</v>
      </c>
      <c r="BW34" s="17" t="s">
        <v>870</v>
      </c>
      <c r="BX34" s="17" t="s">
        <v>870</v>
      </c>
      <c r="BY34" s="17" t="s">
        <v>870</v>
      </c>
      <c r="BZ34" s="17" t="s">
        <v>870</v>
      </c>
      <c r="CA34" s="17" t="s">
        <v>870</v>
      </c>
      <c r="CB34" s="17" t="s">
        <v>870</v>
      </c>
      <c r="CC34" s="17" t="s">
        <v>870</v>
      </c>
      <c r="CD34" s="17" t="s">
        <v>870</v>
      </c>
      <c r="CE34" s="17" t="s">
        <v>870</v>
      </c>
      <c r="CF34" s="17" t="s">
        <v>870</v>
      </c>
      <c r="CG34" s="17" t="s">
        <v>870</v>
      </c>
      <c r="CH34" s="17" t="s">
        <v>870</v>
      </c>
      <c r="CI34" s="17" t="s">
        <v>870</v>
      </c>
      <c r="CJ34" s="17" t="s">
        <v>870</v>
      </c>
      <c r="CK34" s="17" t="s">
        <v>870</v>
      </c>
      <c r="CL34" s="17" t="s">
        <v>870</v>
      </c>
      <c r="CM34" s="17" t="s">
        <v>870</v>
      </c>
      <c r="CN34" s="17" t="s">
        <v>870</v>
      </c>
      <c r="CO34" s="17" t="s">
        <v>870</v>
      </c>
      <c r="CP34" s="17" t="s">
        <v>870</v>
      </c>
      <c r="CQ34" s="17" t="s">
        <v>870</v>
      </c>
      <c r="CR34" s="17" t="s">
        <v>870</v>
      </c>
      <c r="CS34" s="17" t="s">
        <v>870</v>
      </c>
      <c r="CT34" s="17" t="s">
        <v>870</v>
      </c>
      <c r="CU34" s="17" t="s">
        <v>870</v>
      </c>
      <c r="CV34" s="17" t="s">
        <v>870</v>
      </c>
      <c r="CW34" s="17" t="s">
        <v>870</v>
      </c>
      <c r="CX34" s="17" t="s">
        <v>870</v>
      </c>
      <c r="CY34" s="17" t="s">
        <v>870</v>
      </c>
      <c r="CZ34" s="17" t="s">
        <v>870</v>
      </c>
      <c r="DA34" s="17" t="s">
        <v>870</v>
      </c>
      <c r="DB34" s="17" t="s">
        <v>870</v>
      </c>
      <c r="DC34" s="17" t="s">
        <v>870</v>
      </c>
      <c r="DD34" s="17" t="s">
        <v>870</v>
      </c>
      <c r="DE34" s="17" t="s">
        <v>870</v>
      </c>
      <c r="DF34" s="17" t="s">
        <v>870</v>
      </c>
      <c r="DG34" s="17" t="s">
        <v>870</v>
      </c>
      <c r="DH34" s="17" t="s">
        <v>870</v>
      </c>
      <c r="DI34" s="17" t="s">
        <v>870</v>
      </c>
      <c r="DJ34" s="17" t="s">
        <v>870</v>
      </c>
      <c r="DK34" s="17" t="s">
        <v>870</v>
      </c>
      <c r="DL34" s="17" t="s">
        <v>870</v>
      </c>
      <c r="DM34" s="17" t="s">
        <v>870</v>
      </c>
      <c r="DN34" s="17" t="s">
        <v>870</v>
      </c>
      <c r="DO34" s="17" t="s">
        <v>870</v>
      </c>
      <c r="DP34" s="17" t="s">
        <v>870</v>
      </c>
      <c r="DQ34" s="17" t="s">
        <v>870</v>
      </c>
      <c r="DR34" s="17" t="s">
        <v>870</v>
      </c>
      <c r="DS34" s="17" t="s">
        <v>870</v>
      </c>
      <c r="DT34" s="17" t="s">
        <v>870</v>
      </c>
      <c r="DU34" s="17" t="s">
        <v>870</v>
      </c>
      <c r="DV34" s="17" t="s">
        <v>870</v>
      </c>
      <c r="DW34" s="17" t="s">
        <v>870</v>
      </c>
      <c r="DX34" s="17" t="s">
        <v>870</v>
      </c>
      <c r="DY34" s="17" t="s">
        <v>870</v>
      </c>
      <c r="DZ34" s="17" t="s">
        <v>870</v>
      </c>
      <c r="EA34" s="17" t="s">
        <v>870</v>
      </c>
      <c r="EB34" s="17" t="s">
        <v>870</v>
      </c>
      <c r="EC34" s="17" t="s">
        <v>870</v>
      </c>
      <c r="ED34" s="17" t="s">
        <v>870</v>
      </c>
      <c r="EE34" s="17" t="s">
        <v>870</v>
      </c>
      <c r="EF34" s="63"/>
      <c r="EG34" s="61" t="s">
        <v>2</v>
      </c>
      <c r="EH34" s="17" t="s">
        <v>870</v>
      </c>
      <c r="EI34" s="17" t="s">
        <v>870</v>
      </c>
      <c r="EJ34" s="17" t="s">
        <v>870</v>
      </c>
      <c r="EK34" s="17" t="s">
        <v>870</v>
      </c>
      <c r="EL34" s="17" t="s">
        <v>870</v>
      </c>
      <c r="EM34" s="17" t="s">
        <v>870</v>
      </c>
      <c r="EN34" s="17" t="s">
        <v>870</v>
      </c>
      <c r="EO34" s="17" t="s">
        <v>870</v>
      </c>
      <c r="EP34" s="17" t="s">
        <v>870</v>
      </c>
      <c r="EQ34" s="17" t="s">
        <v>870</v>
      </c>
      <c r="ER34" s="17" t="s">
        <v>870</v>
      </c>
      <c r="ES34" s="17" t="s">
        <v>870</v>
      </c>
      <c r="ET34" s="17" t="s">
        <v>870</v>
      </c>
      <c r="EU34" s="17" t="s">
        <v>870</v>
      </c>
      <c r="EV34" s="17" t="s">
        <v>870</v>
      </c>
      <c r="EW34" s="17" t="s">
        <v>870</v>
      </c>
      <c r="EX34" s="17" t="s">
        <v>870</v>
      </c>
      <c r="EY34" s="17" t="s">
        <v>870</v>
      </c>
      <c r="EZ34" s="17" t="s">
        <v>870</v>
      </c>
      <c r="FA34" s="17" t="s">
        <v>870</v>
      </c>
      <c r="FB34" s="62"/>
      <c r="FC34" s="63"/>
      <c r="FD34" s="17" t="s">
        <v>870</v>
      </c>
      <c r="FE34" s="17" t="s">
        <v>870</v>
      </c>
      <c r="FF34" s="17" t="s">
        <v>870</v>
      </c>
      <c r="FG34" s="17" t="s">
        <v>870</v>
      </c>
      <c r="FH34" s="17" t="s">
        <v>870</v>
      </c>
      <c r="FI34" s="17" t="s">
        <v>870</v>
      </c>
      <c r="FJ34" s="17" t="s">
        <v>870</v>
      </c>
      <c r="FK34" s="17" t="s">
        <v>870</v>
      </c>
      <c r="FL34" s="17" t="s">
        <v>870</v>
      </c>
      <c r="FM34" s="17" t="s">
        <v>870</v>
      </c>
      <c r="FN34" s="17" t="s">
        <v>870</v>
      </c>
      <c r="FO34" s="17" t="s">
        <v>870</v>
      </c>
      <c r="FP34" s="17" t="s">
        <v>870</v>
      </c>
      <c r="FQ34" s="17" t="s">
        <v>870</v>
      </c>
      <c r="FR34" s="17" t="s">
        <v>870</v>
      </c>
      <c r="FS34" s="17" t="s">
        <v>870</v>
      </c>
      <c r="FT34" s="17" t="s">
        <v>870</v>
      </c>
      <c r="FU34" s="17" t="s">
        <v>870</v>
      </c>
      <c r="FV34" s="17" t="s">
        <v>870</v>
      </c>
      <c r="FW34" s="17" t="s">
        <v>870</v>
      </c>
      <c r="FX34" s="17" t="s">
        <v>870</v>
      </c>
      <c r="FY34" s="17" t="s">
        <v>870</v>
      </c>
      <c r="FZ34" s="17" t="s">
        <v>870</v>
      </c>
      <c r="GA34" s="17" t="s">
        <v>870</v>
      </c>
      <c r="GB34" s="17" t="s">
        <v>870</v>
      </c>
      <c r="GC34" s="17" t="s">
        <v>870</v>
      </c>
      <c r="GD34" s="17" t="s">
        <v>870</v>
      </c>
      <c r="GE34" s="17" t="s">
        <v>870</v>
      </c>
      <c r="GF34" s="17" t="s">
        <v>870</v>
      </c>
      <c r="GG34" s="17" t="s">
        <v>870</v>
      </c>
      <c r="GH34" s="17" t="s">
        <v>870</v>
      </c>
      <c r="GI34" s="17" t="s">
        <v>870</v>
      </c>
      <c r="GJ34" s="17" t="s">
        <v>870</v>
      </c>
      <c r="GK34" s="17" t="s">
        <v>870</v>
      </c>
      <c r="GL34" s="17" t="s">
        <v>870</v>
      </c>
      <c r="GM34" s="17" t="s">
        <v>870</v>
      </c>
      <c r="GN34" s="17" t="s">
        <v>870</v>
      </c>
      <c r="GO34" s="17" t="s">
        <v>870</v>
      </c>
      <c r="GP34" s="17" t="s">
        <v>870</v>
      </c>
      <c r="GQ34" s="17" t="s">
        <v>870</v>
      </c>
      <c r="GR34" s="17" t="s">
        <v>870</v>
      </c>
      <c r="GS34" s="17" t="s">
        <v>870</v>
      </c>
      <c r="GT34" s="17" t="s">
        <v>870</v>
      </c>
      <c r="GU34" s="17" t="s">
        <v>870</v>
      </c>
      <c r="GV34" s="17" t="s">
        <v>870</v>
      </c>
      <c r="GW34" s="17" t="s">
        <v>870</v>
      </c>
      <c r="GX34" s="17" t="s">
        <v>870</v>
      </c>
      <c r="GY34" s="17" t="s">
        <v>870</v>
      </c>
      <c r="GZ34" s="17" t="s">
        <v>870</v>
      </c>
      <c r="HA34" s="17" t="s">
        <v>870</v>
      </c>
      <c r="HB34" s="17" t="s">
        <v>870</v>
      </c>
      <c r="HC34" s="17" t="s">
        <v>870</v>
      </c>
      <c r="HD34" s="17" t="s">
        <v>870</v>
      </c>
      <c r="HE34" s="17" t="s">
        <v>870</v>
      </c>
      <c r="HF34" s="17" t="s">
        <v>870</v>
      </c>
      <c r="HG34" s="17" t="s">
        <v>870</v>
      </c>
      <c r="HH34" s="17" t="s">
        <v>870</v>
      </c>
      <c r="HI34" s="17" t="s">
        <v>870</v>
      </c>
      <c r="HJ34" s="17" t="s">
        <v>870</v>
      </c>
      <c r="HK34" s="17" t="s">
        <v>870</v>
      </c>
      <c r="HL34" s="17" t="s">
        <v>870</v>
      </c>
      <c r="HM34" s="17" t="s">
        <v>870</v>
      </c>
      <c r="HN34" s="17" t="s">
        <v>870</v>
      </c>
      <c r="HO34" s="17" t="s">
        <v>870</v>
      </c>
      <c r="HP34" s="17" t="s">
        <v>870</v>
      </c>
      <c r="HQ34" s="17" t="s">
        <v>870</v>
      </c>
      <c r="HR34" s="17" t="s">
        <v>870</v>
      </c>
      <c r="HS34" s="17" t="s">
        <v>870</v>
      </c>
      <c r="HT34" s="17" t="s">
        <v>870</v>
      </c>
      <c r="HU34" s="17" t="s">
        <v>870</v>
      </c>
      <c r="HV34" s="17" t="s">
        <v>870</v>
      </c>
      <c r="HW34" s="17" t="s">
        <v>870</v>
      </c>
      <c r="HX34" s="17" t="s">
        <v>870</v>
      </c>
      <c r="HY34" s="17" t="s">
        <v>870</v>
      </c>
      <c r="HZ34" s="17" t="s">
        <v>870</v>
      </c>
      <c r="IA34" s="17" t="s">
        <v>870</v>
      </c>
      <c r="IB34" s="17" t="s">
        <v>870</v>
      </c>
      <c r="IC34" s="17" t="s">
        <v>870</v>
      </c>
      <c r="ID34" s="17" t="s">
        <v>870</v>
      </c>
      <c r="IE34" s="17" t="s">
        <v>870</v>
      </c>
      <c r="IF34" s="17" t="s">
        <v>870</v>
      </c>
      <c r="IG34" s="17" t="s">
        <v>870</v>
      </c>
      <c r="IH34" s="17" t="s">
        <v>870</v>
      </c>
      <c r="II34" s="17" t="s">
        <v>870</v>
      </c>
      <c r="IJ34" s="17" t="s">
        <v>870</v>
      </c>
      <c r="IK34" s="17" t="s">
        <v>870</v>
      </c>
      <c r="IL34" s="17" t="s">
        <v>870</v>
      </c>
      <c r="IM34" s="17" t="s">
        <v>870</v>
      </c>
      <c r="IN34" s="17" t="s">
        <v>870</v>
      </c>
      <c r="IO34" s="17" t="s">
        <v>870</v>
      </c>
      <c r="IP34" s="17" t="s">
        <v>870</v>
      </c>
      <c r="IQ34" s="17" t="s">
        <v>870</v>
      </c>
      <c r="IR34" s="17" t="s">
        <v>870</v>
      </c>
      <c r="IS34" s="17" t="s">
        <v>870</v>
      </c>
      <c r="IT34" s="17" t="s">
        <v>870</v>
      </c>
      <c r="IU34" s="17" t="s">
        <v>870</v>
      </c>
      <c r="IV34" s="17" t="s">
        <v>870</v>
      </c>
      <c r="IW34" s="17" t="s">
        <v>870</v>
      </c>
      <c r="IX34" s="17" t="s">
        <v>870</v>
      </c>
      <c r="IY34" s="17" t="s">
        <v>870</v>
      </c>
      <c r="IZ34" s="17" t="s">
        <v>870</v>
      </c>
      <c r="JA34" s="17" t="s">
        <v>870</v>
      </c>
      <c r="JB34" s="17" t="s">
        <v>870</v>
      </c>
      <c r="JC34" s="17" t="s">
        <v>870</v>
      </c>
      <c r="JD34" s="17" t="s">
        <v>870</v>
      </c>
      <c r="JE34" s="17" t="s">
        <v>870</v>
      </c>
      <c r="JF34" s="17" t="s">
        <v>870</v>
      </c>
      <c r="JG34" s="17" t="s">
        <v>870</v>
      </c>
      <c r="JH34" s="17" t="s">
        <v>870</v>
      </c>
      <c r="JI34" s="17" t="s">
        <v>870</v>
      </c>
      <c r="JJ34" s="17" t="s">
        <v>870</v>
      </c>
      <c r="JK34" s="17" t="s">
        <v>870</v>
      </c>
      <c r="JL34" s="17" t="s">
        <v>870</v>
      </c>
      <c r="JM34" s="17" t="s">
        <v>870</v>
      </c>
      <c r="JN34" s="17" t="s">
        <v>870</v>
      </c>
      <c r="JO34" s="17" t="s">
        <v>870</v>
      </c>
      <c r="JP34" s="17" t="s">
        <v>870</v>
      </c>
      <c r="JQ34" s="17" t="s">
        <v>870</v>
      </c>
      <c r="JR34" s="17" t="s">
        <v>870</v>
      </c>
      <c r="JS34" s="17" t="s">
        <v>870</v>
      </c>
      <c r="JT34" s="17" t="s">
        <v>870</v>
      </c>
    </row>
    <row r="35" spans="1:280" x14ac:dyDescent="0.25">
      <c r="A35" t="s">
        <v>402</v>
      </c>
      <c r="B35" s="17" t="s">
        <v>870</v>
      </c>
      <c r="C35" s="17" t="s">
        <v>870</v>
      </c>
      <c r="D35" s="17" t="s">
        <v>870</v>
      </c>
      <c r="E35" s="17" t="s">
        <v>870</v>
      </c>
      <c r="F35" s="17" t="s">
        <v>870</v>
      </c>
      <c r="G35" s="17" t="s">
        <v>870</v>
      </c>
      <c r="H35" s="17" t="s">
        <v>870</v>
      </c>
      <c r="I35" s="17" t="s">
        <v>870</v>
      </c>
      <c r="J35" s="17" t="s">
        <v>870</v>
      </c>
      <c r="K35" s="17" t="s">
        <v>870</v>
      </c>
      <c r="L35" s="17" t="s">
        <v>870</v>
      </c>
      <c r="M35" s="17" t="s">
        <v>870</v>
      </c>
      <c r="N35" s="17" t="s">
        <v>870</v>
      </c>
      <c r="O35" s="17" t="s">
        <v>870</v>
      </c>
      <c r="P35" s="17" t="s">
        <v>870</v>
      </c>
      <c r="Q35" s="17" t="s">
        <v>870</v>
      </c>
      <c r="R35" s="17" t="s">
        <v>870</v>
      </c>
      <c r="S35" s="17" t="s">
        <v>870</v>
      </c>
      <c r="T35" s="17" t="s">
        <v>870</v>
      </c>
      <c r="U35" s="17" t="s">
        <v>870</v>
      </c>
      <c r="V35" s="17" t="s">
        <v>870</v>
      </c>
      <c r="W35" s="17" t="s">
        <v>870</v>
      </c>
      <c r="X35" s="17" t="s">
        <v>870</v>
      </c>
      <c r="Y35" s="17" t="s">
        <v>870</v>
      </c>
      <c r="Z35" s="17" t="s">
        <v>870</v>
      </c>
      <c r="AA35" s="17" t="s">
        <v>870</v>
      </c>
      <c r="AB35" s="17" t="s">
        <v>870</v>
      </c>
      <c r="AC35" s="17" t="s">
        <v>870</v>
      </c>
      <c r="AD35" s="17" t="s">
        <v>870</v>
      </c>
      <c r="AE35" s="17" t="s">
        <v>870</v>
      </c>
      <c r="AF35" s="17" t="s">
        <v>870</v>
      </c>
      <c r="AG35" s="17" t="s">
        <v>870</v>
      </c>
      <c r="AH35" s="17" t="s">
        <v>870</v>
      </c>
      <c r="AI35" s="17" t="s">
        <v>870</v>
      </c>
      <c r="AJ35" s="17" t="s">
        <v>870</v>
      </c>
      <c r="AK35" s="17" t="s">
        <v>870</v>
      </c>
      <c r="AL35" s="17" t="s">
        <v>870</v>
      </c>
      <c r="AM35" s="17" t="s">
        <v>870</v>
      </c>
      <c r="AN35" s="17" t="s">
        <v>870</v>
      </c>
      <c r="AO35" s="17" t="s">
        <v>870</v>
      </c>
      <c r="AP35" s="17" t="s">
        <v>870</v>
      </c>
      <c r="AQ35" s="17" t="s">
        <v>870</v>
      </c>
      <c r="AR35" s="17" t="s">
        <v>870</v>
      </c>
      <c r="AS35" s="17" t="s">
        <v>870</v>
      </c>
      <c r="AT35" s="17" t="s">
        <v>870</v>
      </c>
      <c r="AU35" s="17" t="s">
        <v>870</v>
      </c>
      <c r="AV35" s="17" t="s">
        <v>870</v>
      </c>
      <c r="AW35" s="17" t="s">
        <v>870</v>
      </c>
      <c r="AX35" s="17" t="s">
        <v>870</v>
      </c>
      <c r="AY35" s="17" t="s">
        <v>870</v>
      </c>
      <c r="AZ35" s="17" t="s">
        <v>870</v>
      </c>
      <c r="BA35" s="17" t="s">
        <v>870</v>
      </c>
      <c r="BB35" s="17" t="s">
        <v>870</v>
      </c>
      <c r="BC35" s="17" t="s">
        <v>870</v>
      </c>
      <c r="BD35" s="17" t="s">
        <v>870</v>
      </c>
      <c r="BE35" s="17" t="s">
        <v>870</v>
      </c>
      <c r="BF35" s="17" t="s">
        <v>870</v>
      </c>
      <c r="BG35" s="17" t="s">
        <v>870</v>
      </c>
      <c r="BH35" s="17" t="s">
        <v>870</v>
      </c>
      <c r="BI35" s="17" t="s">
        <v>870</v>
      </c>
      <c r="BJ35" s="17" t="s">
        <v>870</v>
      </c>
      <c r="BK35" s="17" t="s">
        <v>870</v>
      </c>
      <c r="BL35" s="17" t="s">
        <v>870</v>
      </c>
      <c r="BM35" s="17" t="s">
        <v>870</v>
      </c>
      <c r="BN35" s="17" t="s">
        <v>870</v>
      </c>
      <c r="BO35" s="17" t="s">
        <v>870</v>
      </c>
      <c r="BP35" s="17" t="s">
        <v>870</v>
      </c>
      <c r="BQ35" s="17" t="s">
        <v>870</v>
      </c>
      <c r="BR35" s="17" t="s">
        <v>870</v>
      </c>
      <c r="BS35" s="17" t="s">
        <v>870</v>
      </c>
      <c r="BT35" s="17" t="s">
        <v>870</v>
      </c>
      <c r="BU35" s="17" t="s">
        <v>870</v>
      </c>
      <c r="BV35" s="17" t="s">
        <v>870</v>
      </c>
      <c r="BW35" s="17" t="s">
        <v>870</v>
      </c>
      <c r="BX35" s="17" t="s">
        <v>870</v>
      </c>
      <c r="BY35" s="17" t="s">
        <v>870</v>
      </c>
      <c r="BZ35" s="17" t="s">
        <v>870</v>
      </c>
      <c r="CA35" s="17" t="s">
        <v>870</v>
      </c>
      <c r="CB35" s="17" t="s">
        <v>870</v>
      </c>
      <c r="CC35" s="17" t="s">
        <v>870</v>
      </c>
      <c r="CD35" s="17" t="s">
        <v>870</v>
      </c>
      <c r="CE35" s="17" t="s">
        <v>870</v>
      </c>
      <c r="CF35" s="17" t="s">
        <v>870</v>
      </c>
      <c r="CG35" s="17" t="s">
        <v>870</v>
      </c>
      <c r="CH35" s="17" t="s">
        <v>870</v>
      </c>
      <c r="CI35" s="17" t="s">
        <v>870</v>
      </c>
      <c r="CJ35" s="17" t="s">
        <v>870</v>
      </c>
      <c r="CK35" s="17" t="s">
        <v>870</v>
      </c>
      <c r="CL35" s="17" t="s">
        <v>870</v>
      </c>
      <c r="CM35" s="17" t="s">
        <v>870</v>
      </c>
      <c r="CN35" s="17" t="s">
        <v>870</v>
      </c>
      <c r="CO35" s="17" t="s">
        <v>870</v>
      </c>
      <c r="CP35" s="17" t="s">
        <v>870</v>
      </c>
      <c r="CQ35" s="17" t="s">
        <v>870</v>
      </c>
      <c r="CR35" s="17" t="s">
        <v>870</v>
      </c>
      <c r="CS35" s="17" t="s">
        <v>870</v>
      </c>
      <c r="CT35" s="17" t="s">
        <v>870</v>
      </c>
      <c r="CU35" s="17" t="s">
        <v>870</v>
      </c>
      <c r="CV35" s="17" t="s">
        <v>870</v>
      </c>
      <c r="CW35" s="17" t="s">
        <v>870</v>
      </c>
      <c r="CX35" s="17" t="s">
        <v>870</v>
      </c>
      <c r="CY35" s="17" t="s">
        <v>870</v>
      </c>
      <c r="CZ35" s="17" t="s">
        <v>870</v>
      </c>
      <c r="DA35" s="17" t="s">
        <v>870</v>
      </c>
      <c r="DB35" s="17" t="s">
        <v>870</v>
      </c>
      <c r="DC35" s="17" t="s">
        <v>870</v>
      </c>
      <c r="DD35" s="17" t="s">
        <v>870</v>
      </c>
      <c r="DE35" s="17" t="s">
        <v>870</v>
      </c>
      <c r="DF35" s="17" t="s">
        <v>870</v>
      </c>
      <c r="DG35" s="17" t="s">
        <v>870</v>
      </c>
      <c r="DH35" s="17" t="s">
        <v>870</v>
      </c>
      <c r="DI35" s="17" t="s">
        <v>870</v>
      </c>
      <c r="DJ35" s="17" t="s">
        <v>870</v>
      </c>
      <c r="DK35" s="17" t="s">
        <v>870</v>
      </c>
      <c r="DL35" s="17" t="s">
        <v>870</v>
      </c>
      <c r="DM35" s="17" t="s">
        <v>870</v>
      </c>
      <c r="DN35" s="17" t="s">
        <v>870</v>
      </c>
      <c r="DO35" s="17" t="s">
        <v>870</v>
      </c>
      <c r="DP35" s="17" t="s">
        <v>870</v>
      </c>
      <c r="DQ35" s="17" t="s">
        <v>870</v>
      </c>
      <c r="DR35" s="17" t="s">
        <v>870</v>
      </c>
      <c r="DS35" s="17" t="s">
        <v>870</v>
      </c>
      <c r="DT35" s="17" t="s">
        <v>870</v>
      </c>
      <c r="DU35" s="17" t="s">
        <v>870</v>
      </c>
      <c r="DV35" s="17" t="s">
        <v>870</v>
      </c>
      <c r="DW35" s="17" t="s">
        <v>870</v>
      </c>
      <c r="DX35" s="17" t="s">
        <v>870</v>
      </c>
      <c r="DY35" s="17" t="s">
        <v>870</v>
      </c>
      <c r="DZ35" s="17" t="s">
        <v>870</v>
      </c>
      <c r="EA35" s="17" t="s">
        <v>870</v>
      </c>
      <c r="EB35" s="17" t="s">
        <v>870</v>
      </c>
      <c r="EC35" s="17" t="s">
        <v>870</v>
      </c>
      <c r="ED35" s="17" t="s">
        <v>870</v>
      </c>
      <c r="EE35" s="17" t="s">
        <v>870</v>
      </c>
      <c r="EF35" s="17" t="s">
        <v>870</v>
      </c>
      <c r="EG35" s="17" t="s">
        <v>870</v>
      </c>
      <c r="EH35" s="17" t="s">
        <v>870</v>
      </c>
      <c r="EI35" s="17" t="s">
        <v>870</v>
      </c>
      <c r="EJ35" s="17" t="s">
        <v>870</v>
      </c>
      <c r="EK35" s="17" t="s">
        <v>870</v>
      </c>
      <c r="EL35" s="17" t="s">
        <v>870</v>
      </c>
      <c r="EM35" s="17" t="s">
        <v>870</v>
      </c>
      <c r="EN35" s="17" t="s">
        <v>870</v>
      </c>
      <c r="EO35" s="17" t="s">
        <v>870</v>
      </c>
      <c r="EP35" s="17" t="s">
        <v>870</v>
      </c>
      <c r="EQ35" s="17" t="s">
        <v>870</v>
      </c>
      <c r="ER35" s="17" t="s">
        <v>870</v>
      </c>
      <c r="ES35" s="17" t="s">
        <v>870</v>
      </c>
      <c r="ET35" s="17" t="s">
        <v>870</v>
      </c>
      <c r="EU35" s="17" t="s">
        <v>870</v>
      </c>
      <c r="EV35" s="17" t="s">
        <v>870</v>
      </c>
      <c r="EW35" s="17" t="s">
        <v>870</v>
      </c>
      <c r="EX35" s="17" t="s">
        <v>870</v>
      </c>
      <c r="EY35" s="17" t="s">
        <v>870</v>
      </c>
      <c r="EZ35" s="17" t="s">
        <v>870</v>
      </c>
      <c r="FA35" s="17" t="s">
        <v>870</v>
      </c>
      <c r="FB35" s="17" t="s">
        <v>870</v>
      </c>
      <c r="FC35" s="17" t="s">
        <v>870</v>
      </c>
      <c r="FD35" s="17" t="s">
        <v>870</v>
      </c>
      <c r="FE35" s="17" t="s">
        <v>870</v>
      </c>
      <c r="FF35" s="17" t="s">
        <v>870</v>
      </c>
      <c r="FG35" s="17" t="s">
        <v>870</v>
      </c>
      <c r="FH35" s="17" t="s">
        <v>870</v>
      </c>
      <c r="FI35" s="17" t="s">
        <v>870</v>
      </c>
      <c r="FJ35" s="17" t="s">
        <v>870</v>
      </c>
      <c r="FK35" s="17" t="s">
        <v>870</v>
      </c>
      <c r="FL35" s="17" t="s">
        <v>870</v>
      </c>
      <c r="FM35" s="17" t="s">
        <v>870</v>
      </c>
      <c r="FN35" s="17" t="s">
        <v>870</v>
      </c>
      <c r="FO35" s="17" t="s">
        <v>870</v>
      </c>
      <c r="FP35" s="17" t="s">
        <v>870</v>
      </c>
      <c r="FQ35" s="17" t="s">
        <v>870</v>
      </c>
      <c r="FR35" s="17" t="s">
        <v>870</v>
      </c>
      <c r="FS35" s="17" t="s">
        <v>870</v>
      </c>
      <c r="FT35" s="17" t="s">
        <v>870</v>
      </c>
      <c r="FU35" s="17" t="s">
        <v>870</v>
      </c>
      <c r="FV35" s="17" t="s">
        <v>870</v>
      </c>
      <c r="FW35" s="17" t="s">
        <v>870</v>
      </c>
      <c r="FX35" s="17" t="s">
        <v>870</v>
      </c>
      <c r="FY35" s="17" t="s">
        <v>870</v>
      </c>
      <c r="FZ35" s="63"/>
      <c r="GA35" s="62"/>
      <c r="GB35" s="17" t="s">
        <v>870</v>
      </c>
      <c r="GC35" s="17" t="s">
        <v>870</v>
      </c>
      <c r="GD35" s="17" t="s">
        <v>870</v>
      </c>
      <c r="GE35" s="17" t="s">
        <v>870</v>
      </c>
      <c r="GF35" s="17" t="s">
        <v>870</v>
      </c>
      <c r="GG35" s="17" t="s">
        <v>870</v>
      </c>
      <c r="GH35" s="17" t="s">
        <v>870</v>
      </c>
      <c r="GI35" s="17" t="s">
        <v>870</v>
      </c>
      <c r="GJ35" s="17" t="s">
        <v>870</v>
      </c>
      <c r="GK35" s="17" t="s">
        <v>870</v>
      </c>
      <c r="GL35" s="17" t="s">
        <v>870</v>
      </c>
      <c r="GM35" s="17" t="s">
        <v>870</v>
      </c>
      <c r="GN35" s="17" t="s">
        <v>870</v>
      </c>
      <c r="GO35" s="17" t="s">
        <v>870</v>
      </c>
      <c r="GP35" s="17" t="s">
        <v>870</v>
      </c>
      <c r="GQ35" s="17" t="s">
        <v>870</v>
      </c>
      <c r="GR35" s="17" t="s">
        <v>870</v>
      </c>
      <c r="GS35" s="17" t="s">
        <v>870</v>
      </c>
      <c r="GT35" s="17" t="s">
        <v>870</v>
      </c>
      <c r="GU35" s="17" t="s">
        <v>870</v>
      </c>
      <c r="GV35" s="17" t="s">
        <v>870</v>
      </c>
      <c r="GW35" s="17" t="s">
        <v>870</v>
      </c>
      <c r="GX35" s="17" t="s">
        <v>870</v>
      </c>
      <c r="GY35" s="17" t="s">
        <v>870</v>
      </c>
      <c r="GZ35" s="17" t="s">
        <v>870</v>
      </c>
      <c r="HA35" s="17" t="s">
        <v>870</v>
      </c>
      <c r="HB35" s="17" t="s">
        <v>870</v>
      </c>
      <c r="HC35" s="17" t="s">
        <v>870</v>
      </c>
      <c r="HD35" s="17" t="s">
        <v>870</v>
      </c>
      <c r="HE35" s="17" t="s">
        <v>870</v>
      </c>
      <c r="HF35" s="17" t="s">
        <v>870</v>
      </c>
      <c r="HG35" s="17" t="s">
        <v>870</v>
      </c>
      <c r="HH35" s="17" t="s">
        <v>870</v>
      </c>
      <c r="HI35" s="17" t="s">
        <v>870</v>
      </c>
      <c r="HJ35" s="17" t="s">
        <v>870</v>
      </c>
      <c r="HK35" s="17" t="s">
        <v>870</v>
      </c>
      <c r="HL35" s="17" t="s">
        <v>870</v>
      </c>
      <c r="HM35" s="17" t="s">
        <v>870</v>
      </c>
      <c r="HN35" s="17" t="s">
        <v>870</v>
      </c>
      <c r="HO35" s="17" t="s">
        <v>870</v>
      </c>
      <c r="HP35" s="17" t="s">
        <v>870</v>
      </c>
      <c r="HQ35" s="17" t="s">
        <v>870</v>
      </c>
      <c r="HR35" s="17" t="s">
        <v>870</v>
      </c>
      <c r="HS35" s="17" t="s">
        <v>870</v>
      </c>
      <c r="HT35" s="17" t="s">
        <v>870</v>
      </c>
      <c r="HU35" s="17" t="s">
        <v>870</v>
      </c>
      <c r="HV35" s="17" t="s">
        <v>870</v>
      </c>
      <c r="HW35" s="17" t="s">
        <v>870</v>
      </c>
      <c r="HX35" s="17" t="s">
        <v>870</v>
      </c>
      <c r="HY35" s="17" t="s">
        <v>870</v>
      </c>
      <c r="HZ35" s="17" t="s">
        <v>870</v>
      </c>
      <c r="IA35" s="17" t="s">
        <v>870</v>
      </c>
      <c r="IB35" s="17" t="s">
        <v>870</v>
      </c>
      <c r="IC35" s="17" t="s">
        <v>870</v>
      </c>
      <c r="ID35" s="17" t="s">
        <v>870</v>
      </c>
      <c r="IE35" s="17" t="s">
        <v>870</v>
      </c>
      <c r="IF35" s="17" t="s">
        <v>870</v>
      </c>
      <c r="IG35" s="17" t="s">
        <v>870</v>
      </c>
      <c r="IH35" s="17" t="s">
        <v>870</v>
      </c>
      <c r="II35" s="17" t="s">
        <v>870</v>
      </c>
      <c r="IJ35" s="17" t="s">
        <v>870</v>
      </c>
      <c r="IK35" s="17" t="s">
        <v>870</v>
      </c>
      <c r="IL35" s="17" t="s">
        <v>870</v>
      </c>
      <c r="IM35" s="17" t="s">
        <v>870</v>
      </c>
      <c r="IN35" s="17" t="s">
        <v>870</v>
      </c>
      <c r="IO35" s="17" t="s">
        <v>870</v>
      </c>
      <c r="IP35" s="17" t="s">
        <v>870</v>
      </c>
      <c r="IQ35" s="17" t="s">
        <v>870</v>
      </c>
      <c r="IR35" s="17" t="s">
        <v>870</v>
      </c>
      <c r="IS35" s="17" t="s">
        <v>870</v>
      </c>
      <c r="IT35" s="17" t="s">
        <v>870</v>
      </c>
      <c r="IU35" s="17" t="s">
        <v>870</v>
      </c>
      <c r="IV35" s="17" t="s">
        <v>870</v>
      </c>
      <c r="IW35" s="17" t="s">
        <v>870</v>
      </c>
      <c r="IX35" s="17" t="s">
        <v>870</v>
      </c>
      <c r="IY35" s="17" t="s">
        <v>870</v>
      </c>
      <c r="IZ35" s="17" t="s">
        <v>870</v>
      </c>
      <c r="JA35" s="17" t="s">
        <v>870</v>
      </c>
      <c r="JB35" s="17" t="s">
        <v>870</v>
      </c>
      <c r="JC35" s="17" t="s">
        <v>870</v>
      </c>
      <c r="JD35" s="17" t="s">
        <v>870</v>
      </c>
      <c r="JE35" s="17" t="s">
        <v>870</v>
      </c>
      <c r="JF35" s="17" t="s">
        <v>870</v>
      </c>
      <c r="JG35" s="17" t="s">
        <v>870</v>
      </c>
      <c r="JH35" s="17" t="s">
        <v>870</v>
      </c>
      <c r="JI35" s="17" t="s">
        <v>870</v>
      </c>
      <c r="JJ35" s="17" t="s">
        <v>870</v>
      </c>
      <c r="JK35" s="17" t="s">
        <v>870</v>
      </c>
      <c r="JL35" s="17" t="s">
        <v>870</v>
      </c>
      <c r="JM35" s="17" t="s">
        <v>870</v>
      </c>
      <c r="JN35" s="17" t="s">
        <v>870</v>
      </c>
      <c r="JO35" s="17" t="s">
        <v>870</v>
      </c>
      <c r="JP35" s="17" t="s">
        <v>870</v>
      </c>
      <c r="JQ35" s="17" t="s">
        <v>870</v>
      </c>
      <c r="JR35" s="17" t="s">
        <v>870</v>
      </c>
      <c r="JS35" s="17" t="s">
        <v>870</v>
      </c>
      <c r="JT35" s="17" t="s">
        <v>870</v>
      </c>
    </row>
    <row r="36" spans="1:280" x14ac:dyDescent="0.25">
      <c r="A36" t="s">
        <v>22</v>
      </c>
      <c r="B36" s="17" t="s">
        <v>870</v>
      </c>
      <c r="C36" s="17" t="s">
        <v>870</v>
      </c>
      <c r="D36" s="17" t="s">
        <v>870</v>
      </c>
      <c r="E36" s="63"/>
      <c r="F36" s="63"/>
      <c r="G36" s="63"/>
      <c r="H36" s="62"/>
      <c r="I36" s="63"/>
      <c r="J36" s="63"/>
      <c r="K36" s="17" t="s">
        <v>870</v>
      </c>
      <c r="L36" s="63"/>
      <c r="M36" s="63"/>
      <c r="N36" s="63"/>
      <c r="O36" s="63"/>
      <c r="P36" s="63"/>
      <c r="Q36" s="63"/>
      <c r="R36" s="63"/>
      <c r="S36" s="62"/>
      <c r="T36" s="17" t="s">
        <v>870</v>
      </c>
      <c r="U36" s="17" t="s">
        <v>870</v>
      </c>
      <c r="V36" s="17" t="s">
        <v>870</v>
      </c>
      <c r="W36" s="17" t="s">
        <v>870</v>
      </c>
      <c r="X36" s="17" t="s">
        <v>870</v>
      </c>
      <c r="Y36" s="17" t="s">
        <v>870</v>
      </c>
      <c r="Z36" s="17" t="s">
        <v>870</v>
      </c>
      <c r="AA36" s="63"/>
      <c r="AB36" s="17" t="s">
        <v>870</v>
      </c>
      <c r="AC36" s="17" t="s">
        <v>870</v>
      </c>
      <c r="AD36" s="17" t="s">
        <v>870</v>
      </c>
      <c r="AE36" s="17" t="s">
        <v>870</v>
      </c>
      <c r="AF36" s="17" t="s">
        <v>870</v>
      </c>
      <c r="AG36" s="17" t="s">
        <v>870</v>
      </c>
      <c r="AH36" s="17" t="s">
        <v>870</v>
      </c>
      <c r="AI36" s="17" t="s">
        <v>870</v>
      </c>
      <c r="AJ36" s="17" t="s">
        <v>870</v>
      </c>
      <c r="AK36" s="17" t="s">
        <v>870</v>
      </c>
      <c r="AL36" s="17" t="s">
        <v>870</v>
      </c>
      <c r="AM36" s="17" t="s">
        <v>870</v>
      </c>
      <c r="AN36" s="17" t="s">
        <v>870</v>
      </c>
      <c r="AO36" s="17" t="s">
        <v>870</v>
      </c>
      <c r="AP36" s="17" t="s">
        <v>870</v>
      </c>
      <c r="AQ36" s="17" t="s">
        <v>870</v>
      </c>
      <c r="AR36" s="17" t="s">
        <v>870</v>
      </c>
      <c r="AS36" s="17" t="s">
        <v>870</v>
      </c>
      <c r="AT36" s="17" t="s">
        <v>870</v>
      </c>
      <c r="AU36" s="17" t="s">
        <v>870</v>
      </c>
      <c r="AV36" s="17" t="s">
        <v>870</v>
      </c>
      <c r="AW36" s="17" t="s">
        <v>870</v>
      </c>
      <c r="AX36" s="17" t="s">
        <v>870</v>
      </c>
      <c r="AY36" s="17" t="s">
        <v>870</v>
      </c>
      <c r="AZ36" s="17" t="s">
        <v>870</v>
      </c>
      <c r="BA36" s="17" t="s">
        <v>870</v>
      </c>
      <c r="BB36" s="17" t="s">
        <v>870</v>
      </c>
      <c r="BC36" s="17" t="s">
        <v>870</v>
      </c>
      <c r="BD36" s="17" t="s">
        <v>870</v>
      </c>
      <c r="BE36" s="17" t="s">
        <v>870</v>
      </c>
      <c r="BF36" s="17" t="s">
        <v>870</v>
      </c>
      <c r="BG36" s="17" t="s">
        <v>870</v>
      </c>
      <c r="BH36" s="17" t="s">
        <v>870</v>
      </c>
      <c r="BI36" s="17" t="s">
        <v>870</v>
      </c>
      <c r="BJ36" s="17" t="s">
        <v>870</v>
      </c>
      <c r="BK36" s="17" t="s">
        <v>870</v>
      </c>
      <c r="BL36" s="17" t="s">
        <v>870</v>
      </c>
      <c r="BM36" s="17" t="s">
        <v>870</v>
      </c>
      <c r="BN36" s="17" t="s">
        <v>870</v>
      </c>
      <c r="BO36" s="17" t="s">
        <v>870</v>
      </c>
      <c r="BP36" s="17" t="s">
        <v>870</v>
      </c>
      <c r="BQ36" s="17" t="s">
        <v>870</v>
      </c>
      <c r="BR36" s="17" t="s">
        <v>870</v>
      </c>
      <c r="BS36" s="17" t="s">
        <v>870</v>
      </c>
      <c r="BT36" s="17" t="s">
        <v>870</v>
      </c>
      <c r="BU36" s="17" t="s">
        <v>870</v>
      </c>
      <c r="BV36" s="17" t="s">
        <v>870</v>
      </c>
      <c r="BW36" s="17" t="s">
        <v>870</v>
      </c>
      <c r="BX36" s="17" t="s">
        <v>870</v>
      </c>
      <c r="BY36" s="17" t="s">
        <v>870</v>
      </c>
      <c r="BZ36" s="17" t="s">
        <v>870</v>
      </c>
      <c r="CA36" s="17" t="s">
        <v>870</v>
      </c>
      <c r="CB36" s="17" t="s">
        <v>870</v>
      </c>
      <c r="CC36" s="17" t="s">
        <v>870</v>
      </c>
      <c r="CD36" s="17" t="s">
        <v>870</v>
      </c>
      <c r="CE36" s="17" t="s">
        <v>870</v>
      </c>
      <c r="CF36" s="17" t="s">
        <v>870</v>
      </c>
      <c r="CG36" s="17" t="s">
        <v>870</v>
      </c>
      <c r="CH36" s="17" t="s">
        <v>870</v>
      </c>
      <c r="CI36" s="17" t="s">
        <v>870</v>
      </c>
      <c r="CJ36" s="17" t="s">
        <v>870</v>
      </c>
      <c r="CK36" s="17" t="s">
        <v>870</v>
      </c>
      <c r="CL36" s="17" t="s">
        <v>870</v>
      </c>
      <c r="CM36" s="17" t="s">
        <v>870</v>
      </c>
      <c r="CN36" s="17" t="s">
        <v>870</v>
      </c>
      <c r="CO36" s="17" t="s">
        <v>870</v>
      </c>
      <c r="CP36" s="17" t="s">
        <v>870</v>
      </c>
      <c r="CQ36" s="17" t="s">
        <v>870</v>
      </c>
      <c r="CR36" s="17" t="s">
        <v>870</v>
      </c>
      <c r="CS36" s="17" t="s">
        <v>870</v>
      </c>
      <c r="CT36" s="17" t="s">
        <v>870</v>
      </c>
      <c r="CU36" s="17" t="s">
        <v>870</v>
      </c>
      <c r="CV36" s="17" t="s">
        <v>870</v>
      </c>
      <c r="CW36" s="17" t="s">
        <v>870</v>
      </c>
      <c r="CX36" s="17" t="s">
        <v>870</v>
      </c>
      <c r="CY36" s="17" t="s">
        <v>870</v>
      </c>
      <c r="CZ36" s="17" t="s">
        <v>870</v>
      </c>
      <c r="DA36" s="17" t="s">
        <v>870</v>
      </c>
      <c r="DB36" s="17" t="s">
        <v>870</v>
      </c>
      <c r="DC36" s="17" t="s">
        <v>870</v>
      </c>
      <c r="DD36" s="17" t="s">
        <v>870</v>
      </c>
      <c r="DE36" s="17" t="s">
        <v>870</v>
      </c>
      <c r="DF36" s="17" t="s">
        <v>870</v>
      </c>
      <c r="DG36" s="17" t="s">
        <v>870</v>
      </c>
      <c r="DH36" s="17" t="s">
        <v>870</v>
      </c>
      <c r="DI36" s="17" t="s">
        <v>870</v>
      </c>
      <c r="DJ36" s="17" t="s">
        <v>870</v>
      </c>
      <c r="DK36" s="17" t="s">
        <v>870</v>
      </c>
      <c r="DL36" s="17" t="s">
        <v>870</v>
      </c>
      <c r="DM36" s="17" t="s">
        <v>870</v>
      </c>
      <c r="DN36" s="17" t="s">
        <v>870</v>
      </c>
      <c r="DO36" s="17" t="s">
        <v>870</v>
      </c>
      <c r="DP36" s="17" t="s">
        <v>870</v>
      </c>
      <c r="DQ36" s="17" t="s">
        <v>870</v>
      </c>
      <c r="DR36" s="17" t="s">
        <v>870</v>
      </c>
      <c r="DS36" s="17" t="s">
        <v>870</v>
      </c>
      <c r="DT36" s="17" t="s">
        <v>870</v>
      </c>
      <c r="DU36" s="17" t="s">
        <v>870</v>
      </c>
      <c r="DV36" s="17" t="s">
        <v>870</v>
      </c>
      <c r="DW36" s="17" t="s">
        <v>870</v>
      </c>
      <c r="DX36" s="17" t="s">
        <v>870</v>
      </c>
      <c r="DY36" s="17" t="s">
        <v>870</v>
      </c>
      <c r="DZ36" s="17" t="s">
        <v>870</v>
      </c>
      <c r="EA36" s="17" t="s">
        <v>870</v>
      </c>
      <c r="EB36" s="17" t="s">
        <v>870</v>
      </c>
      <c r="EC36" s="17" t="s">
        <v>870</v>
      </c>
      <c r="ED36" s="17" t="s">
        <v>870</v>
      </c>
      <c r="EE36" s="17" t="s">
        <v>870</v>
      </c>
      <c r="EF36" s="17" t="s">
        <v>870</v>
      </c>
      <c r="EG36" s="17" t="s">
        <v>870</v>
      </c>
      <c r="EH36" s="17" t="s">
        <v>870</v>
      </c>
      <c r="EI36" s="17" t="s">
        <v>870</v>
      </c>
      <c r="EJ36" s="17" t="s">
        <v>870</v>
      </c>
      <c r="EK36" s="17" t="s">
        <v>870</v>
      </c>
      <c r="EL36" s="17" t="s">
        <v>870</v>
      </c>
      <c r="EM36" s="17" t="s">
        <v>870</v>
      </c>
      <c r="EN36" s="17" t="s">
        <v>870</v>
      </c>
      <c r="EO36" s="17" t="s">
        <v>870</v>
      </c>
      <c r="EP36" s="63"/>
      <c r="EQ36" s="63"/>
      <c r="ER36" s="17" t="s">
        <v>870</v>
      </c>
      <c r="ES36" s="17" t="s">
        <v>870</v>
      </c>
      <c r="ET36" s="17" t="s">
        <v>870</v>
      </c>
      <c r="EU36" s="17" t="s">
        <v>870</v>
      </c>
      <c r="EV36" s="17" t="s">
        <v>870</v>
      </c>
      <c r="EW36" s="17" t="s">
        <v>870</v>
      </c>
      <c r="EX36" s="17" t="s">
        <v>870</v>
      </c>
      <c r="EY36" s="17" t="s">
        <v>870</v>
      </c>
      <c r="EZ36" s="63"/>
      <c r="FA36" s="63"/>
      <c r="FB36" s="17" t="s">
        <v>870</v>
      </c>
      <c r="FC36" s="17" t="s">
        <v>870</v>
      </c>
      <c r="FD36" s="17" t="s">
        <v>870</v>
      </c>
      <c r="FE36" s="17" t="s">
        <v>870</v>
      </c>
      <c r="FF36" s="17" t="s">
        <v>870</v>
      </c>
      <c r="FG36" s="17" t="s">
        <v>870</v>
      </c>
      <c r="FH36" s="17" t="s">
        <v>870</v>
      </c>
      <c r="FI36" s="17" t="s">
        <v>870</v>
      </c>
      <c r="FJ36" s="17" t="s">
        <v>870</v>
      </c>
      <c r="FK36" s="17" t="s">
        <v>870</v>
      </c>
      <c r="FL36" s="17" t="s">
        <v>870</v>
      </c>
      <c r="FM36" s="17" t="s">
        <v>870</v>
      </c>
      <c r="FN36" s="17" t="s">
        <v>870</v>
      </c>
      <c r="FO36" s="17" t="s">
        <v>870</v>
      </c>
      <c r="FP36" s="17" t="s">
        <v>870</v>
      </c>
      <c r="FQ36" s="17" t="s">
        <v>870</v>
      </c>
      <c r="FR36" s="17" t="s">
        <v>870</v>
      </c>
      <c r="FS36" s="17" t="s">
        <v>870</v>
      </c>
      <c r="FT36" s="17" t="s">
        <v>870</v>
      </c>
      <c r="FU36" s="17" t="s">
        <v>870</v>
      </c>
      <c r="FV36" s="17" t="s">
        <v>870</v>
      </c>
      <c r="FW36" s="17" t="s">
        <v>870</v>
      </c>
      <c r="FX36" s="17" t="s">
        <v>870</v>
      </c>
      <c r="FY36" s="17" t="s">
        <v>870</v>
      </c>
      <c r="FZ36" s="17" t="s">
        <v>870</v>
      </c>
      <c r="GA36" s="17" t="s">
        <v>870</v>
      </c>
      <c r="GB36" s="17" t="s">
        <v>870</v>
      </c>
      <c r="GC36" s="17" t="s">
        <v>870</v>
      </c>
      <c r="GD36" s="17" t="s">
        <v>870</v>
      </c>
      <c r="GE36" s="17" t="s">
        <v>870</v>
      </c>
      <c r="GF36" s="17" t="s">
        <v>870</v>
      </c>
      <c r="GG36" s="17" t="s">
        <v>870</v>
      </c>
      <c r="GH36" s="17" t="s">
        <v>870</v>
      </c>
      <c r="GI36" s="17" t="s">
        <v>870</v>
      </c>
      <c r="GJ36" s="17" t="s">
        <v>870</v>
      </c>
      <c r="GK36" s="17" t="s">
        <v>870</v>
      </c>
      <c r="GL36" s="17" t="s">
        <v>870</v>
      </c>
      <c r="GM36" s="17" t="s">
        <v>870</v>
      </c>
      <c r="GN36" s="17" t="s">
        <v>870</v>
      </c>
      <c r="GO36" s="17" t="s">
        <v>870</v>
      </c>
      <c r="GP36" s="17" t="s">
        <v>870</v>
      </c>
      <c r="GQ36" s="17" t="s">
        <v>870</v>
      </c>
      <c r="GR36" s="17" t="s">
        <v>870</v>
      </c>
      <c r="GS36" s="17" t="s">
        <v>870</v>
      </c>
      <c r="GT36" s="17" t="s">
        <v>870</v>
      </c>
      <c r="GU36" s="17" t="s">
        <v>870</v>
      </c>
      <c r="GV36" s="17" t="s">
        <v>870</v>
      </c>
      <c r="GW36" s="17" t="s">
        <v>870</v>
      </c>
      <c r="GX36" s="17" t="s">
        <v>870</v>
      </c>
      <c r="GY36" s="17" t="s">
        <v>870</v>
      </c>
      <c r="GZ36" s="17" t="s">
        <v>870</v>
      </c>
      <c r="HA36" s="17" t="s">
        <v>870</v>
      </c>
      <c r="HB36" s="17" t="s">
        <v>870</v>
      </c>
      <c r="HC36" s="17" t="s">
        <v>870</v>
      </c>
      <c r="HD36" s="17" t="s">
        <v>870</v>
      </c>
      <c r="HE36" s="17" t="s">
        <v>870</v>
      </c>
      <c r="HF36" s="17" t="s">
        <v>870</v>
      </c>
      <c r="HG36" s="17" t="s">
        <v>870</v>
      </c>
      <c r="HH36" s="17" t="s">
        <v>870</v>
      </c>
      <c r="HI36" s="17" t="s">
        <v>870</v>
      </c>
      <c r="HJ36" s="17" t="s">
        <v>870</v>
      </c>
      <c r="HK36" s="17" t="s">
        <v>870</v>
      </c>
      <c r="HL36" s="17" t="s">
        <v>870</v>
      </c>
      <c r="HM36" s="17" t="s">
        <v>870</v>
      </c>
      <c r="HN36" s="17" t="s">
        <v>870</v>
      </c>
      <c r="HO36" s="17" t="s">
        <v>870</v>
      </c>
      <c r="HP36" s="17" t="s">
        <v>870</v>
      </c>
      <c r="HQ36" s="17" t="s">
        <v>870</v>
      </c>
      <c r="HR36" s="17" t="s">
        <v>870</v>
      </c>
      <c r="HS36" s="17" t="s">
        <v>870</v>
      </c>
      <c r="HT36" s="17" t="s">
        <v>870</v>
      </c>
      <c r="HU36" s="17" t="s">
        <v>870</v>
      </c>
      <c r="HV36" s="17" t="s">
        <v>870</v>
      </c>
      <c r="HW36" s="17" t="s">
        <v>870</v>
      </c>
      <c r="HX36" s="17" t="s">
        <v>870</v>
      </c>
      <c r="HY36" s="17" t="s">
        <v>870</v>
      </c>
      <c r="HZ36" s="17" t="s">
        <v>870</v>
      </c>
      <c r="IA36" s="17" t="s">
        <v>870</v>
      </c>
      <c r="IB36" s="17" t="s">
        <v>870</v>
      </c>
      <c r="IC36" s="17" t="s">
        <v>870</v>
      </c>
      <c r="ID36" s="17" t="s">
        <v>870</v>
      </c>
      <c r="IE36" s="17" t="s">
        <v>870</v>
      </c>
      <c r="IF36" s="17" t="s">
        <v>870</v>
      </c>
      <c r="IG36" s="17" t="s">
        <v>870</v>
      </c>
      <c r="IH36" s="17" t="s">
        <v>870</v>
      </c>
      <c r="II36" s="17" t="s">
        <v>870</v>
      </c>
      <c r="IJ36" s="17" t="s">
        <v>870</v>
      </c>
      <c r="IK36" s="17" t="s">
        <v>870</v>
      </c>
      <c r="IL36" s="17" t="s">
        <v>870</v>
      </c>
      <c r="IM36" s="17" t="s">
        <v>870</v>
      </c>
      <c r="IN36" s="17" t="s">
        <v>870</v>
      </c>
      <c r="IO36" s="17" t="s">
        <v>870</v>
      </c>
      <c r="IP36" s="17" t="s">
        <v>870</v>
      </c>
      <c r="IQ36" s="17" t="s">
        <v>870</v>
      </c>
      <c r="IR36" s="17" t="s">
        <v>870</v>
      </c>
      <c r="IS36" s="17" t="s">
        <v>870</v>
      </c>
      <c r="IT36" s="17" t="s">
        <v>870</v>
      </c>
      <c r="IU36" s="17" t="s">
        <v>870</v>
      </c>
      <c r="IV36" s="17" t="s">
        <v>870</v>
      </c>
      <c r="IW36" s="17" t="s">
        <v>870</v>
      </c>
      <c r="IX36" s="17" t="s">
        <v>870</v>
      </c>
      <c r="IY36" s="17" t="s">
        <v>870</v>
      </c>
      <c r="IZ36" s="17" t="s">
        <v>870</v>
      </c>
      <c r="JA36" s="17" t="s">
        <v>870</v>
      </c>
      <c r="JB36" s="17" t="s">
        <v>870</v>
      </c>
      <c r="JC36" s="17" t="s">
        <v>870</v>
      </c>
      <c r="JD36" s="17" t="s">
        <v>870</v>
      </c>
      <c r="JE36" s="17" t="s">
        <v>870</v>
      </c>
      <c r="JF36" s="17" t="s">
        <v>870</v>
      </c>
      <c r="JG36" s="17" t="s">
        <v>870</v>
      </c>
      <c r="JH36" s="17" t="s">
        <v>870</v>
      </c>
      <c r="JI36" s="17" t="s">
        <v>870</v>
      </c>
      <c r="JJ36" s="17" t="s">
        <v>870</v>
      </c>
      <c r="JK36" s="17" t="s">
        <v>870</v>
      </c>
      <c r="JL36" s="17" t="s">
        <v>870</v>
      </c>
      <c r="JM36" s="17" t="s">
        <v>870</v>
      </c>
      <c r="JN36" s="17" t="s">
        <v>870</v>
      </c>
      <c r="JO36" s="17" t="s">
        <v>870</v>
      </c>
      <c r="JP36" s="17" t="s">
        <v>870</v>
      </c>
      <c r="JQ36" s="17" t="s">
        <v>870</v>
      </c>
      <c r="JR36" s="17" t="s">
        <v>870</v>
      </c>
      <c r="JS36" s="17" t="s">
        <v>870</v>
      </c>
      <c r="JT36" s="17" t="s">
        <v>870</v>
      </c>
    </row>
    <row r="37" spans="1:280" x14ac:dyDescent="0.25">
      <c r="A37" t="s">
        <v>27</v>
      </c>
      <c r="B37" s="17" t="s">
        <v>870</v>
      </c>
      <c r="C37" s="17" t="s">
        <v>870</v>
      </c>
      <c r="D37" s="17" t="s">
        <v>870</v>
      </c>
      <c r="E37" s="17" t="s">
        <v>870</v>
      </c>
      <c r="F37" s="17" t="s">
        <v>870</v>
      </c>
      <c r="G37" s="17" t="s">
        <v>870</v>
      </c>
      <c r="H37" s="17" t="s">
        <v>870</v>
      </c>
      <c r="I37" s="63"/>
      <c r="J37" s="63"/>
      <c r="K37" s="63"/>
      <c r="L37" s="17" t="s">
        <v>870</v>
      </c>
      <c r="M37" s="17" t="s">
        <v>870</v>
      </c>
      <c r="N37" s="17" t="s">
        <v>870</v>
      </c>
      <c r="O37" s="17" t="s">
        <v>870</v>
      </c>
      <c r="P37" s="63"/>
      <c r="Q37" s="61" t="s">
        <v>2</v>
      </c>
      <c r="R37" s="63"/>
      <c r="S37" s="17" t="s">
        <v>870</v>
      </c>
      <c r="T37" s="17" t="s">
        <v>870</v>
      </c>
      <c r="U37" s="17" t="s">
        <v>870</v>
      </c>
      <c r="V37" s="17" t="s">
        <v>870</v>
      </c>
      <c r="W37" s="17" t="s">
        <v>870</v>
      </c>
      <c r="X37" s="17" t="s">
        <v>870</v>
      </c>
      <c r="Y37" s="17" t="s">
        <v>870</v>
      </c>
      <c r="Z37" s="17" t="s">
        <v>870</v>
      </c>
      <c r="AA37" s="17" t="s">
        <v>870</v>
      </c>
      <c r="AB37" s="17" t="s">
        <v>870</v>
      </c>
      <c r="AC37" s="17" t="s">
        <v>870</v>
      </c>
      <c r="AD37" s="17" t="s">
        <v>870</v>
      </c>
      <c r="AE37" s="17" t="s">
        <v>870</v>
      </c>
      <c r="AF37" s="17" t="s">
        <v>870</v>
      </c>
      <c r="AG37" s="17" t="s">
        <v>870</v>
      </c>
      <c r="AH37" s="17" t="s">
        <v>870</v>
      </c>
      <c r="AI37" s="17" t="s">
        <v>870</v>
      </c>
      <c r="AJ37" s="17" t="s">
        <v>870</v>
      </c>
      <c r="AK37" s="17" t="s">
        <v>870</v>
      </c>
      <c r="AL37" s="17" t="s">
        <v>870</v>
      </c>
      <c r="AM37" s="17" t="s">
        <v>870</v>
      </c>
      <c r="AN37" s="17" t="s">
        <v>870</v>
      </c>
      <c r="AO37" s="17" t="s">
        <v>870</v>
      </c>
      <c r="AP37" s="17" t="s">
        <v>870</v>
      </c>
      <c r="AQ37" s="17" t="s">
        <v>870</v>
      </c>
      <c r="AR37" s="17" t="s">
        <v>870</v>
      </c>
      <c r="AS37" s="17" t="s">
        <v>870</v>
      </c>
      <c r="AT37" s="17" t="s">
        <v>870</v>
      </c>
      <c r="AU37" s="17" t="s">
        <v>870</v>
      </c>
      <c r="AV37" s="17" t="s">
        <v>870</v>
      </c>
      <c r="AW37" s="17" t="s">
        <v>870</v>
      </c>
      <c r="AX37" s="17" t="s">
        <v>870</v>
      </c>
      <c r="AY37" s="17" t="s">
        <v>870</v>
      </c>
      <c r="AZ37" s="17" t="s">
        <v>870</v>
      </c>
      <c r="BA37" s="17" t="s">
        <v>870</v>
      </c>
      <c r="BB37" s="17" t="s">
        <v>870</v>
      </c>
      <c r="BC37" s="17" t="s">
        <v>870</v>
      </c>
      <c r="BD37" s="17" t="s">
        <v>870</v>
      </c>
      <c r="BE37" s="17" t="s">
        <v>870</v>
      </c>
      <c r="BF37" s="17" t="s">
        <v>870</v>
      </c>
      <c r="BG37" s="17" t="s">
        <v>870</v>
      </c>
      <c r="BH37" s="17" t="s">
        <v>870</v>
      </c>
      <c r="BI37" s="17" t="s">
        <v>870</v>
      </c>
      <c r="BJ37" s="17" t="s">
        <v>870</v>
      </c>
      <c r="BK37" s="17" t="s">
        <v>870</v>
      </c>
      <c r="BL37" s="17" t="s">
        <v>870</v>
      </c>
      <c r="BM37" s="17" t="s">
        <v>870</v>
      </c>
      <c r="BN37" s="17" t="s">
        <v>870</v>
      </c>
      <c r="BO37" s="17" t="s">
        <v>870</v>
      </c>
      <c r="BP37" s="17" t="s">
        <v>870</v>
      </c>
      <c r="BQ37" s="17" t="s">
        <v>870</v>
      </c>
      <c r="BR37" s="17" t="s">
        <v>870</v>
      </c>
      <c r="BS37" s="17" t="s">
        <v>870</v>
      </c>
      <c r="BT37" s="17" t="s">
        <v>870</v>
      </c>
      <c r="BU37" s="17" t="s">
        <v>870</v>
      </c>
      <c r="BV37" s="17" t="s">
        <v>870</v>
      </c>
      <c r="BW37" s="17" t="s">
        <v>870</v>
      </c>
      <c r="BX37" s="17" t="s">
        <v>870</v>
      </c>
      <c r="BY37" s="17" t="s">
        <v>870</v>
      </c>
      <c r="BZ37" s="17" t="s">
        <v>870</v>
      </c>
      <c r="CA37" s="17" t="s">
        <v>870</v>
      </c>
      <c r="CB37" s="17" t="s">
        <v>870</v>
      </c>
      <c r="CC37" s="17" t="s">
        <v>870</v>
      </c>
      <c r="CD37" s="17" t="s">
        <v>870</v>
      </c>
      <c r="CE37" s="17" t="s">
        <v>870</v>
      </c>
      <c r="CF37" s="17" t="s">
        <v>870</v>
      </c>
      <c r="CG37" s="17" t="s">
        <v>870</v>
      </c>
      <c r="CH37" s="17" t="s">
        <v>870</v>
      </c>
      <c r="CI37" s="17" t="s">
        <v>870</v>
      </c>
      <c r="CJ37" s="17" t="s">
        <v>870</v>
      </c>
      <c r="CK37" s="17" t="s">
        <v>870</v>
      </c>
      <c r="CL37" s="17" t="s">
        <v>870</v>
      </c>
      <c r="CM37" s="17" t="s">
        <v>870</v>
      </c>
      <c r="CN37" s="17" t="s">
        <v>870</v>
      </c>
      <c r="CO37" s="17" t="s">
        <v>870</v>
      </c>
      <c r="CP37" s="17" t="s">
        <v>870</v>
      </c>
      <c r="CQ37" s="17" t="s">
        <v>870</v>
      </c>
      <c r="CR37" s="17" t="s">
        <v>870</v>
      </c>
      <c r="CS37" s="17" t="s">
        <v>870</v>
      </c>
      <c r="CT37" s="17" t="s">
        <v>870</v>
      </c>
      <c r="CU37" s="17" t="s">
        <v>870</v>
      </c>
      <c r="CV37" s="17" t="s">
        <v>870</v>
      </c>
      <c r="CW37" s="17" t="s">
        <v>870</v>
      </c>
      <c r="CX37" s="17" t="s">
        <v>870</v>
      </c>
      <c r="CY37" s="17" t="s">
        <v>870</v>
      </c>
      <c r="CZ37" s="17" t="s">
        <v>870</v>
      </c>
      <c r="DA37" s="17" t="s">
        <v>870</v>
      </c>
      <c r="DB37" s="17" t="s">
        <v>870</v>
      </c>
      <c r="DC37" s="17" t="s">
        <v>870</v>
      </c>
      <c r="DD37" s="17" t="s">
        <v>870</v>
      </c>
      <c r="DE37" s="17" t="s">
        <v>870</v>
      </c>
      <c r="DF37" s="17" t="s">
        <v>870</v>
      </c>
      <c r="DG37" s="17" t="s">
        <v>870</v>
      </c>
      <c r="DH37" s="17" t="s">
        <v>870</v>
      </c>
      <c r="DI37" s="17" t="s">
        <v>870</v>
      </c>
      <c r="DJ37" s="17" t="s">
        <v>870</v>
      </c>
      <c r="DK37" s="17" t="s">
        <v>870</v>
      </c>
      <c r="DL37" s="17" t="s">
        <v>870</v>
      </c>
      <c r="DM37" s="17" t="s">
        <v>870</v>
      </c>
      <c r="DN37" s="17" t="s">
        <v>870</v>
      </c>
      <c r="DO37" s="17" t="s">
        <v>870</v>
      </c>
      <c r="DP37" s="17" t="s">
        <v>870</v>
      </c>
      <c r="DQ37" s="17" t="s">
        <v>870</v>
      </c>
      <c r="DR37" s="17" t="s">
        <v>870</v>
      </c>
      <c r="DS37" s="17" t="s">
        <v>870</v>
      </c>
      <c r="DT37" s="17" t="s">
        <v>870</v>
      </c>
      <c r="DU37" s="17" t="s">
        <v>870</v>
      </c>
      <c r="DV37" s="17" t="s">
        <v>870</v>
      </c>
      <c r="DW37" s="17" t="s">
        <v>870</v>
      </c>
      <c r="DX37" s="17" t="s">
        <v>870</v>
      </c>
      <c r="DY37" s="17" t="s">
        <v>870</v>
      </c>
      <c r="DZ37" s="17" t="s">
        <v>870</v>
      </c>
      <c r="EA37" s="17" t="s">
        <v>870</v>
      </c>
      <c r="EB37" s="17" t="s">
        <v>870</v>
      </c>
      <c r="EC37" s="17" t="s">
        <v>870</v>
      </c>
      <c r="ED37" s="17" t="s">
        <v>870</v>
      </c>
      <c r="EE37" s="17" t="s">
        <v>870</v>
      </c>
      <c r="EF37" s="17" t="s">
        <v>870</v>
      </c>
      <c r="EG37" s="17" t="s">
        <v>870</v>
      </c>
      <c r="EH37" s="17" t="s">
        <v>870</v>
      </c>
      <c r="EI37" s="17" t="s">
        <v>870</v>
      </c>
      <c r="EJ37" s="17" t="s">
        <v>870</v>
      </c>
      <c r="EK37" s="17" t="s">
        <v>870</v>
      </c>
      <c r="EL37" s="17" t="s">
        <v>870</v>
      </c>
      <c r="EM37" s="17" t="s">
        <v>870</v>
      </c>
      <c r="EN37" s="17" t="s">
        <v>870</v>
      </c>
      <c r="EO37" s="17" t="s">
        <v>870</v>
      </c>
      <c r="EP37" s="17" t="s">
        <v>870</v>
      </c>
      <c r="EQ37" s="17" t="s">
        <v>870</v>
      </c>
      <c r="ER37" s="17" t="s">
        <v>870</v>
      </c>
      <c r="ES37" s="17" t="s">
        <v>870</v>
      </c>
      <c r="ET37" s="17" t="s">
        <v>870</v>
      </c>
      <c r="EU37" s="17" t="s">
        <v>870</v>
      </c>
      <c r="EV37" s="17" t="s">
        <v>870</v>
      </c>
      <c r="EW37" s="17" t="s">
        <v>870</v>
      </c>
      <c r="EX37" s="17" t="s">
        <v>870</v>
      </c>
      <c r="EY37" s="17" t="s">
        <v>870</v>
      </c>
      <c r="EZ37" s="17" t="s">
        <v>870</v>
      </c>
      <c r="FA37" s="17" t="s">
        <v>870</v>
      </c>
      <c r="FB37" s="17" t="s">
        <v>870</v>
      </c>
      <c r="FC37" s="17" t="s">
        <v>870</v>
      </c>
      <c r="FD37" s="17" t="s">
        <v>870</v>
      </c>
      <c r="FE37" s="17" t="s">
        <v>870</v>
      </c>
      <c r="FF37" s="17" t="s">
        <v>870</v>
      </c>
      <c r="FG37" s="17" t="s">
        <v>870</v>
      </c>
      <c r="FH37" s="17" t="s">
        <v>870</v>
      </c>
      <c r="FI37" s="17" t="s">
        <v>870</v>
      </c>
      <c r="FJ37" s="17" t="s">
        <v>870</v>
      </c>
      <c r="FK37" s="17" t="s">
        <v>870</v>
      </c>
      <c r="FL37" s="17" t="s">
        <v>870</v>
      </c>
      <c r="FM37" s="17" t="s">
        <v>870</v>
      </c>
      <c r="FN37" s="17" t="s">
        <v>870</v>
      </c>
      <c r="FO37" s="17" t="s">
        <v>870</v>
      </c>
      <c r="FP37" s="17" t="s">
        <v>870</v>
      </c>
      <c r="FQ37" s="17" t="s">
        <v>870</v>
      </c>
      <c r="FR37" s="17" t="s">
        <v>870</v>
      </c>
      <c r="FS37" s="17" t="s">
        <v>870</v>
      </c>
      <c r="FT37" s="17" t="s">
        <v>870</v>
      </c>
      <c r="FU37" s="17" t="s">
        <v>870</v>
      </c>
      <c r="FV37" s="17" t="s">
        <v>870</v>
      </c>
      <c r="FW37" s="17" t="s">
        <v>870</v>
      </c>
      <c r="FX37" s="17" t="s">
        <v>870</v>
      </c>
      <c r="FY37" s="17" t="s">
        <v>870</v>
      </c>
      <c r="FZ37" s="17" t="s">
        <v>870</v>
      </c>
      <c r="GA37" s="17" t="s">
        <v>870</v>
      </c>
      <c r="GB37" s="17" t="s">
        <v>870</v>
      </c>
      <c r="GC37" s="17" t="s">
        <v>870</v>
      </c>
      <c r="GD37" s="17" t="s">
        <v>870</v>
      </c>
      <c r="GE37" s="17" t="s">
        <v>870</v>
      </c>
      <c r="GF37" s="17" t="s">
        <v>870</v>
      </c>
      <c r="GG37" s="17" t="s">
        <v>870</v>
      </c>
      <c r="GH37" s="17" t="s">
        <v>870</v>
      </c>
      <c r="GI37" s="17" t="s">
        <v>870</v>
      </c>
      <c r="GJ37" s="17" t="s">
        <v>870</v>
      </c>
      <c r="GK37" s="17" t="s">
        <v>870</v>
      </c>
      <c r="GL37" s="17" t="s">
        <v>870</v>
      </c>
      <c r="GM37" s="17" t="s">
        <v>870</v>
      </c>
      <c r="GN37" s="17" t="s">
        <v>870</v>
      </c>
      <c r="GO37" s="17" t="s">
        <v>870</v>
      </c>
      <c r="GP37" s="17" t="s">
        <v>870</v>
      </c>
      <c r="GQ37" s="17" t="s">
        <v>870</v>
      </c>
      <c r="GR37" s="17" t="s">
        <v>870</v>
      </c>
      <c r="GS37" s="17" t="s">
        <v>870</v>
      </c>
      <c r="GT37" s="17" t="s">
        <v>870</v>
      </c>
      <c r="GU37" s="17" t="s">
        <v>870</v>
      </c>
      <c r="GV37" s="17" t="s">
        <v>870</v>
      </c>
      <c r="GW37" s="17" t="s">
        <v>870</v>
      </c>
      <c r="GX37" s="17" t="s">
        <v>870</v>
      </c>
      <c r="GY37" s="17" t="s">
        <v>870</v>
      </c>
      <c r="GZ37" s="17" t="s">
        <v>870</v>
      </c>
      <c r="HA37" s="17" t="s">
        <v>870</v>
      </c>
      <c r="HB37" s="17" t="s">
        <v>870</v>
      </c>
      <c r="HC37" s="17" t="s">
        <v>870</v>
      </c>
      <c r="HD37" s="17" t="s">
        <v>870</v>
      </c>
      <c r="HE37" s="17" t="s">
        <v>870</v>
      </c>
      <c r="HF37" s="17" t="s">
        <v>870</v>
      </c>
      <c r="HG37" s="17" t="s">
        <v>870</v>
      </c>
      <c r="HH37" s="17" t="s">
        <v>870</v>
      </c>
      <c r="HI37" s="17" t="s">
        <v>870</v>
      </c>
      <c r="HJ37" s="17" t="s">
        <v>870</v>
      </c>
      <c r="HK37" s="17" t="s">
        <v>870</v>
      </c>
      <c r="HL37" s="17" t="s">
        <v>870</v>
      </c>
      <c r="HM37" s="17" t="s">
        <v>870</v>
      </c>
      <c r="HN37" s="17" t="s">
        <v>870</v>
      </c>
      <c r="HO37" s="17" t="s">
        <v>870</v>
      </c>
      <c r="HP37" s="17" t="s">
        <v>870</v>
      </c>
      <c r="HQ37" s="17" t="s">
        <v>870</v>
      </c>
      <c r="HR37" s="17" t="s">
        <v>870</v>
      </c>
      <c r="HS37" s="17" t="s">
        <v>870</v>
      </c>
      <c r="HT37" s="17" t="s">
        <v>870</v>
      </c>
      <c r="HU37" s="17" t="s">
        <v>870</v>
      </c>
      <c r="HV37" s="17" t="s">
        <v>870</v>
      </c>
      <c r="HW37" s="17" t="s">
        <v>870</v>
      </c>
      <c r="HX37" s="17" t="s">
        <v>870</v>
      </c>
      <c r="HY37" s="17" t="s">
        <v>870</v>
      </c>
      <c r="HZ37" s="17" t="s">
        <v>870</v>
      </c>
      <c r="IA37" s="17" t="s">
        <v>870</v>
      </c>
      <c r="IB37" s="17" t="s">
        <v>870</v>
      </c>
      <c r="IC37" s="17" t="s">
        <v>870</v>
      </c>
      <c r="ID37" s="17" t="s">
        <v>870</v>
      </c>
      <c r="IE37" s="17" t="s">
        <v>870</v>
      </c>
      <c r="IF37" s="17" t="s">
        <v>870</v>
      </c>
      <c r="IG37" s="17" t="s">
        <v>870</v>
      </c>
      <c r="IH37" s="17" t="s">
        <v>870</v>
      </c>
      <c r="II37" s="17" t="s">
        <v>870</v>
      </c>
      <c r="IJ37" s="17" t="s">
        <v>870</v>
      </c>
      <c r="IK37" s="17" t="s">
        <v>870</v>
      </c>
      <c r="IL37" s="17" t="s">
        <v>870</v>
      </c>
      <c r="IM37" s="17" t="s">
        <v>870</v>
      </c>
      <c r="IN37" s="17" t="s">
        <v>870</v>
      </c>
      <c r="IO37" s="17" t="s">
        <v>870</v>
      </c>
      <c r="IP37" s="17" t="s">
        <v>870</v>
      </c>
      <c r="IQ37" s="17" t="s">
        <v>870</v>
      </c>
      <c r="IR37" s="17" t="s">
        <v>870</v>
      </c>
      <c r="IS37" s="17" t="s">
        <v>870</v>
      </c>
      <c r="IT37" s="17" t="s">
        <v>870</v>
      </c>
      <c r="IU37" s="17" t="s">
        <v>870</v>
      </c>
      <c r="IV37" s="17" t="s">
        <v>870</v>
      </c>
      <c r="IW37" s="17" t="s">
        <v>870</v>
      </c>
      <c r="IX37" s="17" t="s">
        <v>870</v>
      </c>
      <c r="IY37" s="17" t="s">
        <v>870</v>
      </c>
      <c r="IZ37" s="17" t="s">
        <v>870</v>
      </c>
      <c r="JA37" s="17" t="s">
        <v>870</v>
      </c>
      <c r="JB37" s="17" t="s">
        <v>870</v>
      </c>
      <c r="JC37" s="17" t="s">
        <v>870</v>
      </c>
      <c r="JD37" s="17" t="s">
        <v>870</v>
      </c>
      <c r="JE37" s="17" t="s">
        <v>870</v>
      </c>
      <c r="JF37" s="17" t="s">
        <v>870</v>
      </c>
      <c r="JG37" s="17" t="s">
        <v>870</v>
      </c>
      <c r="JH37" s="17" t="s">
        <v>870</v>
      </c>
      <c r="JI37" s="17" t="s">
        <v>870</v>
      </c>
      <c r="JJ37" s="17" t="s">
        <v>870</v>
      </c>
      <c r="JK37" s="17" t="s">
        <v>870</v>
      </c>
      <c r="JL37" s="17" t="s">
        <v>870</v>
      </c>
      <c r="JM37" s="17" t="s">
        <v>870</v>
      </c>
      <c r="JN37" s="17" t="s">
        <v>870</v>
      </c>
      <c r="JO37" s="17" t="s">
        <v>870</v>
      </c>
      <c r="JP37" s="17" t="s">
        <v>870</v>
      </c>
      <c r="JQ37" s="17" t="s">
        <v>870</v>
      </c>
      <c r="JR37" s="17" t="s">
        <v>870</v>
      </c>
      <c r="JS37" s="17" t="s">
        <v>870</v>
      </c>
      <c r="JT37" s="17" t="s">
        <v>870</v>
      </c>
    </row>
    <row r="38" spans="1:280" x14ac:dyDescent="0.25">
      <c r="A38" t="s">
        <v>91</v>
      </c>
      <c r="B38" s="17" t="s">
        <v>870</v>
      </c>
      <c r="C38" s="17" t="s">
        <v>870</v>
      </c>
      <c r="D38" s="17" t="s">
        <v>870</v>
      </c>
      <c r="E38" s="17" t="s">
        <v>870</v>
      </c>
      <c r="F38" s="17" t="s">
        <v>870</v>
      </c>
      <c r="G38" s="17" t="s">
        <v>870</v>
      </c>
      <c r="H38" s="17" t="s">
        <v>870</v>
      </c>
      <c r="I38" s="17" t="s">
        <v>870</v>
      </c>
      <c r="J38" s="17" t="s">
        <v>870</v>
      </c>
      <c r="K38" s="17" t="s">
        <v>870</v>
      </c>
      <c r="L38" s="17" t="s">
        <v>870</v>
      </c>
      <c r="M38" s="17" t="s">
        <v>870</v>
      </c>
      <c r="N38" s="17" t="s">
        <v>870</v>
      </c>
      <c r="O38" s="17" t="s">
        <v>870</v>
      </c>
      <c r="P38" s="17" t="s">
        <v>870</v>
      </c>
      <c r="Q38" s="17" t="s">
        <v>870</v>
      </c>
      <c r="R38" s="17" t="s">
        <v>870</v>
      </c>
      <c r="S38" s="17" t="s">
        <v>870</v>
      </c>
      <c r="T38" s="17" t="s">
        <v>870</v>
      </c>
      <c r="U38" s="17" t="s">
        <v>870</v>
      </c>
      <c r="V38" s="17" t="s">
        <v>870</v>
      </c>
      <c r="W38" s="17" t="s">
        <v>870</v>
      </c>
      <c r="X38" s="17" t="s">
        <v>870</v>
      </c>
      <c r="Y38" s="17" t="s">
        <v>870</v>
      </c>
      <c r="Z38" s="17" t="s">
        <v>870</v>
      </c>
      <c r="AA38" s="17" t="s">
        <v>870</v>
      </c>
      <c r="AB38" s="17" t="s">
        <v>870</v>
      </c>
      <c r="AC38" s="17" t="s">
        <v>870</v>
      </c>
      <c r="AD38" s="17" t="s">
        <v>870</v>
      </c>
      <c r="AE38" s="17" t="s">
        <v>870</v>
      </c>
      <c r="AF38" s="17" t="s">
        <v>870</v>
      </c>
      <c r="AG38" s="17" t="s">
        <v>870</v>
      </c>
      <c r="AH38" s="17" t="s">
        <v>870</v>
      </c>
      <c r="AI38" s="17" t="s">
        <v>870</v>
      </c>
      <c r="AJ38" s="17" t="s">
        <v>870</v>
      </c>
      <c r="AK38" s="17" t="s">
        <v>870</v>
      </c>
      <c r="AL38" s="17" t="s">
        <v>870</v>
      </c>
      <c r="AM38" s="17" t="s">
        <v>870</v>
      </c>
      <c r="AN38" s="17" t="s">
        <v>870</v>
      </c>
      <c r="AO38" s="17" t="s">
        <v>870</v>
      </c>
      <c r="AP38" s="17" t="s">
        <v>870</v>
      </c>
      <c r="AQ38" s="17" t="s">
        <v>870</v>
      </c>
      <c r="AR38" s="17" t="s">
        <v>870</v>
      </c>
      <c r="AS38" s="17" t="s">
        <v>870</v>
      </c>
      <c r="AT38" s="17" t="s">
        <v>870</v>
      </c>
      <c r="AU38" s="17" t="s">
        <v>870</v>
      </c>
      <c r="AV38" s="17" t="s">
        <v>870</v>
      </c>
      <c r="AW38" s="17" t="s">
        <v>870</v>
      </c>
      <c r="AX38" s="17" t="s">
        <v>870</v>
      </c>
      <c r="AY38" s="17" t="s">
        <v>870</v>
      </c>
      <c r="AZ38" s="17" t="s">
        <v>870</v>
      </c>
      <c r="BA38" s="17" t="s">
        <v>870</v>
      </c>
      <c r="BB38" s="17" t="s">
        <v>870</v>
      </c>
      <c r="BC38" s="17" t="s">
        <v>870</v>
      </c>
      <c r="BD38" s="17" t="s">
        <v>870</v>
      </c>
      <c r="BE38" s="17" t="s">
        <v>870</v>
      </c>
      <c r="BF38" s="17" t="s">
        <v>870</v>
      </c>
      <c r="BG38" s="17" t="s">
        <v>870</v>
      </c>
      <c r="BH38" s="17" t="s">
        <v>870</v>
      </c>
      <c r="BI38" s="17" t="s">
        <v>870</v>
      </c>
      <c r="BJ38" s="17" t="s">
        <v>870</v>
      </c>
      <c r="BK38" s="17" t="s">
        <v>870</v>
      </c>
      <c r="BL38" s="17" t="s">
        <v>870</v>
      </c>
      <c r="BM38" s="17" t="s">
        <v>870</v>
      </c>
      <c r="BN38" s="17" t="s">
        <v>870</v>
      </c>
      <c r="BO38" s="17" t="s">
        <v>870</v>
      </c>
      <c r="BP38" s="17" t="s">
        <v>870</v>
      </c>
      <c r="BQ38" s="17" t="s">
        <v>870</v>
      </c>
      <c r="BR38" s="17" t="s">
        <v>870</v>
      </c>
      <c r="BS38" s="17" t="s">
        <v>870</v>
      </c>
      <c r="BT38" s="17" t="s">
        <v>870</v>
      </c>
      <c r="BU38" s="17" t="s">
        <v>870</v>
      </c>
      <c r="BV38" s="17" t="s">
        <v>870</v>
      </c>
      <c r="BW38" s="17" t="s">
        <v>870</v>
      </c>
      <c r="BX38" s="17" t="s">
        <v>870</v>
      </c>
      <c r="BY38" s="17" t="s">
        <v>870</v>
      </c>
      <c r="BZ38" s="17" t="s">
        <v>870</v>
      </c>
      <c r="CA38" s="17" t="s">
        <v>870</v>
      </c>
      <c r="CB38" s="17" t="s">
        <v>870</v>
      </c>
      <c r="CC38" s="17" t="s">
        <v>870</v>
      </c>
      <c r="CD38" s="17" t="s">
        <v>870</v>
      </c>
      <c r="CE38" s="17" t="s">
        <v>870</v>
      </c>
      <c r="CF38" s="17" t="s">
        <v>870</v>
      </c>
      <c r="CG38" s="17" t="s">
        <v>870</v>
      </c>
      <c r="CH38" s="17" t="s">
        <v>870</v>
      </c>
      <c r="CI38" s="17" t="s">
        <v>870</v>
      </c>
      <c r="CJ38" s="17" t="s">
        <v>870</v>
      </c>
      <c r="CK38" s="17" t="s">
        <v>870</v>
      </c>
      <c r="CL38" s="17" t="s">
        <v>870</v>
      </c>
      <c r="CM38" s="17" t="s">
        <v>870</v>
      </c>
      <c r="CN38" s="17" t="s">
        <v>870</v>
      </c>
      <c r="CO38" s="17" t="s">
        <v>870</v>
      </c>
      <c r="CP38" s="17" t="s">
        <v>870</v>
      </c>
      <c r="CQ38" s="17" t="s">
        <v>870</v>
      </c>
      <c r="CR38" s="17" t="s">
        <v>870</v>
      </c>
      <c r="CS38" s="17" t="s">
        <v>870</v>
      </c>
      <c r="CT38" s="17" t="s">
        <v>870</v>
      </c>
      <c r="CU38" s="17" t="s">
        <v>870</v>
      </c>
      <c r="CV38" s="17" t="s">
        <v>870</v>
      </c>
      <c r="CW38" s="17" t="s">
        <v>870</v>
      </c>
      <c r="CX38" s="17" t="s">
        <v>870</v>
      </c>
      <c r="CY38" s="17" t="s">
        <v>870</v>
      </c>
      <c r="CZ38" s="17" t="s">
        <v>870</v>
      </c>
      <c r="DA38" s="17" t="s">
        <v>870</v>
      </c>
      <c r="DB38" s="17" t="s">
        <v>870</v>
      </c>
      <c r="DC38" s="17" t="s">
        <v>870</v>
      </c>
      <c r="DD38" s="17" t="s">
        <v>870</v>
      </c>
      <c r="DE38" s="17" t="s">
        <v>870</v>
      </c>
      <c r="DF38" s="17" t="s">
        <v>870</v>
      </c>
      <c r="DG38" s="17" t="s">
        <v>870</v>
      </c>
      <c r="DH38" s="63"/>
      <c r="DI38" s="63"/>
      <c r="DJ38" s="17" t="s">
        <v>870</v>
      </c>
      <c r="DK38" s="17" t="s">
        <v>870</v>
      </c>
      <c r="DL38" s="17" t="s">
        <v>870</v>
      </c>
      <c r="DM38" s="17" t="s">
        <v>870</v>
      </c>
      <c r="DN38" s="17" t="s">
        <v>870</v>
      </c>
      <c r="DO38" s="17" t="s">
        <v>870</v>
      </c>
      <c r="DP38" s="63"/>
      <c r="DQ38" s="63"/>
      <c r="DR38" s="17" t="s">
        <v>870</v>
      </c>
      <c r="DS38" s="17" t="s">
        <v>870</v>
      </c>
      <c r="DT38" s="17" t="s">
        <v>870</v>
      </c>
      <c r="DU38" s="17" t="s">
        <v>870</v>
      </c>
      <c r="DV38" s="17" t="s">
        <v>870</v>
      </c>
      <c r="DW38" s="17" t="s">
        <v>870</v>
      </c>
      <c r="DX38" s="17" t="s">
        <v>870</v>
      </c>
      <c r="DY38" s="17" t="s">
        <v>870</v>
      </c>
      <c r="DZ38" s="17" t="s">
        <v>870</v>
      </c>
      <c r="EA38" s="17" t="s">
        <v>870</v>
      </c>
      <c r="EB38" s="17" t="s">
        <v>870</v>
      </c>
      <c r="EC38" s="17" t="s">
        <v>870</v>
      </c>
      <c r="ED38" s="17" t="s">
        <v>870</v>
      </c>
      <c r="EE38" s="17" t="s">
        <v>870</v>
      </c>
      <c r="EF38" s="17" t="s">
        <v>870</v>
      </c>
      <c r="EG38" s="17" t="s">
        <v>870</v>
      </c>
      <c r="EH38" s="17" t="s">
        <v>870</v>
      </c>
      <c r="EI38" s="17" t="s">
        <v>870</v>
      </c>
      <c r="EJ38" s="17" t="s">
        <v>870</v>
      </c>
      <c r="EK38" s="17" t="s">
        <v>870</v>
      </c>
      <c r="EL38" s="17" t="s">
        <v>870</v>
      </c>
      <c r="EM38" s="17" t="s">
        <v>870</v>
      </c>
      <c r="EN38" s="17" t="s">
        <v>870</v>
      </c>
      <c r="EO38" s="17" t="s">
        <v>870</v>
      </c>
      <c r="EP38" s="17" t="s">
        <v>870</v>
      </c>
      <c r="EQ38" s="17" t="s">
        <v>870</v>
      </c>
      <c r="ER38" s="17" t="s">
        <v>870</v>
      </c>
      <c r="ES38" s="17" t="s">
        <v>870</v>
      </c>
      <c r="ET38" s="17" t="s">
        <v>870</v>
      </c>
      <c r="EU38" s="17" t="s">
        <v>870</v>
      </c>
      <c r="EV38" s="17" t="s">
        <v>870</v>
      </c>
      <c r="EW38" s="17" t="s">
        <v>870</v>
      </c>
      <c r="EX38" s="17" t="s">
        <v>870</v>
      </c>
      <c r="EY38" s="17" t="s">
        <v>870</v>
      </c>
      <c r="EZ38" s="17" t="s">
        <v>870</v>
      </c>
      <c r="FA38" s="17" t="s">
        <v>870</v>
      </c>
      <c r="FB38" s="17" t="s">
        <v>870</v>
      </c>
      <c r="FC38" s="17" t="s">
        <v>870</v>
      </c>
      <c r="FD38" s="17" t="s">
        <v>870</v>
      </c>
      <c r="FE38" s="17" t="s">
        <v>870</v>
      </c>
      <c r="FF38" s="17" t="s">
        <v>870</v>
      </c>
      <c r="FG38" s="17" t="s">
        <v>870</v>
      </c>
      <c r="FH38" s="17" t="s">
        <v>870</v>
      </c>
      <c r="FI38" s="17" t="s">
        <v>870</v>
      </c>
      <c r="FJ38" s="17" t="s">
        <v>870</v>
      </c>
      <c r="FK38" s="17" t="s">
        <v>870</v>
      </c>
      <c r="FL38" s="17" t="s">
        <v>870</v>
      </c>
      <c r="FM38" s="17" t="s">
        <v>870</v>
      </c>
      <c r="FN38" s="17" t="s">
        <v>870</v>
      </c>
      <c r="FO38" s="17" t="s">
        <v>870</v>
      </c>
      <c r="FP38" s="17" t="s">
        <v>870</v>
      </c>
      <c r="FQ38" s="17" t="s">
        <v>870</v>
      </c>
      <c r="FR38" s="17" t="s">
        <v>870</v>
      </c>
      <c r="FS38" s="17" t="s">
        <v>870</v>
      </c>
      <c r="FT38" s="17" t="s">
        <v>870</v>
      </c>
      <c r="FU38" s="17" t="s">
        <v>870</v>
      </c>
      <c r="FV38" s="17" t="s">
        <v>870</v>
      </c>
      <c r="FW38" s="17" t="s">
        <v>870</v>
      </c>
      <c r="FX38" s="17" t="s">
        <v>870</v>
      </c>
      <c r="FY38" s="17" t="s">
        <v>870</v>
      </c>
      <c r="FZ38" s="17" t="s">
        <v>870</v>
      </c>
      <c r="GA38" s="17" t="s">
        <v>870</v>
      </c>
      <c r="GB38" s="17" t="s">
        <v>870</v>
      </c>
      <c r="GC38" s="17" t="s">
        <v>870</v>
      </c>
      <c r="GD38" s="17" t="s">
        <v>870</v>
      </c>
      <c r="GE38" s="17" t="s">
        <v>870</v>
      </c>
      <c r="GF38" s="17" t="s">
        <v>870</v>
      </c>
      <c r="GG38" s="17" t="s">
        <v>870</v>
      </c>
      <c r="GH38" s="17" t="s">
        <v>870</v>
      </c>
      <c r="GI38" s="17" t="s">
        <v>870</v>
      </c>
      <c r="GJ38" s="17" t="s">
        <v>870</v>
      </c>
      <c r="GK38" s="17" t="s">
        <v>870</v>
      </c>
      <c r="GL38" s="17" t="s">
        <v>870</v>
      </c>
      <c r="GM38" s="17" t="s">
        <v>870</v>
      </c>
      <c r="GN38" s="17" t="s">
        <v>870</v>
      </c>
      <c r="GO38" s="17" t="s">
        <v>870</v>
      </c>
      <c r="GP38" s="17" t="s">
        <v>870</v>
      </c>
      <c r="GQ38" s="17" t="s">
        <v>870</v>
      </c>
      <c r="GR38" s="17" t="s">
        <v>870</v>
      </c>
      <c r="GS38" s="17" t="s">
        <v>870</v>
      </c>
      <c r="GT38" s="17" t="s">
        <v>870</v>
      </c>
      <c r="GU38" s="17" t="s">
        <v>870</v>
      </c>
      <c r="GV38" s="17" t="s">
        <v>870</v>
      </c>
      <c r="GW38" s="17" t="s">
        <v>870</v>
      </c>
      <c r="GX38" s="17" t="s">
        <v>870</v>
      </c>
      <c r="GY38" s="17" t="s">
        <v>870</v>
      </c>
      <c r="GZ38" s="17" t="s">
        <v>870</v>
      </c>
      <c r="HA38" s="17" t="s">
        <v>870</v>
      </c>
      <c r="HB38" s="17" t="s">
        <v>870</v>
      </c>
      <c r="HC38" s="17" t="s">
        <v>870</v>
      </c>
      <c r="HD38" s="17" t="s">
        <v>870</v>
      </c>
      <c r="HE38" s="17" t="s">
        <v>870</v>
      </c>
      <c r="HF38" s="17" t="s">
        <v>870</v>
      </c>
      <c r="HG38" s="17" t="s">
        <v>870</v>
      </c>
      <c r="HH38" s="17" t="s">
        <v>870</v>
      </c>
      <c r="HI38" s="17" t="s">
        <v>870</v>
      </c>
      <c r="HJ38" s="17" t="s">
        <v>870</v>
      </c>
      <c r="HK38" s="17" t="s">
        <v>870</v>
      </c>
      <c r="HL38" s="17" t="s">
        <v>870</v>
      </c>
      <c r="HM38" s="17" t="s">
        <v>870</v>
      </c>
      <c r="HN38" s="17" t="s">
        <v>870</v>
      </c>
      <c r="HO38" s="17" t="s">
        <v>870</v>
      </c>
      <c r="HP38" s="17" t="s">
        <v>870</v>
      </c>
      <c r="HQ38" s="17" t="s">
        <v>870</v>
      </c>
      <c r="HR38" s="17" t="s">
        <v>870</v>
      </c>
      <c r="HS38" s="17" t="s">
        <v>870</v>
      </c>
      <c r="HT38" s="17" t="s">
        <v>870</v>
      </c>
      <c r="HU38" s="17" t="s">
        <v>870</v>
      </c>
      <c r="HV38" s="17" t="s">
        <v>870</v>
      </c>
      <c r="HW38" s="17" t="s">
        <v>870</v>
      </c>
      <c r="HX38" s="17" t="s">
        <v>870</v>
      </c>
      <c r="HY38" s="17" t="s">
        <v>870</v>
      </c>
      <c r="HZ38" s="17" t="s">
        <v>870</v>
      </c>
      <c r="IA38" s="17" t="s">
        <v>870</v>
      </c>
      <c r="IB38" s="17" t="s">
        <v>870</v>
      </c>
      <c r="IC38" s="17" t="s">
        <v>870</v>
      </c>
      <c r="ID38" s="17" t="s">
        <v>870</v>
      </c>
      <c r="IE38" s="17" t="s">
        <v>870</v>
      </c>
      <c r="IF38" s="17" t="s">
        <v>870</v>
      </c>
      <c r="IG38" s="17" t="s">
        <v>870</v>
      </c>
      <c r="IH38" s="17" t="s">
        <v>870</v>
      </c>
      <c r="II38" s="17" t="s">
        <v>870</v>
      </c>
      <c r="IJ38" s="17" t="s">
        <v>870</v>
      </c>
      <c r="IK38" s="17" t="s">
        <v>870</v>
      </c>
      <c r="IL38" s="17" t="s">
        <v>870</v>
      </c>
      <c r="IM38" s="17" t="s">
        <v>870</v>
      </c>
      <c r="IN38" s="17" t="s">
        <v>870</v>
      </c>
      <c r="IO38" s="17" t="s">
        <v>870</v>
      </c>
      <c r="IP38" s="17" t="s">
        <v>870</v>
      </c>
      <c r="IQ38" s="17" t="s">
        <v>870</v>
      </c>
      <c r="IR38" s="17" t="s">
        <v>870</v>
      </c>
      <c r="IS38" s="17" t="s">
        <v>870</v>
      </c>
      <c r="IT38" s="17" t="s">
        <v>870</v>
      </c>
      <c r="IU38" s="17" t="s">
        <v>870</v>
      </c>
      <c r="IV38" s="17" t="s">
        <v>870</v>
      </c>
      <c r="IW38" s="17" t="s">
        <v>870</v>
      </c>
      <c r="IX38" s="17" t="s">
        <v>870</v>
      </c>
      <c r="IY38" s="17" t="s">
        <v>870</v>
      </c>
      <c r="IZ38" s="17" t="s">
        <v>870</v>
      </c>
      <c r="JA38" s="17" t="s">
        <v>870</v>
      </c>
      <c r="JB38" s="17" t="s">
        <v>870</v>
      </c>
      <c r="JC38" s="17" t="s">
        <v>870</v>
      </c>
      <c r="JD38" s="17" t="s">
        <v>870</v>
      </c>
      <c r="JE38" s="17" t="s">
        <v>870</v>
      </c>
      <c r="JF38" s="17" t="s">
        <v>870</v>
      </c>
      <c r="JG38" s="17" t="s">
        <v>870</v>
      </c>
      <c r="JH38" s="17" t="s">
        <v>870</v>
      </c>
      <c r="JI38" s="17" t="s">
        <v>870</v>
      </c>
      <c r="JJ38" s="17" t="s">
        <v>870</v>
      </c>
      <c r="JK38" s="17" t="s">
        <v>870</v>
      </c>
      <c r="JL38" s="17" t="s">
        <v>870</v>
      </c>
      <c r="JM38" s="17" t="s">
        <v>870</v>
      </c>
      <c r="JN38" s="17" t="s">
        <v>870</v>
      </c>
      <c r="JO38" s="17" t="s">
        <v>870</v>
      </c>
      <c r="JP38" s="17" t="s">
        <v>870</v>
      </c>
      <c r="JQ38" s="17" t="s">
        <v>870</v>
      </c>
      <c r="JR38" s="17" t="s">
        <v>870</v>
      </c>
      <c r="JS38" s="17" t="s">
        <v>870</v>
      </c>
      <c r="JT38" s="17" t="s">
        <v>870</v>
      </c>
    </row>
    <row r="39" spans="1:280" x14ac:dyDescent="0.25">
      <c r="A39" t="s">
        <v>254</v>
      </c>
      <c r="B39" s="17" t="s">
        <v>870</v>
      </c>
      <c r="C39" s="17" t="s">
        <v>870</v>
      </c>
      <c r="D39" s="17" t="s">
        <v>870</v>
      </c>
      <c r="E39" s="17" t="s">
        <v>870</v>
      </c>
      <c r="F39" s="17" t="s">
        <v>870</v>
      </c>
      <c r="G39" s="17" t="s">
        <v>870</v>
      </c>
      <c r="H39" s="17" t="s">
        <v>870</v>
      </c>
      <c r="I39" s="17" t="s">
        <v>870</v>
      </c>
      <c r="J39" s="17" t="s">
        <v>870</v>
      </c>
      <c r="K39" s="17" t="s">
        <v>870</v>
      </c>
      <c r="L39" s="17" t="s">
        <v>870</v>
      </c>
      <c r="M39" s="17" t="s">
        <v>870</v>
      </c>
      <c r="N39" s="17" t="s">
        <v>870</v>
      </c>
      <c r="O39" s="17" t="s">
        <v>870</v>
      </c>
      <c r="P39" s="17" t="s">
        <v>870</v>
      </c>
      <c r="Q39" s="17" t="s">
        <v>870</v>
      </c>
      <c r="R39" s="17" t="s">
        <v>870</v>
      </c>
      <c r="S39" s="17" t="s">
        <v>870</v>
      </c>
      <c r="T39" s="17" t="s">
        <v>870</v>
      </c>
      <c r="U39" s="17" t="s">
        <v>870</v>
      </c>
      <c r="V39" s="17" t="s">
        <v>870</v>
      </c>
      <c r="W39" s="17" t="s">
        <v>870</v>
      </c>
      <c r="X39" s="17" t="s">
        <v>870</v>
      </c>
      <c r="Y39" s="17" t="s">
        <v>870</v>
      </c>
      <c r="Z39" s="17" t="s">
        <v>870</v>
      </c>
      <c r="AA39" s="17" t="s">
        <v>870</v>
      </c>
      <c r="AB39" s="17" t="s">
        <v>870</v>
      </c>
      <c r="AC39" s="17" t="s">
        <v>870</v>
      </c>
      <c r="AD39" s="17" t="s">
        <v>870</v>
      </c>
      <c r="AE39" s="17" t="s">
        <v>870</v>
      </c>
      <c r="AF39" s="17" t="s">
        <v>870</v>
      </c>
      <c r="AG39" s="17" t="s">
        <v>870</v>
      </c>
      <c r="AH39" s="17" t="s">
        <v>870</v>
      </c>
      <c r="AI39" s="17" t="s">
        <v>870</v>
      </c>
      <c r="AJ39" s="17" t="s">
        <v>870</v>
      </c>
      <c r="AK39" s="17" t="s">
        <v>870</v>
      </c>
      <c r="AL39" s="17" t="s">
        <v>870</v>
      </c>
      <c r="AM39" s="17" t="s">
        <v>870</v>
      </c>
      <c r="AN39" s="17" t="s">
        <v>870</v>
      </c>
      <c r="AO39" s="17" t="s">
        <v>870</v>
      </c>
      <c r="AP39" s="17" t="s">
        <v>870</v>
      </c>
      <c r="AQ39" s="17" t="s">
        <v>870</v>
      </c>
      <c r="AR39" s="17" t="s">
        <v>870</v>
      </c>
      <c r="AS39" s="17" t="s">
        <v>870</v>
      </c>
      <c r="AT39" s="17" t="s">
        <v>870</v>
      </c>
      <c r="AU39" s="17" t="s">
        <v>870</v>
      </c>
      <c r="AV39" s="17" t="s">
        <v>870</v>
      </c>
      <c r="AW39" s="17" t="s">
        <v>870</v>
      </c>
      <c r="AX39" s="17" t="s">
        <v>870</v>
      </c>
      <c r="AY39" s="17" t="s">
        <v>870</v>
      </c>
      <c r="AZ39" s="17" t="s">
        <v>870</v>
      </c>
      <c r="BA39" s="17" t="s">
        <v>870</v>
      </c>
      <c r="BB39" s="17" t="s">
        <v>870</v>
      </c>
      <c r="BC39" s="17" t="s">
        <v>870</v>
      </c>
      <c r="BD39" s="17" t="s">
        <v>870</v>
      </c>
      <c r="BE39" s="17" t="s">
        <v>870</v>
      </c>
      <c r="BF39" s="17" t="s">
        <v>870</v>
      </c>
      <c r="BG39" s="17" t="s">
        <v>870</v>
      </c>
      <c r="BH39" s="17" t="s">
        <v>870</v>
      </c>
      <c r="BI39" s="17" t="s">
        <v>870</v>
      </c>
      <c r="BJ39" s="17" t="s">
        <v>870</v>
      </c>
      <c r="BK39" s="17" t="s">
        <v>870</v>
      </c>
      <c r="BL39" s="17" t="s">
        <v>870</v>
      </c>
      <c r="BM39" s="17" t="s">
        <v>870</v>
      </c>
      <c r="BN39" s="17" t="s">
        <v>870</v>
      </c>
      <c r="BO39" s="17" t="s">
        <v>870</v>
      </c>
      <c r="BP39" s="17" t="s">
        <v>870</v>
      </c>
      <c r="BQ39" s="17" t="s">
        <v>870</v>
      </c>
      <c r="BR39" s="17" t="s">
        <v>870</v>
      </c>
      <c r="BS39" s="17" t="s">
        <v>870</v>
      </c>
      <c r="BT39" s="17" t="s">
        <v>870</v>
      </c>
      <c r="BU39" s="17" t="s">
        <v>870</v>
      </c>
      <c r="BV39" s="17" t="s">
        <v>870</v>
      </c>
      <c r="BW39" s="17" t="s">
        <v>870</v>
      </c>
      <c r="BX39" s="17" t="s">
        <v>870</v>
      </c>
      <c r="BY39" s="17" t="s">
        <v>870</v>
      </c>
      <c r="BZ39" s="17" t="s">
        <v>870</v>
      </c>
      <c r="CA39" s="17" t="s">
        <v>870</v>
      </c>
      <c r="CB39" s="17" t="s">
        <v>870</v>
      </c>
      <c r="CC39" s="17" t="s">
        <v>870</v>
      </c>
      <c r="CD39" s="17" t="s">
        <v>870</v>
      </c>
      <c r="CE39" s="17" t="s">
        <v>870</v>
      </c>
      <c r="CF39" s="17" t="s">
        <v>870</v>
      </c>
      <c r="CG39" s="17" t="s">
        <v>870</v>
      </c>
      <c r="CH39" s="17" t="s">
        <v>870</v>
      </c>
      <c r="CI39" s="17" t="s">
        <v>870</v>
      </c>
      <c r="CJ39" s="17" t="s">
        <v>870</v>
      </c>
      <c r="CK39" s="17" t="s">
        <v>870</v>
      </c>
      <c r="CL39" s="17" t="s">
        <v>870</v>
      </c>
      <c r="CM39" s="17" t="s">
        <v>870</v>
      </c>
      <c r="CN39" s="17" t="s">
        <v>870</v>
      </c>
      <c r="CO39" s="17" t="s">
        <v>870</v>
      </c>
      <c r="CP39" s="17" t="s">
        <v>870</v>
      </c>
      <c r="CQ39" s="17" t="s">
        <v>870</v>
      </c>
      <c r="CR39" s="17" t="s">
        <v>870</v>
      </c>
      <c r="CS39" s="17" t="s">
        <v>870</v>
      </c>
      <c r="CT39" s="17" t="s">
        <v>870</v>
      </c>
      <c r="CU39" s="17" t="s">
        <v>870</v>
      </c>
      <c r="CV39" s="17" t="s">
        <v>870</v>
      </c>
      <c r="CW39" s="17" t="s">
        <v>870</v>
      </c>
      <c r="CX39" s="17" t="s">
        <v>870</v>
      </c>
      <c r="CY39" s="17" t="s">
        <v>870</v>
      </c>
      <c r="CZ39" s="17" t="s">
        <v>870</v>
      </c>
      <c r="DA39" s="17" t="s">
        <v>870</v>
      </c>
      <c r="DB39" s="17" t="s">
        <v>870</v>
      </c>
      <c r="DC39" s="17" t="s">
        <v>870</v>
      </c>
      <c r="DD39" s="17" t="s">
        <v>870</v>
      </c>
      <c r="DE39" s="17" t="s">
        <v>870</v>
      </c>
      <c r="DF39" s="17" t="s">
        <v>870</v>
      </c>
      <c r="DG39" s="17" t="s">
        <v>870</v>
      </c>
      <c r="DH39" s="17" t="s">
        <v>870</v>
      </c>
      <c r="DI39" s="17" t="s">
        <v>870</v>
      </c>
      <c r="DJ39" s="17" t="s">
        <v>870</v>
      </c>
      <c r="DK39" s="17" t="s">
        <v>870</v>
      </c>
      <c r="DL39" s="17" t="s">
        <v>870</v>
      </c>
      <c r="DM39" s="17" t="s">
        <v>870</v>
      </c>
      <c r="DN39" s="17" t="s">
        <v>870</v>
      </c>
      <c r="DO39" s="17" t="s">
        <v>870</v>
      </c>
      <c r="DP39" s="17" t="s">
        <v>870</v>
      </c>
      <c r="DQ39" s="17" t="s">
        <v>870</v>
      </c>
      <c r="DR39" s="17" t="s">
        <v>870</v>
      </c>
      <c r="DS39" s="17" t="s">
        <v>870</v>
      </c>
      <c r="DT39" s="17" t="s">
        <v>870</v>
      </c>
      <c r="DU39" s="17" t="s">
        <v>870</v>
      </c>
      <c r="DV39" s="17" t="s">
        <v>870</v>
      </c>
      <c r="DW39" s="17" t="s">
        <v>870</v>
      </c>
      <c r="DX39" s="17" t="s">
        <v>870</v>
      </c>
      <c r="DY39" s="17" t="s">
        <v>870</v>
      </c>
      <c r="DZ39" s="17" t="s">
        <v>870</v>
      </c>
      <c r="EA39" s="17" t="s">
        <v>870</v>
      </c>
      <c r="EB39" s="17" t="s">
        <v>870</v>
      </c>
      <c r="EC39" s="17" t="s">
        <v>870</v>
      </c>
      <c r="ED39" s="17" t="s">
        <v>870</v>
      </c>
      <c r="EE39" s="17" t="s">
        <v>870</v>
      </c>
      <c r="EF39" s="63"/>
      <c r="EG39" s="63"/>
      <c r="EH39" s="63"/>
      <c r="EI39" s="63"/>
      <c r="EJ39" s="17" t="s">
        <v>870</v>
      </c>
      <c r="EK39" s="17" t="s">
        <v>870</v>
      </c>
      <c r="EL39" s="17" t="s">
        <v>870</v>
      </c>
      <c r="EM39" s="17" t="s">
        <v>870</v>
      </c>
      <c r="EN39" s="17" t="s">
        <v>870</v>
      </c>
      <c r="EO39" s="17" t="s">
        <v>870</v>
      </c>
      <c r="EP39" s="63"/>
      <c r="EQ39" s="62"/>
      <c r="ER39" s="17" t="s">
        <v>870</v>
      </c>
      <c r="ES39" s="17" t="s">
        <v>870</v>
      </c>
      <c r="ET39" s="17" t="s">
        <v>870</v>
      </c>
      <c r="EU39" s="17" t="s">
        <v>870</v>
      </c>
      <c r="EV39" s="17" t="s">
        <v>870</v>
      </c>
      <c r="EW39" s="17" t="s">
        <v>870</v>
      </c>
      <c r="EX39" s="17" t="s">
        <v>870</v>
      </c>
      <c r="EY39" s="17" t="s">
        <v>870</v>
      </c>
      <c r="EZ39" s="17" t="s">
        <v>870</v>
      </c>
      <c r="FA39" s="17" t="s">
        <v>870</v>
      </c>
      <c r="FB39" s="63"/>
      <c r="FC39" s="63"/>
      <c r="FD39" s="17" t="s">
        <v>870</v>
      </c>
      <c r="FE39" s="17" t="s">
        <v>870</v>
      </c>
      <c r="FF39" s="17" t="s">
        <v>870</v>
      </c>
      <c r="FG39" s="17" t="s">
        <v>870</v>
      </c>
      <c r="FH39" s="17" t="s">
        <v>870</v>
      </c>
      <c r="FI39" s="17" t="s">
        <v>870</v>
      </c>
      <c r="FJ39" s="17" t="s">
        <v>870</v>
      </c>
      <c r="FK39" s="17" t="s">
        <v>870</v>
      </c>
      <c r="FL39" s="17" t="s">
        <v>870</v>
      </c>
      <c r="FM39" s="17" t="s">
        <v>870</v>
      </c>
      <c r="FN39" s="17" t="s">
        <v>870</v>
      </c>
      <c r="FO39" s="17" t="s">
        <v>870</v>
      </c>
      <c r="FP39" s="17" t="s">
        <v>870</v>
      </c>
      <c r="FQ39" s="17" t="s">
        <v>870</v>
      </c>
      <c r="FR39" s="17" t="s">
        <v>870</v>
      </c>
      <c r="FS39" s="17" t="s">
        <v>870</v>
      </c>
      <c r="FT39" s="17" t="s">
        <v>870</v>
      </c>
      <c r="FU39" s="17" t="s">
        <v>870</v>
      </c>
      <c r="FV39" s="17" t="s">
        <v>870</v>
      </c>
      <c r="FW39" s="17" t="s">
        <v>870</v>
      </c>
      <c r="FX39" s="17" t="s">
        <v>870</v>
      </c>
      <c r="FY39" s="17" t="s">
        <v>870</v>
      </c>
      <c r="FZ39" s="17" t="s">
        <v>870</v>
      </c>
      <c r="GA39" s="17" t="s">
        <v>870</v>
      </c>
      <c r="GB39" s="17" t="s">
        <v>870</v>
      </c>
      <c r="GC39" s="17" t="s">
        <v>870</v>
      </c>
      <c r="GD39" s="17" t="s">
        <v>870</v>
      </c>
      <c r="GE39" s="17" t="s">
        <v>870</v>
      </c>
      <c r="GF39" s="17" t="s">
        <v>870</v>
      </c>
      <c r="GG39" s="17" t="s">
        <v>870</v>
      </c>
      <c r="GH39" s="17" t="s">
        <v>870</v>
      </c>
      <c r="GI39" s="17" t="s">
        <v>870</v>
      </c>
      <c r="GJ39" s="17" t="s">
        <v>870</v>
      </c>
      <c r="GK39" s="17" t="s">
        <v>870</v>
      </c>
      <c r="GL39" s="17" t="s">
        <v>870</v>
      </c>
      <c r="GM39" s="17" t="s">
        <v>870</v>
      </c>
      <c r="GN39" s="17" t="s">
        <v>870</v>
      </c>
      <c r="GO39" s="17" t="s">
        <v>870</v>
      </c>
      <c r="GP39" s="17" t="s">
        <v>870</v>
      </c>
      <c r="GQ39" s="17" t="s">
        <v>870</v>
      </c>
      <c r="GR39" s="17" t="s">
        <v>870</v>
      </c>
      <c r="GS39" s="17" t="s">
        <v>870</v>
      </c>
      <c r="GT39" s="17" t="s">
        <v>870</v>
      </c>
      <c r="GU39" s="17" t="s">
        <v>870</v>
      </c>
      <c r="GV39" s="17" t="s">
        <v>870</v>
      </c>
      <c r="GW39" s="17" t="s">
        <v>870</v>
      </c>
      <c r="GX39" s="17" t="s">
        <v>870</v>
      </c>
      <c r="GY39" s="17" t="s">
        <v>870</v>
      </c>
      <c r="GZ39" s="17" t="s">
        <v>870</v>
      </c>
      <c r="HA39" s="17" t="s">
        <v>870</v>
      </c>
      <c r="HB39" s="17" t="s">
        <v>870</v>
      </c>
      <c r="HC39" s="17" t="s">
        <v>870</v>
      </c>
      <c r="HD39" s="17" t="s">
        <v>870</v>
      </c>
      <c r="HE39" s="17" t="s">
        <v>870</v>
      </c>
      <c r="HF39" s="17" t="s">
        <v>870</v>
      </c>
      <c r="HG39" s="17" t="s">
        <v>870</v>
      </c>
      <c r="HH39" s="17" t="s">
        <v>870</v>
      </c>
      <c r="HI39" s="17" t="s">
        <v>870</v>
      </c>
      <c r="HJ39" s="17" t="s">
        <v>870</v>
      </c>
      <c r="HK39" s="17" t="s">
        <v>870</v>
      </c>
      <c r="HL39" s="17" t="s">
        <v>870</v>
      </c>
      <c r="HM39" s="17" t="s">
        <v>870</v>
      </c>
      <c r="HN39" s="17" t="s">
        <v>870</v>
      </c>
      <c r="HO39" s="17" t="s">
        <v>870</v>
      </c>
      <c r="HP39" s="17" t="s">
        <v>870</v>
      </c>
      <c r="HQ39" s="17" t="s">
        <v>870</v>
      </c>
      <c r="HR39" s="17" t="s">
        <v>870</v>
      </c>
      <c r="HS39" s="17" t="s">
        <v>870</v>
      </c>
      <c r="HT39" s="17" t="s">
        <v>870</v>
      </c>
      <c r="HU39" s="17" t="s">
        <v>870</v>
      </c>
      <c r="HV39" s="17" t="s">
        <v>870</v>
      </c>
      <c r="HW39" s="17" t="s">
        <v>870</v>
      </c>
      <c r="HX39" s="17" t="s">
        <v>870</v>
      </c>
      <c r="HY39" s="17" t="s">
        <v>870</v>
      </c>
      <c r="HZ39" s="17" t="s">
        <v>870</v>
      </c>
      <c r="IA39" s="17" t="s">
        <v>870</v>
      </c>
      <c r="IB39" s="17" t="s">
        <v>870</v>
      </c>
      <c r="IC39" s="17" t="s">
        <v>870</v>
      </c>
      <c r="ID39" s="17" t="s">
        <v>870</v>
      </c>
      <c r="IE39" s="17" t="s">
        <v>870</v>
      </c>
      <c r="IF39" s="17" t="s">
        <v>870</v>
      </c>
      <c r="IG39" s="17" t="s">
        <v>870</v>
      </c>
      <c r="IH39" s="17" t="s">
        <v>870</v>
      </c>
      <c r="II39" s="17" t="s">
        <v>870</v>
      </c>
      <c r="IJ39" s="17" t="s">
        <v>870</v>
      </c>
      <c r="IK39" s="17" t="s">
        <v>870</v>
      </c>
      <c r="IL39" s="17" t="s">
        <v>870</v>
      </c>
      <c r="IM39" s="17" t="s">
        <v>870</v>
      </c>
      <c r="IN39" s="17" t="s">
        <v>870</v>
      </c>
      <c r="IO39" s="17" t="s">
        <v>870</v>
      </c>
      <c r="IP39" s="17" t="s">
        <v>870</v>
      </c>
      <c r="IQ39" s="17" t="s">
        <v>870</v>
      </c>
      <c r="IR39" s="17" t="s">
        <v>870</v>
      </c>
      <c r="IS39" s="17" t="s">
        <v>870</v>
      </c>
      <c r="IT39" s="17" t="s">
        <v>870</v>
      </c>
      <c r="IU39" s="17" t="s">
        <v>870</v>
      </c>
      <c r="IV39" s="17" t="s">
        <v>870</v>
      </c>
      <c r="IW39" s="17" t="s">
        <v>870</v>
      </c>
      <c r="IX39" s="17" t="s">
        <v>870</v>
      </c>
      <c r="IY39" s="17" t="s">
        <v>870</v>
      </c>
      <c r="IZ39" s="17" t="s">
        <v>870</v>
      </c>
      <c r="JA39" s="17" t="s">
        <v>870</v>
      </c>
      <c r="JB39" s="17" t="s">
        <v>870</v>
      </c>
      <c r="JC39" s="17" t="s">
        <v>870</v>
      </c>
      <c r="JD39" s="17" t="s">
        <v>870</v>
      </c>
      <c r="JE39" s="17" t="s">
        <v>870</v>
      </c>
      <c r="JF39" s="17" t="s">
        <v>870</v>
      </c>
      <c r="JG39" s="17" t="s">
        <v>870</v>
      </c>
      <c r="JH39" s="17" t="s">
        <v>870</v>
      </c>
      <c r="JI39" s="17" t="s">
        <v>870</v>
      </c>
      <c r="JJ39" s="17" t="s">
        <v>870</v>
      </c>
      <c r="JK39" s="17" t="s">
        <v>870</v>
      </c>
      <c r="JL39" s="17" t="s">
        <v>870</v>
      </c>
      <c r="JM39" s="17" t="s">
        <v>870</v>
      </c>
      <c r="JN39" s="17" t="s">
        <v>870</v>
      </c>
      <c r="JO39" s="17" t="s">
        <v>870</v>
      </c>
      <c r="JP39" s="17" t="s">
        <v>870</v>
      </c>
      <c r="JQ39" s="17" t="s">
        <v>870</v>
      </c>
      <c r="JR39" s="17" t="s">
        <v>870</v>
      </c>
      <c r="JS39" s="17" t="s">
        <v>870</v>
      </c>
      <c r="JT39" s="17" t="s">
        <v>870</v>
      </c>
    </row>
    <row r="40" spans="1:280" x14ac:dyDescent="0.25">
      <c r="A40" t="s">
        <v>28</v>
      </c>
      <c r="B40" s="63"/>
      <c r="C40" s="63"/>
      <c r="D40" s="63"/>
      <c r="E40" s="17" t="s">
        <v>870</v>
      </c>
      <c r="F40" s="17" t="s">
        <v>870</v>
      </c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17" t="s">
        <v>870</v>
      </c>
      <c r="U40" s="17" t="s">
        <v>870</v>
      </c>
      <c r="V40" s="17" t="s">
        <v>870</v>
      </c>
      <c r="W40" s="17" t="s">
        <v>870</v>
      </c>
      <c r="X40" s="17" t="s">
        <v>870</v>
      </c>
      <c r="Y40" s="17" t="s">
        <v>870</v>
      </c>
      <c r="Z40" s="17" t="s">
        <v>870</v>
      </c>
      <c r="AA40" s="17" t="s">
        <v>870</v>
      </c>
      <c r="AB40" s="17" t="s">
        <v>870</v>
      </c>
      <c r="AC40" s="17" t="s">
        <v>870</v>
      </c>
      <c r="AD40" s="17" t="s">
        <v>870</v>
      </c>
      <c r="AE40" s="17" t="s">
        <v>870</v>
      </c>
      <c r="AF40" s="17" t="s">
        <v>870</v>
      </c>
      <c r="AG40" s="17" t="s">
        <v>870</v>
      </c>
      <c r="AH40" s="17" t="s">
        <v>870</v>
      </c>
      <c r="AI40" s="17" t="s">
        <v>870</v>
      </c>
      <c r="AJ40" s="17" t="s">
        <v>870</v>
      </c>
      <c r="AK40" s="17" t="s">
        <v>870</v>
      </c>
      <c r="AL40" s="17" t="s">
        <v>870</v>
      </c>
      <c r="AM40" s="17" t="s">
        <v>870</v>
      </c>
      <c r="AN40" s="17" t="s">
        <v>870</v>
      </c>
      <c r="AO40" s="17" t="s">
        <v>870</v>
      </c>
      <c r="AP40" s="17" t="s">
        <v>870</v>
      </c>
      <c r="AQ40" s="17" t="s">
        <v>870</v>
      </c>
      <c r="AR40" s="17" t="s">
        <v>870</v>
      </c>
      <c r="AS40" s="17" t="s">
        <v>870</v>
      </c>
      <c r="AT40" s="17" t="s">
        <v>870</v>
      </c>
      <c r="AU40" s="17" t="s">
        <v>870</v>
      </c>
      <c r="AV40" s="17" t="s">
        <v>870</v>
      </c>
      <c r="AW40" s="17" t="s">
        <v>870</v>
      </c>
      <c r="AX40" s="17" t="s">
        <v>870</v>
      </c>
      <c r="AY40" s="17" t="s">
        <v>870</v>
      </c>
      <c r="AZ40" s="17" t="s">
        <v>870</v>
      </c>
      <c r="BA40" s="17" t="s">
        <v>870</v>
      </c>
      <c r="BB40" s="17" t="s">
        <v>870</v>
      </c>
      <c r="BC40" s="17" t="s">
        <v>870</v>
      </c>
      <c r="BD40" s="17" t="s">
        <v>870</v>
      </c>
      <c r="BE40" s="17" t="s">
        <v>870</v>
      </c>
      <c r="BF40" s="17" t="s">
        <v>870</v>
      </c>
      <c r="BG40" s="17" t="s">
        <v>870</v>
      </c>
      <c r="BH40" s="17" t="s">
        <v>870</v>
      </c>
      <c r="BI40" s="17" t="s">
        <v>870</v>
      </c>
      <c r="BJ40" s="17" t="s">
        <v>870</v>
      </c>
      <c r="BK40" s="17" t="s">
        <v>870</v>
      </c>
      <c r="BL40" s="17" t="s">
        <v>870</v>
      </c>
      <c r="BM40" s="17" t="s">
        <v>870</v>
      </c>
      <c r="BN40" s="17" t="s">
        <v>870</v>
      </c>
      <c r="BO40" s="17" t="s">
        <v>870</v>
      </c>
      <c r="BP40" s="17" t="s">
        <v>870</v>
      </c>
      <c r="BQ40" s="17" t="s">
        <v>870</v>
      </c>
      <c r="BR40" s="17" t="s">
        <v>870</v>
      </c>
      <c r="BS40" s="17" t="s">
        <v>870</v>
      </c>
      <c r="BT40" s="17" t="s">
        <v>870</v>
      </c>
      <c r="BU40" s="17" t="s">
        <v>870</v>
      </c>
      <c r="BV40" s="17" t="s">
        <v>870</v>
      </c>
      <c r="BW40" s="17" t="s">
        <v>870</v>
      </c>
      <c r="BX40" s="17" t="s">
        <v>870</v>
      </c>
      <c r="BY40" s="17" t="s">
        <v>870</v>
      </c>
      <c r="BZ40" s="17" t="s">
        <v>870</v>
      </c>
      <c r="CA40" s="17" t="s">
        <v>870</v>
      </c>
      <c r="CB40" s="17" t="s">
        <v>870</v>
      </c>
      <c r="CC40" s="17" t="s">
        <v>870</v>
      </c>
      <c r="CD40" s="17" t="s">
        <v>870</v>
      </c>
      <c r="CE40" s="17" t="s">
        <v>870</v>
      </c>
      <c r="CF40" s="17" t="s">
        <v>870</v>
      </c>
      <c r="CG40" s="17" t="s">
        <v>870</v>
      </c>
      <c r="CH40" s="17" t="s">
        <v>870</v>
      </c>
      <c r="CI40" s="17" t="s">
        <v>870</v>
      </c>
      <c r="CJ40" s="17" t="s">
        <v>870</v>
      </c>
      <c r="CK40" s="17" t="s">
        <v>870</v>
      </c>
      <c r="CL40" s="17" t="s">
        <v>870</v>
      </c>
      <c r="CM40" s="17" t="s">
        <v>870</v>
      </c>
      <c r="CN40" s="17" t="s">
        <v>870</v>
      </c>
      <c r="CO40" s="17" t="s">
        <v>870</v>
      </c>
      <c r="CP40" s="17" t="s">
        <v>870</v>
      </c>
      <c r="CQ40" s="17" t="s">
        <v>870</v>
      </c>
      <c r="CR40" s="17" t="s">
        <v>870</v>
      </c>
      <c r="CS40" s="17" t="s">
        <v>870</v>
      </c>
      <c r="CT40" s="17" t="s">
        <v>870</v>
      </c>
      <c r="CU40" s="17" t="s">
        <v>870</v>
      </c>
      <c r="CV40" s="17" t="s">
        <v>870</v>
      </c>
      <c r="CW40" s="17" t="s">
        <v>870</v>
      </c>
      <c r="CX40" s="17" t="s">
        <v>870</v>
      </c>
      <c r="CY40" s="17" t="s">
        <v>870</v>
      </c>
      <c r="CZ40" s="17" t="s">
        <v>870</v>
      </c>
      <c r="DA40" s="17" t="s">
        <v>870</v>
      </c>
      <c r="DB40" s="17" t="s">
        <v>870</v>
      </c>
      <c r="DC40" s="17" t="s">
        <v>870</v>
      </c>
      <c r="DD40" s="17" t="s">
        <v>870</v>
      </c>
      <c r="DE40" s="17" t="s">
        <v>870</v>
      </c>
      <c r="DF40" s="17" t="s">
        <v>870</v>
      </c>
      <c r="DG40" s="17" t="s">
        <v>870</v>
      </c>
      <c r="DH40" s="17" t="s">
        <v>870</v>
      </c>
      <c r="DI40" s="17" t="s">
        <v>870</v>
      </c>
      <c r="DJ40" s="17" t="s">
        <v>870</v>
      </c>
      <c r="DK40" s="17" t="s">
        <v>870</v>
      </c>
      <c r="DL40" s="17" t="s">
        <v>870</v>
      </c>
      <c r="DM40" s="17" t="s">
        <v>870</v>
      </c>
      <c r="DN40" s="17" t="s">
        <v>870</v>
      </c>
      <c r="DO40" s="17" t="s">
        <v>870</v>
      </c>
      <c r="DP40" s="17" t="s">
        <v>870</v>
      </c>
      <c r="DQ40" s="17" t="s">
        <v>870</v>
      </c>
      <c r="DR40" s="17" t="s">
        <v>870</v>
      </c>
      <c r="DS40" s="17" t="s">
        <v>870</v>
      </c>
      <c r="DT40" s="17" t="s">
        <v>870</v>
      </c>
      <c r="DU40" s="17" t="s">
        <v>870</v>
      </c>
      <c r="DV40" s="17" t="s">
        <v>870</v>
      </c>
      <c r="DW40" s="17" t="s">
        <v>870</v>
      </c>
      <c r="DX40" s="17" t="s">
        <v>870</v>
      </c>
      <c r="DY40" s="17" t="s">
        <v>870</v>
      </c>
      <c r="DZ40" s="17" t="s">
        <v>870</v>
      </c>
      <c r="EA40" s="17" t="s">
        <v>870</v>
      </c>
      <c r="EB40" s="17" t="s">
        <v>870</v>
      </c>
      <c r="EC40" s="17" t="s">
        <v>870</v>
      </c>
      <c r="ED40" s="17" t="s">
        <v>870</v>
      </c>
      <c r="EE40" s="17" t="s">
        <v>870</v>
      </c>
      <c r="EF40" s="17" t="s">
        <v>870</v>
      </c>
      <c r="EG40" s="17" t="s">
        <v>870</v>
      </c>
      <c r="EH40" s="17" t="s">
        <v>870</v>
      </c>
      <c r="EI40" s="17" t="s">
        <v>870</v>
      </c>
      <c r="EJ40" s="17" t="s">
        <v>870</v>
      </c>
      <c r="EK40" s="17" t="s">
        <v>870</v>
      </c>
      <c r="EL40" s="17" t="s">
        <v>870</v>
      </c>
      <c r="EM40" s="17" t="s">
        <v>870</v>
      </c>
      <c r="EN40" s="17" t="s">
        <v>870</v>
      </c>
      <c r="EO40" s="17" t="s">
        <v>870</v>
      </c>
      <c r="EP40" s="17" t="s">
        <v>870</v>
      </c>
      <c r="EQ40" s="17" t="s">
        <v>870</v>
      </c>
      <c r="ER40" s="17" t="s">
        <v>870</v>
      </c>
      <c r="ES40" s="17" t="s">
        <v>870</v>
      </c>
      <c r="ET40" s="17" t="s">
        <v>870</v>
      </c>
      <c r="EU40" s="17" t="s">
        <v>870</v>
      </c>
      <c r="EV40" s="17" t="s">
        <v>870</v>
      </c>
      <c r="EW40" s="17" t="s">
        <v>870</v>
      </c>
      <c r="EX40" s="17" t="s">
        <v>870</v>
      </c>
      <c r="EY40" s="17" t="s">
        <v>870</v>
      </c>
      <c r="EZ40" s="17" t="s">
        <v>870</v>
      </c>
      <c r="FA40" s="17" t="s">
        <v>870</v>
      </c>
      <c r="FB40" s="17" t="s">
        <v>870</v>
      </c>
      <c r="FC40" s="17" t="s">
        <v>870</v>
      </c>
      <c r="FD40" s="17" t="s">
        <v>870</v>
      </c>
      <c r="FE40" s="17" t="s">
        <v>870</v>
      </c>
      <c r="FF40" s="17" t="s">
        <v>870</v>
      </c>
      <c r="FG40" s="17" t="s">
        <v>870</v>
      </c>
      <c r="FH40" s="17" t="s">
        <v>870</v>
      </c>
      <c r="FI40" s="17" t="s">
        <v>870</v>
      </c>
      <c r="FJ40" s="17" t="s">
        <v>870</v>
      </c>
      <c r="FK40" s="17" t="s">
        <v>870</v>
      </c>
      <c r="FL40" s="17" t="s">
        <v>870</v>
      </c>
      <c r="FM40" s="17" t="s">
        <v>870</v>
      </c>
      <c r="FN40" s="17" t="s">
        <v>870</v>
      </c>
      <c r="FO40" s="17" t="s">
        <v>870</v>
      </c>
      <c r="FP40" s="17" t="s">
        <v>870</v>
      </c>
      <c r="FQ40" s="17" t="s">
        <v>870</v>
      </c>
      <c r="FR40" s="17" t="s">
        <v>870</v>
      </c>
      <c r="FS40" s="17" t="s">
        <v>870</v>
      </c>
      <c r="FT40" s="17" t="s">
        <v>870</v>
      </c>
      <c r="FU40" s="17" t="s">
        <v>870</v>
      </c>
      <c r="FV40" s="17" t="s">
        <v>870</v>
      </c>
      <c r="FW40" s="17" t="s">
        <v>870</v>
      </c>
      <c r="FX40" s="17" t="s">
        <v>870</v>
      </c>
      <c r="FY40" s="17" t="s">
        <v>870</v>
      </c>
      <c r="FZ40" s="17" t="s">
        <v>870</v>
      </c>
      <c r="GA40" s="17" t="s">
        <v>870</v>
      </c>
      <c r="GB40" s="17" t="s">
        <v>870</v>
      </c>
      <c r="GC40" s="17" t="s">
        <v>870</v>
      </c>
      <c r="GD40" s="17" t="s">
        <v>870</v>
      </c>
      <c r="GE40" s="17" t="s">
        <v>870</v>
      </c>
      <c r="GF40" s="17" t="s">
        <v>870</v>
      </c>
      <c r="GG40" s="17" t="s">
        <v>870</v>
      </c>
      <c r="GH40" s="17" t="s">
        <v>870</v>
      </c>
      <c r="GI40" s="17" t="s">
        <v>870</v>
      </c>
      <c r="GJ40" s="17" t="s">
        <v>870</v>
      </c>
      <c r="GK40" s="17" t="s">
        <v>870</v>
      </c>
      <c r="GL40" s="17" t="s">
        <v>870</v>
      </c>
      <c r="GM40" s="17" t="s">
        <v>870</v>
      </c>
      <c r="GN40" s="17" t="s">
        <v>870</v>
      </c>
      <c r="GO40" s="17" t="s">
        <v>870</v>
      </c>
      <c r="GP40" s="17" t="s">
        <v>870</v>
      </c>
      <c r="GQ40" s="17" t="s">
        <v>870</v>
      </c>
      <c r="GR40" s="17" t="s">
        <v>870</v>
      </c>
      <c r="GS40" s="17" t="s">
        <v>870</v>
      </c>
      <c r="GT40" s="17" t="s">
        <v>870</v>
      </c>
      <c r="GU40" s="17" t="s">
        <v>870</v>
      </c>
      <c r="GV40" s="17" t="s">
        <v>870</v>
      </c>
      <c r="GW40" s="17" t="s">
        <v>870</v>
      </c>
      <c r="GX40" s="17" t="s">
        <v>870</v>
      </c>
      <c r="GY40" s="17" t="s">
        <v>870</v>
      </c>
      <c r="GZ40" s="17" t="s">
        <v>870</v>
      </c>
      <c r="HA40" s="17" t="s">
        <v>870</v>
      </c>
      <c r="HB40" s="17" t="s">
        <v>870</v>
      </c>
      <c r="HC40" s="17" t="s">
        <v>870</v>
      </c>
      <c r="HD40" s="17" t="s">
        <v>870</v>
      </c>
      <c r="HE40" s="17" t="s">
        <v>870</v>
      </c>
      <c r="HF40" s="17" t="s">
        <v>870</v>
      </c>
      <c r="HG40" s="17" t="s">
        <v>870</v>
      </c>
      <c r="HH40" s="17" t="s">
        <v>870</v>
      </c>
      <c r="HI40" s="17" t="s">
        <v>870</v>
      </c>
      <c r="HJ40" s="17" t="s">
        <v>870</v>
      </c>
      <c r="HK40" s="17" t="s">
        <v>870</v>
      </c>
      <c r="HL40" s="17" t="s">
        <v>870</v>
      </c>
      <c r="HM40" s="17" t="s">
        <v>870</v>
      </c>
      <c r="HN40" s="17" t="s">
        <v>870</v>
      </c>
      <c r="HO40" s="17" t="s">
        <v>870</v>
      </c>
      <c r="HP40" s="17" t="s">
        <v>870</v>
      </c>
      <c r="HQ40" s="17" t="s">
        <v>870</v>
      </c>
      <c r="HR40" s="17" t="s">
        <v>870</v>
      </c>
      <c r="HS40" s="17" t="s">
        <v>870</v>
      </c>
      <c r="HT40" s="17" t="s">
        <v>870</v>
      </c>
      <c r="HU40" s="17" t="s">
        <v>870</v>
      </c>
      <c r="HV40" s="17" t="s">
        <v>870</v>
      </c>
      <c r="HW40" s="17" t="s">
        <v>870</v>
      </c>
      <c r="HX40" s="17" t="s">
        <v>870</v>
      </c>
      <c r="HY40" s="17" t="s">
        <v>870</v>
      </c>
      <c r="HZ40" s="17" t="s">
        <v>870</v>
      </c>
      <c r="IA40" s="17" t="s">
        <v>870</v>
      </c>
      <c r="IB40" s="17" t="s">
        <v>870</v>
      </c>
      <c r="IC40" s="17" t="s">
        <v>870</v>
      </c>
      <c r="ID40" s="17" t="s">
        <v>870</v>
      </c>
      <c r="IE40" s="17" t="s">
        <v>870</v>
      </c>
      <c r="IF40" s="17" t="s">
        <v>870</v>
      </c>
      <c r="IG40" s="17" t="s">
        <v>870</v>
      </c>
      <c r="IH40" s="17" t="s">
        <v>870</v>
      </c>
      <c r="II40" s="17" t="s">
        <v>870</v>
      </c>
      <c r="IJ40" s="17" t="s">
        <v>870</v>
      </c>
      <c r="IK40" s="17" t="s">
        <v>870</v>
      </c>
      <c r="IL40" s="17" t="s">
        <v>870</v>
      </c>
      <c r="IM40" s="17" t="s">
        <v>870</v>
      </c>
      <c r="IN40" s="17" t="s">
        <v>870</v>
      </c>
      <c r="IO40" s="17" t="s">
        <v>870</v>
      </c>
      <c r="IP40" s="17" t="s">
        <v>870</v>
      </c>
      <c r="IQ40" s="17" t="s">
        <v>870</v>
      </c>
      <c r="IR40" s="17" t="s">
        <v>870</v>
      </c>
      <c r="IS40" s="17" t="s">
        <v>870</v>
      </c>
      <c r="IT40" s="17" t="s">
        <v>870</v>
      </c>
      <c r="IU40" s="17" t="s">
        <v>870</v>
      </c>
      <c r="IV40" s="17" t="s">
        <v>870</v>
      </c>
      <c r="IW40" s="17" t="s">
        <v>870</v>
      </c>
      <c r="IX40" s="17" t="s">
        <v>870</v>
      </c>
      <c r="IY40" s="17" t="s">
        <v>870</v>
      </c>
      <c r="IZ40" s="17" t="s">
        <v>870</v>
      </c>
      <c r="JA40" s="17" t="s">
        <v>870</v>
      </c>
      <c r="JB40" s="17" t="s">
        <v>870</v>
      </c>
      <c r="JC40" s="17" t="s">
        <v>870</v>
      </c>
      <c r="JD40" s="17" t="s">
        <v>870</v>
      </c>
      <c r="JE40" s="17" t="s">
        <v>870</v>
      </c>
      <c r="JF40" s="17" t="s">
        <v>870</v>
      </c>
      <c r="JG40" s="17" t="s">
        <v>870</v>
      </c>
      <c r="JH40" s="17" t="s">
        <v>870</v>
      </c>
      <c r="JI40" s="17" t="s">
        <v>870</v>
      </c>
      <c r="JJ40" s="17" t="s">
        <v>870</v>
      </c>
      <c r="JK40" s="17" t="s">
        <v>870</v>
      </c>
      <c r="JL40" s="17" t="s">
        <v>870</v>
      </c>
      <c r="JM40" s="17" t="s">
        <v>870</v>
      </c>
      <c r="JN40" s="17" t="s">
        <v>870</v>
      </c>
      <c r="JO40" s="17" t="s">
        <v>870</v>
      </c>
      <c r="JP40" s="17" t="s">
        <v>870</v>
      </c>
      <c r="JQ40" s="17" t="s">
        <v>870</v>
      </c>
      <c r="JR40" s="17" t="s">
        <v>870</v>
      </c>
      <c r="JS40" s="17" t="s">
        <v>870</v>
      </c>
      <c r="JT40" s="17" t="s">
        <v>870</v>
      </c>
    </row>
    <row r="41" spans="1:280" x14ac:dyDescent="0.25">
      <c r="A41" t="s">
        <v>29</v>
      </c>
      <c r="B41" s="17" t="s">
        <v>870</v>
      </c>
      <c r="C41" s="17" t="s">
        <v>870</v>
      </c>
      <c r="D41" s="63"/>
      <c r="E41" s="17" t="s">
        <v>870</v>
      </c>
      <c r="F41" s="17" t="s">
        <v>870</v>
      </c>
      <c r="G41" s="17" t="s">
        <v>870</v>
      </c>
      <c r="H41" s="17" t="s">
        <v>870</v>
      </c>
      <c r="I41" s="63"/>
      <c r="J41" s="63"/>
      <c r="K41" s="63"/>
      <c r="L41" s="63"/>
      <c r="M41" s="63"/>
      <c r="N41" s="17" t="s">
        <v>870</v>
      </c>
      <c r="O41" s="17" t="s">
        <v>870</v>
      </c>
      <c r="P41" s="17" t="s">
        <v>870</v>
      </c>
      <c r="Q41" s="17" t="s">
        <v>870</v>
      </c>
      <c r="R41" s="17" t="s">
        <v>870</v>
      </c>
      <c r="S41" s="17" t="s">
        <v>870</v>
      </c>
      <c r="T41" s="17" t="s">
        <v>870</v>
      </c>
      <c r="U41" s="17" t="s">
        <v>870</v>
      </c>
      <c r="V41" s="17" t="s">
        <v>870</v>
      </c>
      <c r="W41" s="17" t="s">
        <v>870</v>
      </c>
      <c r="X41" s="17" t="s">
        <v>870</v>
      </c>
      <c r="Y41" s="17" t="s">
        <v>870</v>
      </c>
      <c r="Z41" s="17" t="s">
        <v>870</v>
      </c>
      <c r="AA41" s="17" t="s">
        <v>870</v>
      </c>
      <c r="AB41" s="17" t="s">
        <v>870</v>
      </c>
      <c r="AC41" s="17" t="s">
        <v>870</v>
      </c>
      <c r="AD41" s="17" t="s">
        <v>870</v>
      </c>
      <c r="AE41" s="17" t="s">
        <v>870</v>
      </c>
      <c r="AF41" s="17" t="s">
        <v>870</v>
      </c>
      <c r="AG41" s="17" t="s">
        <v>870</v>
      </c>
      <c r="AH41" s="17" t="s">
        <v>870</v>
      </c>
      <c r="AI41" s="17" t="s">
        <v>870</v>
      </c>
      <c r="AJ41" s="17" t="s">
        <v>870</v>
      </c>
      <c r="AK41" s="17" t="s">
        <v>870</v>
      </c>
      <c r="AL41" s="17" t="s">
        <v>870</v>
      </c>
      <c r="AM41" s="17" t="s">
        <v>870</v>
      </c>
      <c r="AN41" s="17" t="s">
        <v>870</v>
      </c>
      <c r="AO41" s="17" t="s">
        <v>870</v>
      </c>
      <c r="AP41" s="17" t="s">
        <v>870</v>
      </c>
      <c r="AQ41" s="17" t="s">
        <v>870</v>
      </c>
      <c r="AR41" s="17" t="s">
        <v>870</v>
      </c>
      <c r="AS41" s="17" t="s">
        <v>870</v>
      </c>
      <c r="AT41" s="17" t="s">
        <v>870</v>
      </c>
      <c r="AU41" s="17" t="s">
        <v>870</v>
      </c>
      <c r="AV41" s="17" t="s">
        <v>870</v>
      </c>
      <c r="AW41" s="17" t="s">
        <v>870</v>
      </c>
      <c r="AX41" s="17" t="s">
        <v>870</v>
      </c>
      <c r="AY41" s="17" t="s">
        <v>870</v>
      </c>
      <c r="AZ41" s="17" t="s">
        <v>870</v>
      </c>
      <c r="BA41" s="17" t="s">
        <v>870</v>
      </c>
      <c r="BB41" s="17" t="s">
        <v>870</v>
      </c>
      <c r="BC41" s="17" t="s">
        <v>870</v>
      </c>
      <c r="BD41" s="17" t="s">
        <v>870</v>
      </c>
      <c r="BE41" s="17" t="s">
        <v>870</v>
      </c>
      <c r="BF41" s="17" t="s">
        <v>870</v>
      </c>
      <c r="BG41" s="17" t="s">
        <v>870</v>
      </c>
      <c r="BH41" s="17" t="s">
        <v>870</v>
      </c>
      <c r="BI41" s="17" t="s">
        <v>870</v>
      </c>
      <c r="BJ41" s="17" t="s">
        <v>870</v>
      </c>
      <c r="BK41" s="17" t="s">
        <v>870</v>
      </c>
      <c r="BL41" s="17" t="s">
        <v>870</v>
      </c>
      <c r="BM41" s="17" t="s">
        <v>870</v>
      </c>
      <c r="BN41" s="17" t="s">
        <v>870</v>
      </c>
      <c r="BO41" s="17" t="s">
        <v>870</v>
      </c>
      <c r="BP41" s="17" t="s">
        <v>870</v>
      </c>
      <c r="BQ41" s="17" t="s">
        <v>870</v>
      </c>
      <c r="BR41" s="17" t="s">
        <v>870</v>
      </c>
      <c r="BS41" s="17" t="s">
        <v>870</v>
      </c>
      <c r="BT41" s="17" t="s">
        <v>870</v>
      </c>
      <c r="BU41" s="17" t="s">
        <v>870</v>
      </c>
      <c r="BV41" s="17" t="s">
        <v>870</v>
      </c>
      <c r="BW41" s="17" t="s">
        <v>870</v>
      </c>
      <c r="BX41" s="17" t="s">
        <v>870</v>
      </c>
      <c r="BY41" s="17" t="s">
        <v>870</v>
      </c>
      <c r="BZ41" s="17" t="s">
        <v>870</v>
      </c>
      <c r="CA41" s="17" t="s">
        <v>870</v>
      </c>
      <c r="CB41" s="17" t="s">
        <v>870</v>
      </c>
      <c r="CC41" s="17" t="s">
        <v>870</v>
      </c>
      <c r="CD41" s="17" t="s">
        <v>870</v>
      </c>
      <c r="CE41" s="17" t="s">
        <v>870</v>
      </c>
      <c r="CF41" s="17" t="s">
        <v>870</v>
      </c>
      <c r="CG41" s="17" t="s">
        <v>870</v>
      </c>
      <c r="CH41" s="17" t="s">
        <v>870</v>
      </c>
      <c r="CI41" s="17" t="s">
        <v>870</v>
      </c>
      <c r="CJ41" s="17" t="s">
        <v>870</v>
      </c>
      <c r="CK41" s="17" t="s">
        <v>870</v>
      </c>
      <c r="CL41" s="17" t="s">
        <v>870</v>
      </c>
      <c r="CM41" s="17" t="s">
        <v>870</v>
      </c>
      <c r="CN41" s="17" t="s">
        <v>870</v>
      </c>
      <c r="CO41" s="17" t="s">
        <v>870</v>
      </c>
      <c r="CP41" s="17" t="s">
        <v>870</v>
      </c>
      <c r="CQ41" s="17" t="s">
        <v>870</v>
      </c>
      <c r="CR41" s="17" t="s">
        <v>870</v>
      </c>
      <c r="CS41" s="17" t="s">
        <v>870</v>
      </c>
      <c r="CT41" s="17" t="s">
        <v>870</v>
      </c>
      <c r="CU41" s="17" t="s">
        <v>870</v>
      </c>
      <c r="CV41" s="17" t="s">
        <v>870</v>
      </c>
      <c r="CW41" s="17" t="s">
        <v>870</v>
      </c>
      <c r="CX41" s="17" t="s">
        <v>870</v>
      </c>
      <c r="CY41" s="17" t="s">
        <v>870</v>
      </c>
      <c r="CZ41" s="17" t="s">
        <v>870</v>
      </c>
      <c r="DA41" s="17" t="s">
        <v>870</v>
      </c>
      <c r="DB41" s="17" t="s">
        <v>870</v>
      </c>
      <c r="DC41" s="17" t="s">
        <v>870</v>
      </c>
      <c r="DD41" s="17" t="s">
        <v>870</v>
      </c>
      <c r="DE41" s="17" t="s">
        <v>870</v>
      </c>
      <c r="DF41" s="17" t="s">
        <v>870</v>
      </c>
      <c r="DG41" s="17" t="s">
        <v>870</v>
      </c>
      <c r="DH41" s="17" t="s">
        <v>870</v>
      </c>
      <c r="DI41" s="17" t="s">
        <v>870</v>
      </c>
      <c r="DJ41" s="17" t="s">
        <v>870</v>
      </c>
      <c r="DK41" s="17" t="s">
        <v>870</v>
      </c>
      <c r="DL41" s="17" t="s">
        <v>870</v>
      </c>
      <c r="DM41" s="17" t="s">
        <v>870</v>
      </c>
      <c r="DN41" s="17" t="s">
        <v>870</v>
      </c>
      <c r="DO41" s="17" t="s">
        <v>870</v>
      </c>
      <c r="DP41" s="17" t="s">
        <v>870</v>
      </c>
      <c r="DQ41" s="17" t="s">
        <v>870</v>
      </c>
      <c r="DR41" s="17" t="s">
        <v>870</v>
      </c>
      <c r="DS41" s="17" t="s">
        <v>870</v>
      </c>
      <c r="DT41" s="17" t="s">
        <v>870</v>
      </c>
      <c r="DU41" s="17" t="s">
        <v>870</v>
      </c>
      <c r="DV41" s="17" t="s">
        <v>870</v>
      </c>
      <c r="DW41" s="17" t="s">
        <v>870</v>
      </c>
      <c r="DX41" s="17" t="s">
        <v>870</v>
      </c>
      <c r="DY41" s="17" t="s">
        <v>870</v>
      </c>
      <c r="DZ41" s="17" t="s">
        <v>870</v>
      </c>
      <c r="EA41" s="17" t="s">
        <v>870</v>
      </c>
      <c r="EB41" s="17" t="s">
        <v>870</v>
      </c>
      <c r="EC41" s="17" t="s">
        <v>870</v>
      </c>
      <c r="ED41" s="17" t="s">
        <v>870</v>
      </c>
      <c r="EE41" s="17" t="s">
        <v>870</v>
      </c>
      <c r="EF41" s="17" t="s">
        <v>870</v>
      </c>
      <c r="EG41" s="17" t="s">
        <v>870</v>
      </c>
      <c r="EH41" s="17" t="s">
        <v>870</v>
      </c>
      <c r="EI41" s="17" t="s">
        <v>870</v>
      </c>
      <c r="EJ41" s="17" t="s">
        <v>870</v>
      </c>
      <c r="EK41" s="17" t="s">
        <v>870</v>
      </c>
      <c r="EL41" s="17" t="s">
        <v>870</v>
      </c>
      <c r="EM41" s="17" t="s">
        <v>870</v>
      </c>
      <c r="EN41" s="17" t="s">
        <v>870</v>
      </c>
      <c r="EO41" s="17" t="s">
        <v>870</v>
      </c>
      <c r="EP41" s="17" t="s">
        <v>870</v>
      </c>
      <c r="EQ41" s="17" t="s">
        <v>870</v>
      </c>
      <c r="ER41" s="17" t="s">
        <v>870</v>
      </c>
      <c r="ES41" s="17" t="s">
        <v>870</v>
      </c>
      <c r="ET41" s="17" t="s">
        <v>870</v>
      </c>
      <c r="EU41" s="17" t="s">
        <v>870</v>
      </c>
      <c r="EV41" s="17" t="s">
        <v>870</v>
      </c>
      <c r="EW41" s="17" t="s">
        <v>870</v>
      </c>
      <c r="EX41" s="17" t="s">
        <v>870</v>
      </c>
      <c r="EY41" s="17" t="s">
        <v>870</v>
      </c>
      <c r="EZ41" s="17" t="s">
        <v>870</v>
      </c>
      <c r="FA41" s="17" t="s">
        <v>870</v>
      </c>
      <c r="FB41" s="17" t="s">
        <v>870</v>
      </c>
      <c r="FC41" s="17" t="s">
        <v>870</v>
      </c>
      <c r="FD41" s="17" t="s">
        <v>870</v>
      </c>
      <c r="FE41" s="17" t="s">
        <v>870</v>
      </c>
      <c r="FF41" s="17" t="s">
        <v>870</v>
      </c>
      <c r="FG41" s="17" t="s">
        <v>870</v>
      </c>
      <c r="FH41" s="17" t="s">
        <v>870</v>
      </c>
      <c r="FI41" s="17" t="s">
        <v>870</v>
      </c>
      <c r="FJ41" s="17" t="s">
        <v>870</v>
      </c>
      <c r="FK41" s="17" t="s">
        <v>870</v>
      </c>
      <c r="FL41" s="17" t="s">
        <v>870</v>
      </c>
      <c r="FM41" s="17" t="s">
        <v>870</v>
      </c>
      <c r="FN41" s="17" t="s">
        <v>870</v>
      </c>
      <c r="FO41" s="17" t="s">
        <v>870</v>
      </c>
      <c r="FP41" s="17" t="s">
        <v>870</v>
      </c>
      <c r="FQ41" s="17" t="s">
        <v>870</v>
      </c>
      <c r="FR41" s="17" t="s">
        <v>870</v>
      </c>
      <c r="FS41" s="17" t="s">
        <v>870</v>
      </c>
      <c r="FT41" s="17" t="s">
        <v>870</v>
      </c>
      <c r="FU41" s="17" t="s">
        <v>870</v>
      </c>
      <c r="FV41" s="17" t="s">
        <v>870</v>
      </c>
      <c r="FW41" s="17" t="s">
        <v>870</v>
      </c>
      <c r="FX41" s="17" t="s">
        <v>870</v>
      </c>
      <c r="FY41" s="17" t="s">
        <v>870</v>
      </c>
      <c r="FZ41" s="17" t="s">
        <v>870</v>
      </c>
      <c r="GA41" s="17" t="s">
        <v>870</v>
      </c>
      <c r="GB41" s="17" t="s">
        <v>870</v>
      </c>
      <c r="GC41" s="17" t="s">
        <v>870</v>
      </c>
      <c r="GD41" s="17" t="s">
        <v>870</v>
      </c>
      <c r="GE41" s="17" t="s">
        <v>870</v>
      </c>
      <c r="GF41" s="17" t="s">
        <v>870</v>
      </c>
      <c r="GG41" s="17" t="s">
        <v>870</v>
      </c>
      <c r="GH41" s="17" t="s">
        <v>870</v>
      </c>
      <c r="GI41" s="17" t="s">
        <v>870</v>
      </c>
      <c r="GJ41" s="17" t="s">
        <v>870</v>
      </c>
      <c r="GK41" s="17" t="s">
        <v>870</v>
      </c>
      <c r="GL41" s="17" t="s">
        <v>870</v>
      </c>
      <c r="GM41" s="17" t="s">
        <v>870</v>
      </c>
      <c r="GN41" s="17" t="s">
        <v>870</v>
      </c>
      <c r="GO41" s="17" t="s">
        <v>870</v>
      </c>
      <c r="GP41" s="17" t="s">
        <v>870</v>
      </c>
      <c r="GQ41" s="17" t="s">
        <v>870</v>
      </c>
      <c r="GR41" s="17" t="s">
        <v>870</v>
      </c>
      <c r="GS41" s="17" t="s">
        <v>870</v>
      </c>
      <c r="GT41" s="17" t="s">
        <v>870</v>
      </c>
      <c r="GU41" s="17" t="s">
        <v>870</v>
      </c>
      <c r="GV41" s="17" t="s">
        <v>870</v>
      </c>
      <c r="GW41" s="17" t="s">
        <v>870</v>
      </c>
      <c r="GX41" s="17" t="s">
        <v>870</v>
      </c>
      <c r="GY41" s="17" t="s">
        <v>870</v>
      </c>
      <c r="GZ41" s="17" t="s">
        <v>870</v>
      </c>
      <c r="HA41" s="17" t="s">
        <v>870</v>
      </c>
      <c r="HB41" s="17" t="s">
        <v>870</v>
      </c>
      <c r="HC41" s="17" t="s">
        <v>870</v>
      </c>
      <c r="HD41" s="17" t="s">
        <v>870</v>
      </c>
      <c r="HE41" s="17" t="s">
        <v>870</v>
      </c>
      <c r="HF41" s="17" t="s">
        <v>870</v>
      </c>
      <c r="HG41" s="17" t="s">
        <v>870</v>
      </c>
      <c r="HH41" s="17" t="s">
        <v>870</v>
      </c>
      <c r="HI41" s="17" t="s">
        <v>870</v>
      </c>
      <c r="HJ41" s="17" t="s">
        <v>870</v>
      </c>
      <c r="HK41" s="17" t="s">
        <v>870</v>
      </c>
      <c r="HL41" s="17" t="s">
        <v>870</v>
      </c>
      <c r="HM41" s="17" t="s">
        <v>870</v>
      </c>
      <c r="HN41" s="17" t="s">
        <v>870</v>
      </c>
      <c r="HO41" s="17" t="s">
        <v>870</v>
      </c>
      <c r="HP41" s="17" t="s">
        <v>870</v>
      </c>
      <c r="HQ41" s="17" t="s">
        <v>870</v>
      </c>
      <c r="HR41" s="17" t="s">
        <v>870</v>
      </c>
      <c r="HS41" s="17" t="s">
        <v>870</v>
      </c>
      <c r="HT41" s="17" t="s">
        <v>870</v>
      </c>
      <c r="HU41" s="17" t="s">
        <v>870</v>
      </c>
      <c r="HV41" s="17" t="s">
        <v>870</v>
      </c>
      <c r="HW41" s="17" t="s">
        <v>870</v>
      </c>
      <c r="HX41" s="17" t="s">
        <v>870</v>
      </c>
      <c r="HY41" s="17" t="s">
        <v>870</v>
      </c>
      <c r="HZ41" s="17" t="s">
        <v>870</v>
      </c>
      <c r="IA41" s="17" t="s">
        <v>870</v>
      </c>
      <c r="IB41" s="17" t="s">
        <v>870</v>
      </c>
      <c r="IC41" s="17" t="s">
        <v>870</v>
      </c>
      <c r="ID41" s="17" t="s">
        <v>870</v>
      </c>
      <c r="IE41" s="17" t="s">
        <v>870</v>
      </c>
      <c r="IF41" s="17" t="s">
        <v>870</v>
      </c>
      <c r="IG41" s="17" t="s">
        <v>870</v>
      </c>
      <c r="IH41" s="17" t="s">
        <v>870</v>
      </c>
      <c r="II41" s="17" t="s">
        <v>870</v>
      </c>
      <c r="IJ41" s="17" t="s">
        <v>870</v>
      </c>
      <c r="IK41" s="17" t="s">
        <v>870</v>
      </c>
      <c r="IL41" s="17" t="s">
        <v>870</v>
      </c>
      <c r="IM41" s="17" t="s">
        <v>870</v>
      </c>
      <c r="IN41" s="17" t="s">
        <v>870</v>
      </c>
      <c r="IO41" s="17" t="s">
        <v>870</v>
      </c>
      <c r="IP41" s="17" t="s">
        <v>870</v>
      </c>
      <c r="IQ41" s="17" t="s">
        <v>870</v>
      </c>
      <c r="IR41" s="17" t="s">
        <v>870</v>
      </c>
      <c r="IS41" s="17" t="s">
        <v>870</v>
      </c>
      <c r="IT41" s="17" t="s">
        <v>870</v>
      </c>
      <c r="IU41" s="17" t="s">
        <v>870</v>
      </c>
      <c r="IV41" s="17" t="s">
        <v>870</v>
      </c>
      <c r="IW41" s="17" t="s">
        <v>870</v>
      </c>
      <c r="IX41" s="17" t="s">
        <v>870</v>
      </c>
      <c r="IY41" s="17" t="s">
        <v>870</v>
      </c>
      <c r="IZ41" s="17" t="s">
        <v>870</v>
      </c>
      <c r="JA41" s="17" t="s">
        <v>870</v>
      </c>
      <c r="JB41" s="17" t="s">
        <v>870</v>
      </c>
      <c r="JC41" s="17" t="s">
        <v>870</v>
      </c>
      <c r="JD41" s="17" t="s">
        <v>870</v>
      </c>
      <c r="JE41" s="17" t="s">
        <v>870</v>
      </c>
      <c r="JF41" s="17" t="s">
        <v>870</v>
      </c>
      <c r="JG41" s="17" t="s">
        <v>870</v>
      </c>
      <c r="JH41" s="17" t="s">
        <v>870</v>
      </c>
      <c r="JI41" s="17" t="s">
        <v>870</v>
      </c>
      <c r="JJ41" s="17" t="s">
        <v>870</v>
      </c>
      <c r="JK41" s="17" t="s">
        <v>870</v>
      </c>
      <c r="JL41" s="17" t="s">
        <v>870</v>
      </c>
      <c r="JM41" s="17" t="s">
        <v>870</v>
      </c>
      <c r="JN41" s="17" t="s">
        <v>870</v>
      </c>
      <c r="JO41" s="17" t="s">
        <v>870</v>
      </c>
      <c r="JP41" s="17" t="s">
        <v>870</v>
      </c>
      <c r="JQ41" s="17" t="s">
        <v>870</v>
      </c>
      <c r="JR41" s="17" t="s">
        <v>870</v>
      </c>
      <c r="JS41" s="17" t="s">
        <v>870</v>
      </c>
      <c r="JT41" s="17" t="s">
        <v>870</v>
      </c>
    </row>
    <row r="42" spans="1:280" x14ac:dyDescent="0.25">
      <c r="A42" t="s">
        <v>21</v>
      </c>
      <c r="B42" s="17" t="s">
        <v>870</v>
      </c>
      <c r="C42" s="17" t="s">
        <v>870</v>
      </c>
      <c r="D42" s="17" t="s">
        <v>870</v>
      </c>
      <c r="E42" s="17" t="s">
        <v>870</v>
      </c>
      <c r="F42" s="17" t="s">
        <v>870</v>
      </c>
      <c r="G42" s="17" t="s">
        <v>870</v>
      </c>
      <c r="H42" s="17" t="s">
        <v>870</v>
      </c>
      <c r="I42" s="17" t="s">
        <v>870</v>
      </c>
      <c r="J42" s="17" t="s">
        <v>870</v>
      </c>
      <c r="K42" s="17" t="s">
        <v>870</v>
      </c>
      <c r="L42" s="17" t="s">
        <v>870</v>
      </c>
      <c r="M42" s="17" t="s">
        <v>870</v>
      </c>
      <c r="N42" s="17" t="s">
        <v>870</v>
      </c>
      <c r="O42" s="17" t="s">
        <v>870</v>
      </c>
      <c r="P42" s="17" t="s">
        <v>870</v>
      </c>
      <c r="Q42" s="17" t="s">
        <v>870</v>
      </c>
      <c r="R42" s="17" t="s">
        <v>870</v>
      </c>
      <c r="S42" s="17" t="s">
        <v>870</v>
      </c>
      <c r="T42" s="17" t="s">
        <v>870</v>
      </c>
      <c r="U42" s="17" t="s">
        <v>870</v>
      </c>
      <c r="V42" s="63"/>
      <c r="W42" s="63"/>
      <c r="X42" s="17" t="s">
        <v>870</v>
      </c>
      <c r="Y42" s="17" t="s">
        <v>870</v>
      </c>
      <c r="Z42" s="17" t="s">
        <v>870</v>
      </c>
      <c r="AA42" s="17" t="s">
        <v>870</v>
      </c>
      <c r="AB42" s="17" t="s">
        <v>870</v>
      </c>
      <c r="AC42" s="17" t="s">
        <v>870</v>
      </c>
      <c r="AD42" s="17" t="s">
        <v>870</v>
      </c>
      <c r="AE42" s="17" t="s">
        <v>870</v>
      </c>
      <c r="AF42" s="17" t="s">
        <v>870</v>
      </c>
      <c r="AG42" s="17" t="s">
        <v>870</v>
      </c>
      <c r="AH42" s="17" t="s">
        <v>870</v>
      </c>
      <c r="AI42" s="17" t="s">
        <v>870</v>
      </c>
      <c r="AJ42" s="17" t="s">
        <v>870</v>
      </c>
      <c r="AK42" s="17" t="s">
        <v>870</v>
      </c>
      <c r="AL42" s="17" t="s">
        <v>870</v>
      </c>
      <c r="AM42" s="17" t="s">
        <v>870</v>
      </c>
      <c r="AN42" s="17" t="s">
        <v>870</v>
      </c>
      <c r="AO42" s="17" t="s">
        <v>870</v>
      </c>
      <c r="AP42" s="17" t="s">
        <v>870</v>
      </c>
      <c r="AQ42" s="17" t="s">
        <v>870</v>
      </c>
      <c r="AR42" s="17" t="s">
        <v>870</v>
      </c>
      <c r="AS42" s="17" t="s">
        <v>870</v>
      </c>
      <c r="AT42" s="17" t="s">
        <v>870</v>
      </c>
      <c r="AU42" s="17" t="s">
        <v>870</v>
      </c>
      <c r="AV42" s="17" t="s">
        <v>870</v>
      </c>
      <c r="AW42" s="17" t="s">
        <v>870</v>
      </c>
      <c r="AX42" s="17" t="s">
        <v>870</v>
      </c>
      <c r="AY42" s="17" t="s">
        <v>870</v>
      </c>
      <c r="AZ42" s="17" t="s">
        <v>870</v>
      </c>
      <c r="BA42" s="17" t="s">
        <v>870</v>
      </c>
      <c r="BB42" s="17" t="s">
        <v>870</v>
      </c>
      <c r="BC42" s="17" t="s">
        <v>870</v>
      </c>
      <c r="BD42" s="17" t="s">
        <v>870</v>
      </c>
      <c r="BE42" s="17" t="s">
        <v>870</v>
      </c>
      <c r="BF42" s="17" t="s">
        <v>870</v>
      </c>
      <c r="BG42" s="17" t="s">
        <v>870</v>
      </c>
      <c r="BH42" s="17" t="s">
        <v>870</v>
      </c>
      <c r="BI42" s="17" t="s">
        <v>870</v>
      </c>
      <c r="BJ42" s="17" t="s">
        <v>870</v>
      </c>
      <c r="BK42" s="17" t="s">
        <v>870</v>
      </c>
      <c r="BL42" s="17" t="s">
        <v>870</v>
      </c>
      <c r="BM42" s="17" t="s">
        <v>870</v>
      </c>
      <c r="BN42" s="17" t="s">
        <v>870</v>
      </c>
      <c r="BO42" s="17" t="s">
        <v>870</v>
      </c>
      <c r="BP42" s="17" t="s">
        <v>870</v>
      </c>
      <c r="BQ42" s="17" t="s">
        <v>870</v>
      </c>
      <c r="BR42" s="17" t="s">
        <v>870</v>
      </c>
      <c r="BS42" s="17" t="s">
        <v>870</v>
      </c>
      <c r="BT42" s="17" t="s">
        <v>870</v>
      </c>
      <c r="BU42" s="17" t="s">
        <v>870</v>
      </c>
      <c r="BV42" s="17" t="s">
        <v>870</v>
      </c>
      <c r="BW42" s="17" t="s">
        <v>870</v>
      </c>
      <c r="BX42" s="17" t="s">
        <v>870</v>
      </c>
      <c r="BY42" s="17" t="s">
        <v>870</v>
      </c>
      <c r="BZ42" s="17" t="s">
        <v>870</v>
      </c>
      <c r="CA42" s="17" t="s">
        <v>870</v>
      </c>
      <c r="CB42" s="17" t="s">
        <v>870</v>
      </c>
      <c r="CC42" s="17" t="s">
        <v>870</v>
      </c>
      <c r="CD42" s="17" t="s">
        <v>870</v>
      </c>
      <c r="CE42" s="17" t="s">
        <v>870</v>
      </c>
      <c r="CF42" s="17" t="s">
        <v>870</v>
      </c>
      <c r="CG42" s="17" t="s">
        <v>870</v>
      </c>
      <c r="CH42" s="17" t="s">
        <v>870</v>
      </c>
      <c r="CI42" s="17" t="s">
        <v>870</v>
      </c>
      <c r="CJ42" s="17" t="s">
        <v>870</v>
      </c>
      <c r="CK42" s="17" t="s">
        <v>870</v>
      </c>
      <c r="CL42" s="17" t="s">
        <v>870</v>
      </c>
      <c r="CM42" s="17" t="s">
        <v>870</v>
      </c>
      <c r="CN42" s="17" t="s">
        <v>870</v>
      </c>
      <c r="CO42" s="17" t="s">
        <v>870</v>
      </c>
      <c r="CP42" s="17" t="s">
        <v>870</v>
      </c>
      <c r="CQ42" s="17" t="s">
        <v>870</v>
      </c>
      <c r="CR42" s="17" t="s">
        <v>870</v>
      </c>
      <c r="CS42" s="17" t="s">
        <v>870</v>
      </c>
      <c r="CT42" s="17" t="s">
        <v>870</v>
      </c>
      <c r="CU42" s="17" t="s">
        <v>870</v>
      </c>
      <c r="CV42" s="17" t="s">
        <v>870</v>
      </c>
      <c r="CW42" s="17" t="s">
        <v>870</v>
      </c>
      <c r="CX42" s="17" t="s">
        <v>870</v>
      </c>
      <c r="CY42" s="17" t="s">
        <v>870</v>
      </c>
      <c r="CZ42" s="17" t="s">
        <v>870</v>
      </c>
      <c r="DA42" s="17" t="s">
        <v>870</v>
      </c>
      <c r="DB42" s="17" t="s">
        <v>870</v>
      </c>
      <c r="DC42" s="17" t="s">
        <v>870</v>
      </c>
      <c r="DD42" s="17" t="s">
        <v>870</v>
      </c>
      <c r="DE42" s="17" t="s">
        <v>870</v>
      </c>
      <c r="DF42" s="17" t="s">
        <v>870</v>
      </c>
      <c r="DG42" s="17" t="s">
        <v>870</v>
      </c>
      <c r="DH42" s="17" t="s">
        <v>870</v>
      </c>
      <c r="DI42" s="17" t="s">
        <v>870</v>
      </c>
      <c r="DJ42" s="17" t="s">
        <v>870</v>
      </c>
      <c r="DK42" s="17" t="s">
        <v>870</v>
      </c>
      <c r="DL42" s="17" t="s">
        <v>870</v>
      </c>
      <c r="DM42" s="17" t="s">
        <v>870</v>
      </c>
      <c r="DN42" s="17" t="s">
        <v>870</v>
      </c>
      <c r="DO42" s="17" t="s">
        <v>870</v>
      </c>
      <c r="DP42" s="17" t="s">
        <v>870</v>
      </c>
      <c r="DQ42" s="17" t="s">
        <v>870</v>
      </c>
      <c r="DR42" s="17" t="s">
        <v>870</v>
      </c>
      <c r="DS42" s="17" t="s">
        <v>870</v>
      </c>
      <c r="DT42" s="17" t="s">
        <v>870</v>
      </c>
      <c r="DU42" s="17" t="s">
        <v>870</v>
      </c>
      <c r="DV42" s="17" t="s">
        <v>870</v>
      </c>
      <c r="DW42" s="17" t="s">
        <v>870</v>
      </c>
      <c r="DX42" s="17" t="s">
        <v>870</v>
      </c>
      <c r="DY42" s="17" t="s">
        <v>870</v>
      </c>
      <c r="DZ42" s="17" t="s">
        <v>870</v>
      </c>
      <c r="EA42" s="17" t="s">
        <v>870</v>
      </c>
      <c r="EB42" s="17" t="s">
        <v>870</v>
      </c>
      <c r="EC42" s="17" t="s">
        <v>870</v>
      </c>
      <c r="ED42" s="17" t="s">
        <v>870</v>
      </c>
      <c r="EE42" s="17" t="s">
        <v>870</v>
      </c>
      <c r="EF42" s="17" t="s">
        <v>870</v>
      </c>
      <c r="EG42" s="17" t="s">
        <v>870</v>
      </c>
      <c r="EH42" s="17" t="s">
        <v>870</v>
      </c>
      <c r="EI42" s="17" t="s">
        <v>870</v>
      </c>
      <c r="EJ42" s="17" t="s">
        <v>870</v>
      </c>
      <c r="EK42" s="17" t="s">
        <v>870</v>
      </c>
      <c r="EL42" s="17" t="s">
        <v>870</v>
      </c>
      <c r="EM42" s="17" t="s">
        <v>870</v>
      </c>
      <c r="EN42" s="17" t="s">
        <v>870</v>
      </c>
      <c r="EO42" s="17" t="s">
        <v>870</v>
      </c>
      <c r="EP42" s="17" t="s">
        <v>870</v>
      </c>
      <c r="EQ42" s="17" t="s">
        <v>870</v>
      </c>
      <c r="ER42" s="17" t="s">
        <v>870</v>
      </c>
      <c r="ES42" s="17" t="s">
        <v>870</v>
      </c>
      <c r="ET42" s="17" t="s">
        <v>870</v>
      </c>
      <c r="EU42" s="17" t="s">
        <v>870</v>
      </c>
      <c r="EV42" s="17" t="s">
        <v>870</v>
      </c>
      <c r="EW42" s="17" t="s">
        <v>870</v>
      </c>
      <c r="EX42" s="17" t="s">
        <v>870</v>
      </c>
      <c r="EY42" s="17" t="s">
        <v>870</v>
      </c>
      <c r="EZ42" s="17" t="s">
        <v>870</v>
      </c>
      <c r="FA42" s="17" t="s">
        <v>870</v>
      </c>
      <c r="FB42" s="17" t="s">
        <v>870</v>
      </c>
      <c r="FC42" s="17" t="s">
        <v>870</v>
      </c>
      <c r="FD42" s="17" t="s">
        <v>870</v>
      </c>
      <c r="FE42" s="17" t="s">
        <v>870</v>
      </c>
      <c r="FF42" s="17" t="s">
        <v>870</v>
      </c>
      <c r="FG42" s="17" t="s">
        <v>870</v>
      </c>
      <c r="FH42" s="17" t="s">
        <v>870</v>
      </c>
      <c r="FI42" s="17" t="s">
        <v>870</v>
      </c>
      <c r="FJ42" s="17" t="s">
        <v>870</v>
      </c>
      <c r="FK42" s="17" t="s">
        <v>870</v>
      </c>
      <c r="FL42" s="17" t="s">
        <v>870</v>
      </c>
      <c r="FM42" s="17" t="s">
        <v>870</v>
      </c>
      <c r="FN42" s="17" t="s">
        <v>870</v>
      </c>
      <c r="FO42" s="17" t="s">
        <v>870</v>
      </c>
      <c r="FP42" s="17" t="s">
        <v>870</v>
      </c>
      <c r="FQ42" s="17" t="s">
        <v>870</v>
      </c>
      <c r="FR42" s="17" t="s">
        <v>870</v>
      </c>
      <c r="FS42" s="17" t="s">
        <v>870</v>
      </c>
      <c r="FT42" s="17" t="s">
        <v>870</v>
      </c>
      <c r="FU42" s="17" t="s">
        <v>870</v>
      </c>
      <c r="FV42" s="17" t="s">
        <v>870</v>
      </c>
      <c r="FW42" s="17" t="s">
        <v>870</v>
      </c>
      <c r="FX42" s="17" t="s">
        <v>870</v>
      </c>
      <c r="FY42" s="17" t="s">
        <v>870</v>
      </c>
      <c r="FZ42" s="17" t="s">
        <v>870</v>
      </c>
      <c r="GA42" s="17" t="s">
        <v>870</v>
      </c>
      <c r="GB42" s="17" t="s">
        <v>870</v>
      </c>
      <c r="GC42" s="17" t="s">
        <v>870</v>
      </c>
      <c r="GD42" s="17" t="s">
        <v>870</v>
      </c>
      <c r="GE42" s="17" t="s">
        <v>870</v>
      </c>
      <c r="GF42" s="17" t="s">
        <v>870</v>
      </c>
      <c r="GG42" s="17" t="s">
        <v>870</v>
      </c>
      <c r="GH42" s="17" t="s">
        <v>870</v>
      </c>
      <c r="GI42" s="17" t="s">
        <v>870</v>
      </c>
      <c r="GJ42" s="17" t="s">
        <v>870</v>
      </c>
      <c r="GK42" s="17" t="s">
        <v>870</v>
      </c>
      <c r="GL42" s="17" t="s">
        <v>870</v>
      </c>
      <c r="GM42" s="17" t="s">
        <v>870</v>
      </c>
      <c r="GN42" s="17" t="s">
        <v>870</v>
      </c>
      <c r="GO42" s="17" t="s">
        <v>870</v>
      </c>
      <c r="GP42" s="17" t="s">
        <v>870</v>
      </c>
      <c r="GQ42" s="17" t="s">
        <v>870</v>
      </c>
      <c r="GR42" s="17" t="s">
        <v>870</v>
      </c>
      <c r="GS42" s="17" t="s">
        <v>870</v>
      </c>
      <c r="GT42" s="17" t="s">
        <v>870</v>
      </c>
      <c r="GU42" s="17" t="s">
        <v>870</v>
      </c>
      <c r="GV42" s="17" t="s">
        <v>870</v>
      </c>
      <c r="GW42" s="17" t="s">
        <v>870</v>
      </c>
      <c r="GX42" s="17" t="s">
        <v>870</v>
      </c>
      <c r="GY42" s="17" t="s">
        <v>870</v>
      </c>
      <c r="GZ42" s="17" t="s">
        <v>870</v>
      </c>
      <c r="HA42" s="17" t="s">
        <v>870</v>
      </c>
      <c r="HB42" s="17" t="s">
        <v>870</v>
      </c>
      <c r="HC42" s="17" t="s">
        <v>870</v>
      </c>
      <c r="HD42" s="17" t="s">
        <v>870</v>
      </c>
      <c r="HE42" s="17" t="s">
        <v>870</v>
      </c>
      <c r="HF42" s="17" t="s">
        <v>870</v>
      </c>
      <c r="HG42" s="17" t="s">
        <v>870</v>
      </c>
      <c r="HH42" s="17" t="s">
        <v>870</v>
      </c>
      <c r="HI42" s="17" t="s">
        <v>870</v>
      </c>
      <c r="HJ42" s="17" t="s">
        <v>870</v>
      </c>
      <c r="HK42" s="17" t="s">
        <v>870</v>
      </c>
      <c r="HL42" s="17" t="s">
        <v>870</v>
      </c>
      <c r="HM42" s="17" t="s">
        <v>870</v>
      </c>
      <c r="HN42" s="17" t="s">
        <v>870</v>
      </c>
      <c r="HO42" s="17" t="s">
        <v>870</v>
      </c>
      <c r="HP42" s="17" t="s">
        <v>870</v>
      </c>
      <c r="HQ42" s="17" t="s">
        <v>870</v>
      </c>
      <c r="HR42" s="17" t="s">
        <v>870</v>
      </c>
      <c r="HS42" s="17" t="s">
        <v>870</v>
      </c>
      <c r="HT42" s="17" t="s">
        <v>870</v>
      </c>
      <c r="HU42" s="17" t="s">
        <v>870</v>
      </c>
      <c r="HV42" s="17" t="s">
        <v>870</v>
      </c>
      <c r="HW42" s="17" t="s">
        <v>870</v>
      </c>
      <c r="HX42" s="17" t="s">
        <v>870</v>
      </c>
      <c r="HY42" s="17" t="s">
        <v>870</v>
      </c>
      <c r="HZ42" s="17" t="s">
        <v>870</v>
      </c>
      <c r="IA42" s="17" t="s">
        <v>870</v>
      </c>
      <c r="IB42" s="17" t="s">
        <v>870</v>
      </c>
      <c r="IC42" s="17" t="s">
        <v>870</v>
      </c>
      <c r="ID42" s="17" t="s">
        <v>870</v>
      </c>
      <c r="IE42" s="17" t="s">
        <v>870</v>
      </c>
      <c r="IF42" s="17" t="s">
        <v>870</v>
      </c>
      <c r="IG42" s="17" t="s">
        <v>870</v>
      </c>
      <c r="IH42" s="17" t="s">
        <v>870</v>
      </c>
      <c r="II42" s="17" t="s">
        <v>870</v>
      </c>
      <c r="IJ42" s="17" t="s">
        <v>870</v>
      </c>
      <c r="IK42" s="17" t="s">
        <v>870</v>
      </c>
      <c r="IL42" s="17" t="s">
        <v>870</v>
      </c>
      <c r="IM42" s="17" t="s">
        <v>870</v>
      </c>
      <c r="IN42" s="17" t="s">
        <v>870</v>
      </c>
      <c r="IO42" s="17" t="s">
        <v>870</v>
      </c>
      <c r="IP42" s="17" t="s">
        <v>870</v>
      </c>
      <c r="IQ42" s="17" t="s">
        <v>870</v>
      </c>
      <c r="IR42" s="17" t="s">
        <v>870</v>
      </c>
      <c r="IS42" s="17" t="s">
        <v>870</v>
      </c>
      <c r="IT42" s="17" t="s">
        <v>870</v>
      </c>
      <c r="IU42" s="17" t="s">
        <v>870</v>
      </c>
      <c r="IV42" s="17" t="s">
        <v>870</v>
      </c>
      <c r="IW42" s="17" t="s">
        <v>870</v>
      </c>
      <c r="IX42" s="17" t="s">
        <v>870</v>
      </c>
      <c r="IY42" s="17" t="s">
        <v>870</v>
      </c>
      <c r="IZ42" s="17" t="s">
        <v>870</v>
      </c>
      <c r="JA42" s="17" t="s">
        <v>870</v>
      </c>
      <c r="JB42" s="17" t="s">
        <v>870</v>
      </c>
      <c r="JC42" s="17" t="s">
        <v>870</v>
      </c>
      <c r="JD42" s="17" t="s">
        <v>870</v>
      </c>
      <c r="JE42" s="17" t="s">
        <v>870</v>
      </c>
      <c r="JF42" s="17" t="s">
        <v>870</v>
      </c>
      <c r="JG42" s="17" t="s">
        <v>870</v>
      </c>
      <c r="JH42" s="17" t="s">
        <v>870</v>
      </c>
      <c r="JI42" s="17" t="s">
        <v>870</v>
      </c>
      <c r="JJ42" s="17" t="s">
        <v>870</v>
      </c>
      <c r="JK42" s="17" t="s">
        <v>870</v>
      </c>
      <c r="JL42" s="17" t="s">
        <v>870</v>
      </c>
      <c r="JM42" s="17" t="s">
        <v>870</v>
      </c>
      <c r="JN42" s="17" t="s">
        <v>870</v>
      </c>
      <c r="JO42" s="17" t="s">
        <v>870</v>
      </c>
      <c r="JP42" s="17" t="s">
        <v>870</v>
      </c>
      <c r="JQ42" s="17" t="s">
        <v>870</v>
      </c>
      <c r="JR42" s="17" t="s">
        <v>870</v>
      </c>
      <c r="JS42" s="17" t="s">
        <v>870</v>
      </c>
      <c r="JT42" s="17" t="s">
        <v>870</v>
      </c>
    </row>
    <row r="43" spans="1:280" x14ac:dyDescent="0.25">
      <c r="A43" t="s">
        <v>231</v>
      </c>
      <c r="B43" s="17" t="s">
        <v>870</v>
      </c>
      <c r="C43" s="17" t="s">
        <v>870</v>
      </c>
      <c r="D43" s="17" t="s">
        <v>870</v>
      </c>
      <c r="E43" s="17" t="s">
        <v>870</v>
      </c>
      <c r="F43" s="17" t="s">
        <v>870</v>
      </c>
      <c r="G43" s="17" t="s">
        <v>870</v>
      </c>
      <c r="H43" s="17" t="s">
        <v>870</v>
      </c>
      <c r="I43" s="17" t="s">
        <v>870</v>
      </c>
      <c r="J43" s="17" t="s">
        <v>870</v>
      </c>
      <c r="K43" s="17" t="s">
        <v>870</v>
      </c>
      <c r="L43" s="17" t="s">
        <v>870</v>
      </c>
      <c r="M43" s="17" t="s">
        <v>870</v>
      </c>
      <c r="N43" s="17" t="s">
        <v>870</v>
      </c>
      <c r="O43" s="17" t="s">
        <v>870</v>
      </c>
      <c r="P43" s="17" t="s">
        <v>870</v>
      </c>
      <c r="Q43" s="17" t="s">
        <v>870</v>
      </c>
      <c r="R43" s="17" t="s">
        <v>870</v>
      </c>
      <c r="S43" s="17" t="s">
        <v>870</v>
      </c>
      <c r="T43" s="17" t="s">
        <v>870</v>
      </c>
      <c r="U43" s="17" t="s">
        <v>870</v>
      </c>
      <c r="V43" s="17" t="s">
        <v>870</v>
      </c>
      <c r="W43" s="17" t="s">
        <v>870</v>
      </c>
      <c r="X43" s="17" t="s">
        <v>870</v>
      </c>
      <c r="Y43" s="17" t="s">
        <v>870</v>
      </c>
      <c r="Z43" s="17" t="s">
        <v>870</v>
      </c>
      <c r="AA43" s="17" t="s">
        <v>870</v>
      </c>
      <c r="AB43" s="17" t="s">
        <v>870</v>
      </c>
      <c r="AC43" s="17" t="s">
        <v>870</v>
      </c>
      <c r="AD43" s="17" t="s">
        <v>870</v>
      </c>
      <c r="AE43" s="17" t="s">
        <v>870</v>
      </c>
      <c r="AF43" s="17" t="s">
        <v>870</v>
      </c>
      <c r="AG43" s="17" t="s">
        <v>870</v>
      </c>
      <c r="AH43" s="17" t="s">
        <v>870</v>
      </c>
      <c r="AI43" s="17" t="s">
        <v>870</v>
      </c>
      <c r="AJ43" s="17" t="s">
        <v>870</v>
      </c>
      <c r="AK43" s="17" t="s">
        <v>870</v>
      </c>
      <c r="AL43" s="17" t="s">
        <v>870</v>
      </c>
      <c r="AM43" s="17" t="s">
        <v>870</v>
      </c>
      <c r="AN43" s="17" t="s">
        <v>870</v>
      </c>
      <c r="AO43" s="17" t="s">
        <v>870</v>
      </c>
      <c r="AP43" s="17" t="s">
        <v>870</v>
      </c>
      <c r="AQ43" s="17" t="s">
        <v>870</v>
      </c>
      <c r="AR43" s="17" t="s">
        <v>870</v>
      </c>
      <c r="AS43" s="17" t="s">
        <v>870</v>
      </c>
      <c r="AT43" s="17" t="s">
        <v>870</v>
      </c>
      <c r="AU43" s="17" t="s">
        <v>870</v>
      </c>
      <c r="AV43" s="17" t="s">
        <v>870</v>
      </c>
      <c r="AW43" s="17" t="s">
        <v>870</v>
      </c>
      <c r="AX43" s="17" t="s">
        <v>870</v>
      </c>
      <c r="AY43" s="17" t="s">
        <v>870</v>
      </c>
      <c r="AZ43" s="17" t="s">
        <v>870</v>
      </c>
      <c r="BA43" s="17" t="s">
        <v>870</v>
      </c>
      <c r="BB43" s="17" t="s">
        <v>870</v>
      </c>
      <c r="BC43" s="17" t="s">
        <v>870</v>
      </c>
      <c r="BD43" s="17" t="s">
        <v>870</v>
      </c>
      <c r="BE43" s="17" t="s">
        <v>870</v>
      </c>
      <c r="BF43" s="17" t="s">
        <v>870</v>
      </c>
      <c r="BG43" s="17" t="s">
        <v>870</v>
      </c>
      <c r="BH43" s="17" t="s">
        <v>870</v>
      </c>
      <c r="BI43" s="17" t="s">
        <v>870</v>
      </c>
      <c r="BJ43" s="17" t="s">
        <v>870</v>
      </c>
      <c r="BK43" s="17" t="s">
        <v>870</v>
      </c>
      <c r="BL43" s="17" t="s">
        <v>870</v>
      </c>
      <c r="BM43" s="17" t="s">
        <v>870</v>
      </c>
      <c r="BN43" s="17" t="s">
        <v>870</v>
      </c>
      <c r="BO43" s="17" t="s">
        <v>870</v>
      </c>
      <c r="BP43" s="17" t="s">
        <v>870</v>
      </c>
      <c r="BQ43" s="17" t="s">
        <v>870</v>
      </c>
      <c r="BR43" s="17" t="s">
        <v>870</v>
      </c>
      <c r="BS43" s="17" t="s">
        <v>870</v>
      </c>
      <c r="BT43" s="17" t="s">
        <v>870</v>
      </c>
      <c r="BU43" s="17" t="s">
        <v>870</v>
      </c>
      <c r="BV43" s="17" t="s">
        <v>870</v>
      </c>
      <c r="BW43" s="17" t="s">
        <v>870</v>
      </c>
      <c r="BX43" s="17" t="s">
        <v>870</v>
      </c>
      <c r="BY43" s="17" t="s">
        <v>870</v>
      </c>
      <c r="BZ43" s="63"/>
      <c r="CA43" s="63"/>
      <c r="CB43" s="63"/>
      <c r="CC43" s="63"/>
      <c r="CD43" s="17" t="s">
        <v>870</v>
      </c>
      <c r="CE43" s="17" t="s">
        <v>870</v>
      </c>
      <c r="CF43" s="17" t="s">
        <v>870</v>
      </c>
      <c r="CG43" s="17" t="s">
        <v>870</v>
      </c>
      <c r="CH43" s="17" t="s">
        <v>870</v>
      </c>
      <c r="CI43" s="17" t="s">
        <v>870</v>
      </c>
      <c r="CJ43" s="17" t="s">
        <v>870</v>
      </c>
      <c r="CK43" s="17" t="s">
        <v>870</v>
      </c>
      <c r="CL43" s="17" t="s">
        <v>870</v>
      </c>
      <c r="CM43" s="17" t="s">
        <v>870</v>
      </c>
      <c r="CN43" s="17" t="s">
        <v>870</v>
      </c>
      <c r="CO43" s="17" t="s">
        <v>870</v>
      </c>
      <c r="CP43" s="17" t="s">
        <v>870</v>
      </c>
      <c r="CQ43" s="17" t="s">
        <v>870</v>
      </c>
      <c r="CR43" s="17" t="s">
        <v>870</v>
      </c>
      <c r="CS43" s="17" t="s">
        <v>870</v>
      </c>
      <c r="CT43" s="17" t="s">
        <v>870</v>
      </c>
      <c r="CU43" s="17" t="s">
        <v>870</v>
      </c>
      <c r="CV43" s="63"/>
      <c r="CW43" s="63"/>
      <c r="CX43" s="63"/>
      <c r="CY43" s="63"/>
      <c r="CZ43" s="17" t="s">
        <v>870</v>
      </c>
      <c r="DA43" s="17" t="s">
        <v>870</v>
      </c>
      <c r="DB43" s="17" t="s">
        <v>870</v>
      </c>
      <c r="DC43" s="17" t="s">
        <v>870</v>
      </c>
      <c r="DD43" s="17" t="s">
        <v>870</v>
      </c>
      <c r="DE43" s="17" t="s">
        <v>870</v>
      </c>
      <c r="DF43" s="17" t="s">
        <v>870</v>
      </c>
      <c r="DG43" s="17" t="s">
        <v>870</v>
      </c>
      <c r="DH43" s="17" t="s">
        <v>870</v>
      </c>
      <c r="DI43" s="17" t="s">
        <v>870</v>
      </c>
      <c r="DJ43" s="17" t="s">
        <v>870</v>
      </c>
      <c r="DK43" s="17" t="s">
        <v>870</v>
      </c>
      <c r="DL43" s="17" t="s">
        <v>870</v>
      </c>
      <c r="DM43" s="17" t="s">
        <v>870</v>
      </c>
      <c r="DN43" s="17" t="s">
        <v>870</v>
      </c>
      <c r="DO43" s="17" t="s">
        <v>870</v>
      </c>
      <c r="DP43" s="17" t="s">
        <v>870</v>
      </c>
      <c r="DQ43" s="17" t="s">
        <v>870</v>
      </c>
      <c r="DR43" s="17" t="s">
        <v>870</v>
      </c>
      <c r="DS43" s="17" t="s">
        <v>870</v>
      </c>
      <c r="DT43" s="17" t="s">
        <v>870</v>
      </c>
      <c r="DU43" s="17" t="s">
        <v>870</v>
      </c>
      <c r="DV43" s="17" t="s">
        <v>870</v>
      </c>
      <c r="DW43" s="17" t="s">
        <v>870</v>
      </c>
      <c r="DX43" s="17" t="s">
        <v>870</v>
      </c>
      <c r="DY43" s="17" t="s">
        <v>870</v>
      </c>
      <c r="DZ43" s="17" t="s">
        <v>870</v>
      </c>
      <c r="EA43" s="17" t="s">
        <v>870</v>
      </c>
      <c r="EB43" s="17" t="s">
        <v>870</v>
      </c>
      <c r="EC43" s="17" t="s">
        <v>870</v>
      </c>
      <c r="ED43" s="17" t="s">
        <v>870</v>
      </c>
      <c r="EE43" s="17" t="s">
        <v>870</v>
      </c>
      <c r="EF43" s="17" t="s">
        <v>870</v>
      </c>
      <c r="EG43" s="17" t="s">
        <v>870</v>
      </c>
      <c r="EH43" s="17" t="s">
        <v>870</v>
      </c>
      <c r="EI43" s="17" t="s">
        <v>870</v>
      </c>
      <c r="EJ43" s="17" t="s">
        <v>870</v>
      </c>
      <c r="EK43" s="17" t="s">
        <v>870</v>
      </c>
      <c r="EL43" s="17" t="s">
        <v>870</v>
      </c>
      <c r="EM43" s="17" t="s">
        <v>870</v>
      </c>
      <c r="EN43" s="17" t="s">
        <v>870</v>
      </c>
      <c r="EO43" s="17" t="s">
        <v>870</v>
      </c>
      <c r="EP43" s="17" t="s">
        <v>870</v>
      </c>
      <c r="EQ43" s="17" t="s">
        <v>870</v>
      </c>
      <c r="ER43" s="17" t="s">
        <v>870</v>
      </c>
      <c r="ES43" s="17" t="s">
        <v>870</v>
      </c>
      <c r="ET43" s="17" t="s">
        <v>870</v>
      </c>
      <c r="EU43" s="17" t="s">
        <v>870</v>
      </c>
      <c r="EV43" s="17" t="s">
        <v>870</v>
      </c>
      <c r="EW43" s="17" t="s">
        <v>870</v>
      </c>
      <c r="EX43" s="17" t="s">
        <v>870</v>
      </c>
      <c r="EY43" s="17" t="s">
        <v>870</v>
      </c>
      <c r="EZ43" s="17" t="s">
        <v>870</v>
      </c>
      <c r="FA43" s="17" t="s">
        <v>870</v>
      </c>
      <c r="FB43" s="17" t="s">
        <v>870</v>
      </c>
      <c r="FC43" s="17" t="s">
        <v>870</v>
      </c>
      <c r="FD43" s="17" t="s">
        <v>870</v>
      </c>
      <c r="FE43" s="17" t="s">
        <v>870</v>
      </c>
      <c r="FF43" s="17" t="s">
        <v>870</v>
      </c>
      <c r="FG43" s="17" t="s">
        <v>870</v>
      </c>
      <c r="FH43" s="17" t="s">
        <v>870</v>
      </c>
      <c r="FI43" s="17" t="s">
        <v>870</v>
      </c>
      <c r="FJ43" s="17" t="s">
        <v>870</v>
      </c>
      <c r="FK43" s="17" t="s">
        <v>870</v>
      </c>
      <c r="FL43" s="17" t="s">
        <v>870</v>
      </c>
      <c r="FM43" s="17" t="s">
        <v>870</v>
      </c>
      <c r="FN43" s="17" t="s">
        <v>870</v>
      </c>
      <c r="FO43" s="17" t="s">
        <v>870</v>
      </c>
      <c r="FP43" s="17" t="s">
        <v>870</v>
      </c>
      <c r="FQ43" s="17" t="s">
        <v>870</v>
      </c>
      <c r="FR43" s="17" t="s">
        <v>870</v>
      </c>
      <c r="FS43" s="17" t="s">
        <v>870</v>
      </c>
      <c r="FT43" s="17" t="s">
        <v>870</v>
      </c>
      <c r="FU43" s="17" t="s">
        <v>870</v>
      </c>
      <c r="FV43" s="17" t="s">
        <v>870</v>
      </c>
      <c r="FW43" s="17" t="s">
        <v>870</v>
      </c>
      <c r="FX43" s="17" t="s">
        <v>870</v>
      </c>
      <c r="FY43" s="17" t="s">
        <v>870</v>
      </c>
      <c r="FZ43" s="17" t="s">
        <v>870</v>
      </c>
      <c r="GA43" s="17" t="s">
        <v>870</v>
      </c>
      <c r="GB43" s="17" t="s">
        <v>870</v>
      </c>
      <c r="GC43" s="17" t="s">
        <v>870</v>
      </c>
      <c r="GD43" s="17" t="s">
        <v>870</v>
      </c>
      <c r="GE43" s="17" t="s">
        <v>870</v>
      </c>
      <c r="GF43" s="17" t="s">
        <v>870</v>
      </c>
      <c r="GG43" s="17" t="s">
        <v>870</v>
      </c>
      <c r="GH43" s="17" t="s">
        <v>870</v>
      </c>
      <c r="GI43" s="17" t="s">
        <v>870</v>
      </c>
      <c r="GJ43" s="17" t="s">
        <v>870</v>
      </c>
      <c r="GK43" s="17" t="s">
        <v>870</v>
      </c>
      <c r="GL43" s="17" t="s">
        <v>870</v>
      </c>
      <c r="GM43" s="17" t="s">
        <v>870</v>
      </c>
      <c r="GN43" s="17" t="s">
        <v>870</v>
      </c>
      <c r="GO43" s="17" t="s">
        <v>870</v>
      </c>
      <c r="GP43" s="17" t="s">
        <v>870</v>
      </c>
      <c r="GQ43" s="17" t="s">
        <v>870</v>
      </c>
      <c r="GR43" s="17" t="s">
        <v>870</v>
      </c>
      <c r="GS43" s="17" t="s">
        <v>870</v>
      </c>
      <c r="GT43" s="17" t="s">
        <v>870</v>
      </c>
      <c r="GU43" s="17" t="s">
        <v>870</v>
      </c>
      <c r="GV43" s="17" t="s">
        <v>870</v>
      </c>
      <c r="GW43" s="17" t="s">
        <v>870</v>
      </c>
      <c r="GX43" s="17" t="s">
        <v>870</v>
      </c>
      <c r="GY43" s="17" t="s">
        <v>870</v>
      </c>
      <c r="GZ43" s="17" t="s">
        <v>870</v>
      </c>
      <c r="HA43" s="17" t="s">
        <v>870</v>
      </c>
      <c r="HB43" s="17" t="s">
        <v>870</v>
      </c>
      <c r="HC43" s="17" t="s">
        <v>870</v>
      </c>
      <c r="HD43" s="17" t="s">
        <v>870</v>
      </c>
      <c r="HE43" s="17" t="s">
        <v>870</v>
      </c>
      <c r="HF43" s="17" t="s">
        <v>870</v>
      </c>
      <c r="HG43" s="17" t="s">
        <v>870</v>
      </c>
      <c r="HH43" s="17" t="s">
        <v>870</v>
      </c>
      <c r="HI43" s="17" t="s">
        <v>870</v>
      </c>
      <c r="HJ43" s="17" t="s">
        <v>870</v>
      </c>
      <c r="HK43" s="17" t="s">
        <v>870</v>
      </c>
      <c r="HL43" s="17" t="s">
        <v>870</v>
      </c>
      <c r="HM43" s="17" t="s">
        <v>870</v>
      </c>
      <c r="HN43" s="17" t="s">
        <v>870</v>
      </c>
      <c r="HO43" s="17" t="s">
        <v>870</v>
      </c>
      <c r="HP43" s="17" t="s">
        <v>870</v>
      </c>
      <c r="HQ43" s="17" t="s">
        <v>870</v>
      </c>
      <c r="HR43" s="17" t="s">
        <v>870</v>
      </c>
      <c r="HS43" s="17" t="s">
        <v>870</v>
      </c>
      <c r="HT43" s="17" t="s">
        <v>870</v>
      </c>
      <c r="HU43" s="17" t="s">
        <v>870</v>
      </c>
      <c r="HV43" s="17" t="s">
        <v>870</v>
      </c>
      <c r="HW43" s="17" t="s">
        <v>870</v>
      </c>
      <c r="HX43" s="17" t="s">
        <v>870</v>
      </c>
      <c r="HY43" s="17" t="s">
        <v>870</v>
      </c>
      <c r="HZ43" s="17" t="s">
        <v>870</v>
      </c>
      <c r="IA43" s="17" t="s">
        <v>870</v>
      </c>
      <c r="IB43" s="17" t="s">
        <v>870</v>
      </c>
      <c r="IC43" s="17" t="s">
        <v>870</v>
      </c>
      <c r="ID43" s="17" t="s">
        <v>870</v>
      </c>
      <c r="IE43" s="17" t="s">
        <v>870</v>
      </c>
      <c r="IF43" s="17" t="s">
        <v>870</v>
      </c>
      <c r="IG43" s="17" t="s">
        <v>870</v>
      </c>
      <c r="IH43" s="17" t="s">
        <v>870</v>
      </c>
      <c r="II43" s="17" t="s">
        <v>870</v>
      </c>
      <c r="IJ43" s="17" t="s">
        <v>870</v>
      </c>
      <c r="IK43" s="17" t="s">
        <v>870</v>
      </c>
      <c r="IL43" s="17" t="s">
        <v>870</v>
      </c>
      <c r="IM43" s="17" t="s">
        <v>870</v>
      </c>
      <c r="IN43" s="17" t="s">
        <v>870</v>
      </c>
      <c r="IO43" s="17" t="s">
        <v>870</v>
      </c>
      <c r="IP43" s="17" t="s">
        <v>870</v>
      </c>
      <c r="IQ43" s="17" t="s">
        <v>870</v>
      </c>
      <c r="IR43" s="17" t="s">
        <v>870</v>
      </c>
      <c r="IS43" s="17" t="s">
        <v>870</v>
      </c>
      <c r="IT43" s="17" t="s">
        <v>870</v>
      </c>
      <c r="IU43" s="17" t="s">
        <v>870</v>
      </c>
      <c r="IV43" s="17" t="s">
        <v>870</v>
      </c>
      <c r="IW43" s="17" t="s">
        <v>870</v>
      </c>
      <c r="IX43" s="17" t="s">
        <v>870</v>
      </c>
      <c r="IY43" s="17" t="s">
        <v>870</v>
      </c>
      <c r="IZ43" s="17" t="s">
        <v>870</v>
      </c>
      <c r="JA43" s="17" t="s">
        <v>870</v>
      </c>
      <c r="JB43" s="17" t="s">
        <v>870</v>
      </c>
      <c r="JC43" s="17" t="s">
        <v>870</v>
      </c>
      <c r="JD43" s="17" t="s">
        <v>870</v>
      </c>
      <c r="JE43" s="17" t="s">
        <v>870</v>
      </c>
      <c r="JF43" s="17" t="s">
        <v>870</v>
      </c>
      <c r="JG43" s="17" t="s">
        <v>870</v>
      </c>
      <c r="JH43" s="17" t="s">
        <v>870</v>
      </c>
      <c r="JI43" s="17" t="s">
        <v>870</v>
      </c>
      <c r="JJ43" s="17" t="s">
        <v>870</v>
      </c>
      <c r="JK43" s="17" t="s">
        <v>870</v>
      </c>
      <c r="JL43" s="17" t="s">
        <v>870</v>
      </c>
      <c r="JM43" s="17" t="s">
        <v>870</v>
      </c>
      <c r="JN43" s="17" t="s">
        <v>870</v>
      </c>
      <c r="JO43" s="17" t="s">
        <v>870</v>
      </c>
      <c r="JP43" s="17" t="s">
        <v>870</v>
      </c>
      <c r="JQ43" s="17" t="s">
        <v>870</v>
      </c>
      <c r="JR43" s="17" t="s">
        <v>870</v>
      </c>
      <c r="JS43" s="17" t="s">
        <v>870</v>
      </c>
      <c r="JT43" s="17" t="s">
        <v>870</v>
      </c>
    </row>
    <row r="44" spans="1:280" x14ac:dyDescent="0.25">
      <c r="A44" t="s">
        <v>35</v>
      </c>
      <c r="B44" s="17" t="s">
        <v>870</v>
      </c>
      <c r="C44" s="17" t="s">
        <v>870</v>
      </c>
      <c r="D44" s="17" t="s">
        <v>870</v>
      </c>
      <c r="E44" s="17" t="s">
        <v>870</v>
      </c>
      <c r="F44" s="17" t="s">
        <v>870</v>
      </c>
      <c r="G44" s="17" t="s">
        <v>870</v>
      </c>
      <c r="H44" s="17" t="s">
        <v>870</v>
      </c>
      <c r="I44" s="17" t="s">
        <v>870</v>
      </c>
      <c r="J44" s="17" t="s">
        <v>870</v>
      </c>
      <c r="K44" s="17" t="s">
        <v>870</v>
      </c>
      <c r="L44" s="17" t="s">
        <v>870</v>
      </c>
      <c r="M44" s="17" t="s">
        <v>870</v>
      </c>
      <c r="N44" s="17" t="s">
        <v>870</v>
      </c>
      <c r="O44" s="17" t="s">
        <v>870</v>
      </c>
      <c r="P44" s="17" t="s">
        <v>870</v>
      </c>
      <c r="Q44" s="17" t="s">
        <v>870</v>
      </c>
      <c r="R44" s="17" t="s">
        <v>870</v>
      </c>
      <c r="S44" s="17" t="s">
        <v>870</v>
      </c>
      <c r="T44" s="17" t="s">
        <v>870</v>
      </c>
      <c r="U44" s="17" t="s">
        <v>870</v>
      </c>
      <c r="V44" s="17" t="s">
        <v>870</v>
      </c>
      <c r="W44" s="17" t="s">
        <v>870</v>
      </c>
      <c r="X44" s="17" t="s">
        <v>870</v>
      </c>
      <c r="Y44" s="17" t="s">
        <v>870</v>
      </c>
      <c r="Z44" s="17" t="s">
        <v>870</v>
      </c>
      <c r="AA44" s="17" t="s">
        <v>870</v>
      </c>
      <c r="AB44" s="17" t="s">
        <v>870</v>
      </c>
      <c r="AC44" s="17" t="s">
        <v>870</v>
      </c>
      <c r="AD44" s="17" t="s">
        <v>870</v>
      </c>
      <c r="AE44" s="17" t="s">
        <v>870</v>
      </c>
      <c r="AF44" s="17" t="s">
        <v>870</v>
      </c>
      <c r="AG44" s="17" t="s">
        <v>870</v>
      </c>
      <c r="AH44" s="17" t="s">
        <v>870</v>
      </c>
      <c r="AI44" s="17" t="s">
        <v>870</v>
      </c>
      <c r="AJ44" s="17" t="s">
        <v>870</v>
      </c>
      <c r="AK44" s="17" t="s">
        <v>870</v>
      </c>
      <c r="AL44" s="17" t="s">
        <v>870</v>
      </c>
      <c r="AM44" s="17" t="s">
        <v>870</v>
      </c>
      <c r="AN44" s="17" t="s">
        <v>870</v>
      </c>
      <c r="AO44" s="17" t="s">
        <v>870</v>
      </c>
      <c r="AP44" s="17" t="s">
        <v>870</v>
      </c>
      <c r="AQ44" s="17" t="s">
        <v>870</v>
      </c>
      <c r="AR44" s="17" t="s">
        <v>870</v>
      </c>
      <c r="AS44" s="17" t="s">
        <v>870</v>
      </c>
      <c r="AT44" s="17" t="s">
        <v>870</v>
      </c>
      <c r="AU44" s="17" t="s">
        <v>870</v>
      </c>
      <c r="AV44" s="17" t="s">
        <v>870</v>
      </c>
      <c r="AW44" s="17" t="s">
        <v>870</v>
      </c>
      <c r="AX44" s="17" t="s">
        <v>870</v>
      </c>
      <c r="AY44" s="17" t="s">
        <v>870</v>
      </c>
      <c r="AZ44" s="17" t="s">
        <v>870</v>
      </c>
      <c r="BA44" s="17" t="s">
        <v>870</v>
      </c>
      <c r="BB44" s="17" t="s">
        <v>870</v>
      </c>
      <c r="BC44" s="17" t="s">
        <v>870</v>
      </c>
      <c r="BD44" s="17" t="s">
        <v>870</v>
      </c>
      <c r="BE44" s="17" t="s">
        <v>870</v>
      </c>
      <c r="BF44" s="17" t="s">
        <v>870</v>
      </c>
      <c r="BG44" s="17" t="s">
        <v>870</v>
      </c>
      <c r="BH44" s="17" t="s">
        <v>870</v>
      </c>
      <c r="BI44" s="17" t="s">
        <v>870</v>
      </c>
      <c r="BJ44" s="17" t="s">
        <v>870</v>
      </c>
      <c r="BK44" s="17" t="s">
        <v>870</v>
      </c>
      <c r="BL44" s="17" t="s">
        <v>870</v>
      </c>
      <c r="BM44" s="17" t="s">
        <v>870</v>
      </c>
      <c r="BN44" s="17" t="s">
        <v>870</v>
      </c>
      <c r="BO44" s="17" t="s">
        <v>870</v>
      </c>
      <c r="BP44" s="17" t="s">
        <v>870</v>
      </c>
      <c r="BQ44" s="17" t="s">
        <v>870</v>
      </c>
      <c r="BR44" s="17" t="s">
        <v>870</v>
      </c>
      <c r="BS44" s="17" t="s">
        <v>870</v>
      </c>
      <c r="BT44" s="17" t="s">
        <v>870</v>
      </c>
      <c r="BU44" s="17" t="s">
        <v>870</v>
      </c>
      <c r="BV44" s="17" t="s">
        <v>870</v>
      </c>
      <c r="BW44" s="17" t="s">
        <v>870</v>
      </c>
      <c r="BX44" s="17" t="s">
        <v>870</v>
      </c>
      <c r="BY44" s="17" t="s">
        <v>870</v>
      </c>
      <c r="BZ44" s="17" t="s">
        <v>870</v>
      </c>
      <c r="CA44" s="17" t="s">
        <v>870</v>
      </c>
      <c r="CB44" s="17" t="s">
        <v>870</v>
      </c>
      <c r="CC44" s="17" t="s">
        <v>870</v>
      </c>
      <c r="CD44" s="17" t="s">
        <v>870</v>
      </c>
      <c r="CE44" s="17" t="s">
        <v>870</v>
      </c>
      <c r="CF44" s="17" t="s">
        <v>870</v>
      </c>
      <c r="CG44" s="17" t="s">
        <v>870</v>
      </c>
      <c r="CH44" s="17" t="s">
        <v>870</v>
      </c>
      <c r="CI44" s="17" t="s">
        <v>870</v>
      </c>
      <c r="CJ44" s="17" t="s">
        <v>870</v>
      </c>
      <c r="CK44" s="17" t="s">
        <v>870</v>
      </c>
      <c r="CL44" s="17" t="s">
        <v>870</v>
      </c>
      <c r="CM44" s="17" t="s">
        <v>870</v>
      </c>
      <c r="CN44" s="17" t="s">
        <v>870</v>
      </c>
      <c r="CO44" s="17" t="s">
        <v>870</v>
      </c>
      <c r="CP44" s="17" t="s">
        <v>870</v>
      </c>
      <c r="CQ44" s="17" t="s">
        <v>870</v>
      </c>
      <c r="CR44" s="17" t="s">
        <v>870</v>
      </c>
      <c r="CS44" s="17" t="s">
        <v>870</v>
      </c>
      <c r="CT44" s="17" t="s">
        <v>870</v>
      </c>
      <c r="CU44" s="17" t="s">
        <v>870</v>
      </c>
      <c r="CV44" s="17" t="s">
        <v>870</v>
      </c>
      <c r="CW44" s="17" t="s">
        <v>870</v>
      </c>
      <c r="CX44" s="17" t="s">
        <v>870</v>
      </c>
      <c r="CY44" s="17" t="s">
        <v>870</v>
      </c>
      <c r="CZ44" s="17" t="s">
        <v>870</v>
      </c>
      <c r="DA44" s="17" t="s">
        <v>870</v>
      </c>
      <c r="DB44" s="17" t="s">
        <v>870</v>
      </c>
      <c r="DC44" s="17" t="s">
        <v>870</v>
      </c>
      <c r="DD44" s="17" t="s">
        <v>870</v>
      </c>
      <c r="DE44" s="17" t="s">
        <v>870</v>
      </c>
      <c r="DF44" s="17" t="s">
        <v>870</v>
      </c>
      <c r="DG44" s="17" t="s">
        <v>870</v>
      </c>
      <c r="DH44" s="63"/>
      <c r="DI44" s="63"/>
      <c r="DJ44" s="17" t="s">
        <v>870</v>
      </c>
      <c r="DK44" s="17" t="s">
        <v>870</v>
      </c>
      <c r="DL44" s="17" t="s">
        <v>870</v>
      </c>
      <c r="DM44" s="17" t="s">
        <v>870</v>
      </c>
      <c r="DN44" s="17" t="s">
        <v>870</v>
      </c>
      <c r="DO44" s="17" t="s">
        <v>870</v>
      </c>
      <c r="DP44" s="63"/>
      <c r="DQ44" s="63"/>
      <c r="DR44" s="17" t="s">
        <v>870</v>
      </c>
      <c r="DS44" s="17" t="s">
        <v>870</v>
      </c>
      <c r="DT44" s="17" t="s">
        <v>870</v>
      </c>
      <c r="DU44" s="17" t="s">
        <v>870</v>
      </c>
      <c r="DV44" s="17" t="s">
        <v>870</v>
      </c>
      <c r="DW44" s="17" t="s">
        <v>870</v>
      </c>
      <c r="DX44" s="17" t="s">
        <v>870</v>
      </c>
      <c r="DY44" s="17" t="s">
        <v>870</v>
      </c>
      <c r="DZ44" s="17" t="s">
        <v>870</v>
      </c>
      <c r="EA44" s="17" t="s">
        <v>870</v>
      </c>
      <c r="EB44" s="17" t="s">
        <v>870</v>
      </c>
      <c r="EC44" s="17" t="s">
        <v>870</v>
      </c>
      <c r="ED44" s="17" t="s">
        <v>870</v>
      </c>
      <c r="EE44" s="17" t="s">
        <v>870</v>
      </c>
      <c r="EF44" s="17" t="s">
        <v>870</v>
      </c>
      <c r="EG44" s="17" t="s">
        <v>870</v>
      </c>
      <c r="EH44" s="17" t="s">
        <v>870</v>
      </c>
      <c r="EI44" s="17" t="s">
        <v>870</v>
      </c>
      <c r="EJ44" s="17" t="s">
        <v>870</v>
      </c>
      <c r="EK44" s="17" t="s">
        <v>870</v>
      </c>
      <c r="EL44" s="17" t="s">
        <v>870</v>
      </c>
      <c r="EM44" s="17" t="s">
        <v>870</v>
      </c>
      <c r="EN44" s="17" t="s">
        <v>870</v>
      </c>
      <c r="EO44" s="17" t="s">
        <v>870</v>
      </c>
      <c r="EP44" s="17" t="s">
        <v>870</v>
      </c>
      <c r="EQ44" s="17" t="s">
        <v>870</v>
      </c>
      <c r="ER44" s="17" t="s">
        <v>870</v>
      </c>
      <c r="ES44" s="17" t="s">
        <v>870</v>
      </c>
      <c r="ET44" s="17" t="s">
        <v>870</v>
      </c>
      <c r="EU44" s="17" t="s">
        <v>870</v>
      </c>
      <c r="EV44" s="17" t="s">
        <v>870</v>
      </c>
      <c r="EW44" s="17" t="s">
        <v>870</v>
      </c>
      <c r="EX44" s="17" t="s">
        <v>870</v>
      </c>
      <c r="EY44" s="17" t="s">
        <v>870</v>
      </c>
      <c r="EZ44" s="17" t="s">
        <v>870</v>
      </c>
      <c r="FA44" s="17" t="s">
        <v>870</v>
      </c>
      <c r="FB44" s="17" t="s">
        <v>870</v>
      </c>
      <c r="FC44" s="17" t="s">
        <v>870</v>
      </c>
      <c r="FD44" s="17" t="s">
        <v>870</v>
      </c>
      <c r="FE44" s="17" t="s">
        <v>870</v>
      </c>
      <c r="FF44" s="17" t="s">
        <v>870</v>
      </c>
      <c r="FG44" s="17" t="s">
        <v>870</v>
      </c>
      <c r="FH44" s="17" t="s">
        <v>870</v>
      </c>
      <c r="FI44" s="17" t="s">
        <v>870</v>
      </c>
      <c r="FJ44" s="17" t="s">
        <v>870</v>
      </c>
      <c r="FK44" s="17" t="s">
        <v>870</v>
      </c>
      <c r="FL44" s="17" t="s">
        <v>870</v>
      </c>
      <c r="FM44" s="17" t="s">
        <v>870</v>
      </c>
      <c r="FN44" s="17" t="s">
        <v>870</v>
      </c>
      <c r="FO44" s="17" t="s">
        <v>870</v>
      </c>
      <c r="FP44" s="17" t="s">
        <v>870</v>
      </c>
      <c r="FQ44" s="17" t="s">
        <v>870</v>
      </c>
      <c r="FR44" s="17" t="s">
        <v>870</v>
      </c>
      <c r="FS44" s="17" t="s">
        <v>870</v>
      </c>
      <c r="FT44" s="17" t="s">
        <v>870</v>
      </c>
      <c r="FU44" s="17" t="s">
        <v>870</v>
      </c>
      <c r="FV44" s="17" t="s">
        <v>870</v>
      </c>
      <c r="FW44" s="17" t="s">
        <v>870</v>
      </c>
      <c r="FX44" s="17" t="s">
        <v>870</v>
      </c>
      <c r="FY44" s="17" t="s">
        <v>870</v>
      </c>
      <c r="FZ44" s="17" t="s">
        <v>870</v>
      </c>
      <c r="GA44" s="17" t="s">
        <v>870</v>
      </c>
      <c r="GB44" s="17" t="s">
        <v>870</v>
      </c>
      <c r="GC44" s="17" t="s">
        <v>870</v>
      </c>
      <c r="GD44" s="17" t="s">
        <v>870</v>
      </c>
      <c r="GE44" s="17" t="s">
        <v>870</v>
      </c>
      <c r="GF44" s="17" t="s">
        <v>870</v>
      </c>
      <c r="GG44" s="17" t="s">
        <v>870</v>
      </c>
      <c r="GH44" s="17" t="s">
        <v>870</v>
      </c>
      <c r="GI44" s="17" t="s">
        <v>870</v>
      </c>
      <c r="GJ44" s="17" t="s">
        <v>870</v>
      </c>
      <c r="GK44" s="17" t="s">
        <v>870</v>
      </c>
      <c r="GL44" s="17" t="s">
        <v>870</v>
      </c>
      <c r="GM44" s="17" t="s">
        <v>870</v>
      </c>
      <c r="GN44" s="17" t="s">
        <v>870</v>
      </c>
      <c r="GO44" s="17" t="s">
        <v>870</v>
      </c>
      <c r="GP44" s="17" t="s">
        <v>870</v>
      </c>
      <c r="GQ44" s="17" t="s">
        <v>870</v>
      </c>
      <c r="GR44" s="17" t="s">
        <v>870</v>
      </c>
      <c r="GS44" s="17" t="s">
        <v>870</v>
      </c>
      <c r="GT44" s="17" t="s">
        <v>870</v>
      </c>
      <c r="GU44" s="17" t="s">
        <v>870</v>
      </c>
      <c r="GV44" s="17" t="s">
        <v>870</v>
      </c>
      <c r="GW44" s="17" t="s">
        <v>870</v>
      </c>
      <c r="GX44" s="17" t="s">
        <v>870</v>
      </c>
      <c r="GY44" s="17" t="s">
        <v>870</v>
      </c>
      <c r="GZ44" s="17" t="s">
        <v>870</v>
      </c>
      <c r="HA44" s="17" t="s">
        <v>870</v>
      </c>
      <c r="HB44" s="17" t="s">
        <v>870</v>
      </c>
      <c r="HC44" s="17" t="s">
        <v>870</v>
      </c>
      <c r="HD44" s="17" t="s">
        <v>870</v>
      </c>
      <c r="HE44" s="17" t="s">
        <v>870</v>
      </c>
      <c r="HF44" s="17" t="s">
        <v>870</v>
      </c>
      <c r="HG44" s="17" t="s">
        <v>870</v>
      </c>
      <c r="HH44" s="17" t="s">
        <v>870</v>
      </c>
      <c r="HI44" s="17" t="s">
        <v>870</v>
      </c>
      <c r="HJ44" s="17" t="s">
        <v>870</v>
      </c>
      <c r="HK44" s="17" t="s">
        <v>870</v>
      </c>
      <c r="HL44" s="17" t="s">
        <v>870</v>
      </c>
      <c r="HM44" s="17" t="s">
        <v>870</v>
      </c>
      <c r="HN44" s="17" t="s">
        <v>870</v>
      </c>
      <c r="HO44" s="17" t="s">
        <v>870</v>
      </c>
      <c r="HP44" s="17" t="s">
        <v>870</v>
      </c>
      <c r="HQ44" s="17" t="s">
        <v>870</v>
      </c>
      <c r="HR44" s="17" t="s">
        <v>870</v>
      </c>
      <c r="HS44" s="17" t="s">
        <v>870</v>
      </c>
      <c r="HT44" s="17" t="s">
        <v>870</v>
      </c>
      <c r="HU44" s="17" t="s">
        <v>870</v>
      </c>
      <c r="HV44" s="17" t="s">
        <v>870</v>
      </c>
      <c r="HW44" s="17" t="s">
        <v>870</v>
      </c>
      <c r="HX44" s="17" t="s">
        <v>870</v>
      </c>
      <c r="HY44" s="17" t="s">
        <v>870</v>
      </c>
      <c r="HZ44" s="17" t="s">
        <v>870</v>
      </c>
      <c r="IA44" s="17" t="s">
        <v>870</v>
      </c>
      <c r="IB44" s="17" t="s">
        <v>870</v>
      </c>
      <c r="IC44" s="17" t="s">
        <v>870</v>
      </c>
      <c r="ID44" s="17" t="s">
        <v>870</v>
      </c>
      <c r="IE44" s="17" t="s">
        <v>870</v>
      </c>
      <c r="IF44" s="17" t="s">
        <v>870</v>
      </c>
      <c r="IG44" s="17" t="s">
        <v>870</v>
      </c>
      <c r="IH44" s="17" t="s">
        <v>870</v>
      </c>
      <c r="II44" s="17" t="s">
        <v>870</v>
      </c>
      <c r="IJ44" s="17" t="s">
        <v>870</v>
      </c>
      <c r="IK44" s="17" t="s">
        <v>870</v>
      </c>
      <c r="IL44" s="17" t="s">
        <v>870</v>
      </c>
      <c r="IM44" s="17" t="s">
        <v>870</v>
      </c>
      <c r="IN44" s="17" t="s">
        <v>870</v>
      </c>
      <c r="IO44" s="17" t="s">
        <v>870</v>
      </c>
      <c r="IP44" s="17" t="s">
        <v>870</v>
      </c>
      <c r="IQ44" s="17" t="s">
        <v>870</v>
      </c>
      <c r="IR44" s="17" t="s">
        <v>870</v>
      </c>
      <c r="IS44" s="17" t="s">
        <v>870</v>
      </c>
      <c r="IT44" s="17" t="s">
        <v>870</v>
      </c>
      <c r="IU44" s="17" t="s">
        <v>870</v>
      </c>
      <c r="IV44" s="17" t="s">
        <v>870</v>
      </c>
      <c r="IW44" s="17" t="s">
        <v>870</v>
      </c>
      <c r="IX44" s="17" t="s">
        <v>870</v>
      </c>
      <c r="IY44" s="17" t="s">
        <v>870</v>
      </c>
      <c r="IZ44" s="17" t="s">
        <v>870</v>
      </c>
      <c r="JA44" s="17" t="s">
        <v>870</v>
      </c>
      <c r="JB44" s="17" t="s">
        <v>870</v>
      </c>
      <c r="JC44" s="17" t="s">
        <v>870</v>
      </c>
      <c r="JD44" s="17" t="s">
        <v>870</v>
      </c>
      <c r="JE44" s="17" t="s">
        <v>870</v>
      </c>
      <c r="JF44" s="17" t="s">
        <v>870</v>
      </c>
      <c r="JG44" s="17" t="s">
        <v>870</v>
      </c>
      <c r="JH44" s="17" t="s">
        <v>870</v>
      </c>
      <c r="JI44" s="17" t="s">
        <v>870</v>
      </c>
      <c r="JJ44" s="17" t="s">
        <v>870</v>
      </c>
      <c r="JK44" s="17" t="s">
        <v>870</v>
      </c>
      <c r="JL44" s="17" t="s">
        <v>870</v>
      </c>
      <c r="JM44" s="17" t="s">
        <v>870</v>
      </c>
      <c r="JN44" s="17" t="s">
        <v>870</v>
      </c>
      <c r="JO44" s="17" t="s">
        <v>870</v>
      </c>
      <c r="JP44" s="17" t="s">
        <v>870</v>
      </c>
      <c r="JQ44" s="17" t="s">
        <v>870</v>
      </c>
      <c r="JR44" s="17" t="s">
        <v>870</v>
      </c>
      <c r="JS44" s="17" t="s">
        <v>870</v>
      </c>
      <c r="JT44" s="17" t="s">
        <v>870</v>
      </c>
    </row>
    <row r="45" spans="1:280" x14ac:dyDescent="0.25">
      <c r="A45" t="s">
        <v>294</v>
      </c>
      <c r="B45" s="17" t="s">
        <v>870</v>
      </c>
      <c r="C45" s="17" t="s">
        <v>870</v>
      </c>
      <c r="D45" s="17" t="s">
        <v>870</v>
      </c>
      <c r="E45" s="17" t="s">
        <v>870</v>
      </c>
      <c r="F45" s="17" t="s">
        <v>870</v>
      </c>
      <c r="G45" s="17" t="s">
        <v>870</v>
      </c>
      <c r="H45" s="17" t="s">
        <v>870</v>
      </c>
      <c r="I45" s="17" t="s">
        <v>870</v>
      </c>
      <c r="J45" s="17" t="s">
        <v>870</v>
      </c>
      <c r="K45" s="17" t="s">
        <v>870</v>
      </c>
      <c r="L45" s="17" t="s">
        <v>870</v>
      </c>
      <c r="M45" s="17" t="s">
        <v>870</v>
      </c>
      <c r="N45" s="17" t="s">
        <v>870</v>
      </c>
      <c r="O45" s="17" t="s">
        <v>870</v>
      </c>
      <c r="P45" s="17" t="s">
        <v>870</v>
      </c>
      <c r="Q45" s="17" t="s">
        <v>870</v>
      </c>
      <c r="R45" s="17" t="s">
        <v>870</v>
      </c>
      <c r="S45" s="17" t="s">
        <v>870</v>
      </c>
      <c r="T45" s="17" t="s">
        <v>870</v>
      </c>
      <c r="U45" s="17" t="s">
        <v>870</v>
      </c>
      <c r="V45" s="17" t="s">
        <v>870</v>
      </c>
      <c r="W45" s="17" t="s">
        <v>870</v>
      </c>
      <c r="X45" s="17" t="s">
        <v>870</v>
      </c>
      <c r="Y45" s="17" t="s">
        <v>870</v>
      </c>
      <c r="Z45" s="17" t="s">
        <v>870</v>
      </c>
      <c r="AA45" s="17" t="s">
        <v>870</v>
      </c>
      <c r="AB45" s="17" t="s">
        <v>870</v>
      </c>
      <c r="AC45" s="17" t="s">
        <v>870</v>
      </c>
      <c r="AD45" s="17" t="s">
        <v>870</v>
      </c>
      <c r="AE45" s="17" t="s">
        <v>870</v>
      </c>
      <c r="AF45" s="17" t="s">
        <v>870</v>
      </c>
      <c r="AG45" s="17" t="s">
        <v>870</v>
      </c>
      <c r="AH45" s="17" t="s">
        <v>870</v>
      </c>
      <c r="AI45" s="17" t="s">
        <v>870</v>
      </c>
      <c r="AJ45" s="17" t="s">
        <v>870</v>
      </c>
      <c r="AK45" s="17" t="s">
        <v>870</v>
      </c>
      <c r="AL45" s="17" t="s">
        <v>870</v>
      </c>
      <c r="AM45" s="17" t="s">
        <v>870</v>
      </c>
      <c r="AN45" s="17" t="s">
        <v>870</v>
      </c>
      <c r="AO45" s="17" t="s">
        <v>870</v>
      </c>
      <c r="AP45" s="17" t="s">
        <v>870</v>
      </c>
      <c r="AQ45" s="17" t="s">
        <v>870</v>
      </c>
      <c r="AR45" s="17" t="s">
        <v>870</v>
      </c>
      <c r="AS45" s="17" t="s">
        <v>870</v>
      </c>
      <c r="AT45" s="17" t="s">
        <v>870</v>
      </c>
      <c r="AU45" s="17" t="s">
        <v>870</v>
      </c>
      <c r="AV45" s="17" t="s">
        <v>870</v>
      </c>
      <c r="AW45" s="17" t="s">
        <v>870</v>
      </c>
      <c r="AX45" s="17" t="s">
        <v>870</v>
      </c>
      <c r="AY45" s="17" t="s">
        <v>870</v>
      </c>
      <c r="AZ45" s="17" t="s">
        <v>870</v>
      </c>
      <c r="BA45" s="17" t="s">
        <v>870</v>
      </c>
      <c r="BB45" s="17" t="s">
        <v>870</v>
      </c>
      <c r="BC45" s="17" t="s">
        <v>870</v>
      </c>
      <c r="BD45" s="17" t="s">
        <v>870</v>
      </c>
      <c r="BE45" s="17" t="s">
        <v>870</v>
      </c>
      <c r="BF45" s="17" t="s">
        <v>870</v>
      </c>
      <c r="BG45" s="17" t="s">
        <v>870</v>
      </c>
      <c r="BH45" s="17" t="s">
        <v>870</v>
      </c>
      <c r="BI45" s="17" t="s">
        <v>870</v>
      </c>
      <c r="BJ45" s="17" t="s">
        <v>870</v>
      </c>
      <c r="BK45" s="17" t="s">
        <v>870</v>
      </c>
      <c r="BL45" s="17" t="s">
        <v>870</v>
      </c>
      <c r="BM45" s="17" t="s">
        <v>870</v>
      </c>
      <c r="BN45" s="17" t="s">
        <v>870</v>
      </c>
      <c r="BO45" s="17" t="s">
        <v>870</v>
      </c>
      <c r="BP45" s="17" t="s">
        <v>870</v>
      </c>
      <c r="BQ45" s="17" t="s">
        <v>870</v>
      </c>
      <c r="BR45" s="17" t="s">
        <v>870</v>
      </c>
      <c r="BS45" s="17" t="s">
        <v>870</v>
      </c>
      <c r="BT45" s="17" t="s">
        <v>870</v>
      </c>
      <c r="BU45" s="17" t="s">
        <v>870</v>
      </c>
      <c r="BV45" s="17" t="s">
        <v>870</v>
      </c>
      <c r="BW45" s="17" t="s">
        <v>870</v>
      </c>
      <c r="BX45" s="17" t="s">
        <v>870</v>
      </c>
      <c r="BY45" s="17" t="s">
        <v>870</v>
      </c>
      <c r="BZ45" s="17" t="s">
        <v>870</v>
      </c>
      <c r="CA45" s="17" t="s">
        <v>870</v>
      </c>
      <c r="CB45" s="17" t="s">
        <v>870</v>
      </c>
      <c r="CC45" s="17" t="s">
        <v>870</v>
      </c>
      <c r="CD45" s="17" t="s">
        <v>870</v>
      </c>
      <c r="CE45" s="17" t="s">
        <v>870</v>
      </c>
      <c r="CF45" s="17" t="s">
        <v>870</v>
      </c>
      <c r="CG45" s="17" t="s">
        <v>870</v>
      </c>
      <c r="CH45" s="17" t="s">
        <v>870</v>
      </c>
      <c r="CI45" s="17" t="s">
        <v>870</v>
      </c>
      <c r="CJ45" s="17" t="s">
        <v>870</v>
      </c>
      <c r="CK45" s="17" t="s">
        <v>870</v>
      </c>
      <c r="CL45" s="17" t="s">
        <v>870</v>
      </c>
      <c r="CM45" s="17" t="s">
        <v>870</v>
      </c>
      <c r="CN45" s="17" t="s">
        <v>870</v>
      </c>
      <c r="CO45" s="17" t="s">
        <v>870</v>
      </c>
      <c r="CP45" s="17" t="s">
        <v>870</v>
      </c>
      <c r="CQ45" s="17" t="s">
        <v>870</v>
      </c>
      <c r="CR45" s="17" t="s">
        <v>870</v>
      </c>
      <c r="CS45" s="17" t="s">
        <v>870</v>
      </c>
      <c r="CT45" s="17" t="s">
        <v>870</v>
      </c>
      <c r="CU45" s="17" t="s">
        <v>870</v>
      </c>
      <c r="CV45" s="17" t="s">
        <v>870</v>
      </c>
      <c r="CW45" s="17" t="s">
        <v>870</v>
      </c>
      <c r="CX45" s="17" t="s">
        <v>870</v>
      </c>
      <c r="CY45" s="17" t="s">
        <v>870</v>
      </c>
      <c r="CZ45" s="17" t="s">
        <v>870</v>
      </c>
      <c r="DA45" s="17" t="s">
        <v>870</v>
      </c>
      <c r="DB45" s="17" t="s">
        <v>870</v>
      </c>
      <c r="DC45" s="17" t="s">
        <v>870</v>
      </c>
      <c r="DD45" s="17" t="s">
        <v>870</v>
      </c>
      <c r="DE45" s="17" t="s">
        <v>870</v>
      </c>
      <c r="DF45" s="17" t="s">
        <v>870</v>
      </c>
      <c r="DG45" s="17" t="s">
        <v>870</v>
      </c>
      <c r="DH45" s="17" t="s">
        <v>870</v>
      </c>
      <c r="DI45" s="17" t="s">
        <v>870</v>
      </c>
      <c r="DJ45" s="17" t="s">
        <v>870</v>
      </c>
      <c r="DK45" s="17" t="s">
        <v>870</v>
      </c>
      <c r="DL45" s="17" t="s">
        <v>870</v>
      </c>
      <c r="DM45" s="17" t="s">
        <v>870</v>
      </c>
      <c r="DN45" s="17" t="s">
        <v>870</v>
      </c>
      <c r="DO45" s="17" t="s">
        <v>870</v>
      </c>
      <c r="DP45" s="17" t="s">
        <v>870</v>
      </c>
      <c r="DQ45" s="17" t="s">
        <v>870</v>
      </c>
      <c r="DR45" s="17" t="s">
        <v>870</v>
      </c>
      <c r="DS45" s="17" t="s">
        <v>870</v>
      </c>
      <c r="DT45" s="17" t="s">
        <v>870</v>
      </c>
      <c r="DU45" s="17" t="s">
        <v>870</v>
      </c>
      <c r="DV45" s="17" t="s">
        <v>870</v>
      </c>
      <c r="DW45" s="17" t="s">
        <v>870</v>
      </c>
      <c r="DX45" s="17" t="s">
        <v>870</v>
      </c>
      <c r="DY45" s="17" t="s">
        <v>870</v>
      </c>
      <c r="DZ45" s="17" t="s">
        <v>870</v>
      </c>
      <c r="EA45" s="17" t="s">
        <v>870</v>
      </c>
      <c r="EB45" s="17" t="s">
        <v>870</v>
      </c>
      <c r="EC45" s="17" t="s">
        <v>870</v>
      </c>
      <c r="ED45" s="17" t="s">
        <v>870</v>
      </c>
      <c r="EE45" s="17" t="s">
        <v>870</v>
      </c>
      <c r="EF45" s="17" t="s">
        <v>870</v>
      </c>
      <c r="EG45" s="17" t="s">
        <v>870</v>
      </c>
      <c r="EH45" s="17" t="s">
        <v>870</v>
      </c>
      <c r="EI45" s="17" t="s">
        <v>870</v>
      </c>
      <c r="EJ45" s="17" t="s">
        <v>870</v>
      </c>
      <c r="EK45" s="17" t="s">
        <v>870</v>
      </c>
      <c r="EL45" s="63"/>
      <c r="EM45" s="63"/>
      <c r="EN45" s="63"/>
      <c r="EO45" s="63"/>
      <c r="EP45" s="17" t="s">
        <v>870</v>
      </c>
      <c r="EQ45" s="17" t="s">
        <v>870</v>
      </c>
      <c r="ER45" s="17" t="s">
        <v>870</v>
      </c>
      <c r="ES45" s="17" t="s">
        <v>870</v>
      </c>
      <c r="ET45" s="17" t="s">
        <v>870</v>
      </c>
      <c r="EU45" s="17" t="s">
        <v>870</v>
      </c>
      <c r="EV45" s="17" t="s">
        <v>870</v>
      </c>
      <c r="EW45" s="17" t="s">
        <v>870</v>
      </c>
      <c r="EX45" s="17" t="s">
        <v>870</v>
      </c>
      <c r="EY45" s="17" t="s">
        <v>870</v>
      </c>
      <c r="EZ45" s="17" t="s">
        <v>870</v>
      </c>
      <c r="FA45" s="17" t="s">
        <v>870</v>
      </c>
      <c r="FB45" s="17" t="s">
        <v>870</v>
      </c>
      <c r="FC45" s="17" t="s">
        <v>870</v>
      </c>
      <c r="FD45" s="17" t="s">
        <v>870</v>
      </c>
      <c r="FE45" s="17" t="s">
        <v>870</v>
      </c>
      <c r="FF45" s="17" t="s">
        <v>870</v>
      </c>
      <c r="FG45" s="17" t="s">
        <v>870</v>
      </c>
      <c r="FH45" s="17" t="s">
        <v>870</v>
      </c>
      <c r="FI45" s="17" t="s">
        <v>870</v>
      </c>
      <c r="FJ45" s="17" t="s">
        <v>870</v>
      </c>
      <c r="FK45" s="17" t="s">
        <v>870</v>
      </c>
      <c r="FL45" s="17" t="s">
        <v>870</v>
      </c>
      <c r="FM45" s="17" t="s">
        <v>870</v>
      </c>
      <c r="FN45" s="17" t="s">
        <v>870</v>
      </c>
      <c r="FO45" s="17" t="s">
        <v>870</v>
      </c>
      <c r="FP45" s="17" t="s">
        <v>870</v>
      </c>
      <c r="FQ45" s="17" t="s">
        <v>870</v>
      </c>
      <c r="FR45" s="17" t="s">
        <v>870</v>
      </c>
      <c r="FS45" s="17" t="s">
        <v>870</v>
      </c>
      <c r="FT45" s="17" t="s">
        <v>870</v>
      </c>
      <c r="FU45" s="17" t="s">
        <v>870</v>
      </c>
      <c r="FV45" s="17" t="s">
        <v>870</v>
      </c>
      <c r="FW45" s="17" t="s">
        <v>870</v>
      </c>
      <c r="FX45" s="63"/>
      <c r="FY45" s="63"/>
      <c r="FZ45" s="63"/>
      <c r="GA45" s="63"/>
      <c r="GB45" s="17" t="s">
        <v>870</v>
      </c>
      <c r="GC45" s="17" t="s">
        <v>870</v>
      </c>
      <c r="GD45" s="17" t="s">
        <v>870</v>
      </c>
      <c r="GE45" s="17" t="s">
        <v>870</v>
      </c>
      <c r="GF45" s="17" t="s">
        <v>870</v>
      </c>
      <c r="GG45" s="17" t="s">
        <v>870</v>
      </c>
      <c r="GH45" s="17" t="s">
        <v>870</v>
      </c>
      <c r="GI45" s="17" t="s">
        <v>870</v>
      </c>
      <c r="GJ45" s="17" t="s">
        <v>870</v>
      </c>
      <c r="GK45" s="17" t="s">
        <v>870</v>
      </c>
      <c r="GL45" s="17" t="s">
        <v>870</v>
      </c>
      <c r="GM45" s="17" t="s">
        <v>870</v>
      </c>
      <c r="GN45" s="17" t="s">
        <v>870</v>
      </c>
      <c r="GO45" s="17" t="s">
        <v>870</v>
      </c>
      <c r="GP45" s="17" t="s">
        <v>870</v>
      </c>
      <c r="GQ45" s="17" t="s">
        <v>870</v>
      </c>
      <c r="GR45" s="17" t="s">
        <v>870</v>
      </c>
      <c r="GS45" s="17" t="s">
        <v>870</v>
      </c>
      <c r="GT45" s="17" t="s">
        <v>870</v>
      </c>
      <c r="GU45" s="17" t="s">
        <v>870</v>
      </c>
      <c r="GV45" s="17" t="s">
        <v>870</v>
      </c>
      <c r="GW45" s="17" t="s">
        <v>870</v>
      </c>
      <c r="GX45" s="17" t="s">
        <v>870</v>
      </c>
      <c r="GY45" s="17" t="s">
        <v>870</v>
      </c>
      <c r="GZ45" s="17" t="s">
        <v>870</v>
      </c>
      <c r="HA45" s="17" t="s">
        <v>870</v>
      </c>
      <c r="HB45" s="17" t="s">
        <v>870</v>
      </c>
      <c r="HC45" s="17" t="s">
        <v>870</v>
      </c>
      <c r="HD45" s="17" t="s">
        <v>870</v>
      </c>
      <c r="HE45" s="17" t="s">
        <v>870</v>
      </c>
      <c r="HF45" s="17" t="s">
        <v>870</v>
      </c>
      <c r="HG45" s="17" t="s">
        <v>870</v>
      </c>
      <c r="HH45" s="17" t="s">
        <v>870</v>
      </c>
      <c r="HI45" s="17" t="s">
        <v>870</v>
      </c>
      <c r="HJ45" s="17" t="s">
        <v>870</v>
      </c>
      <c r="HK45" s="17" t="s">
        <v>870</v>
      </c>
      <c r="HL45" s="17" t="s">
        <v>870</v>
      </c>
      <c r="HM45" s="17" t="s">
        <v>870</v>
      </c>
      <c r="HN45" s="17" t="s">
        <v>870</v>
      </c>
      <c r="HO45" s="17" t="s">
        <v>870</v>
      </c>
      <c r="HP45" s="17" t="s">
        <v>870</v>
      </c>
      <c r="HQ45" s="17" t="s">
        <v>870</v>
      </c>
      <c r="HR45" s="17" t="s">
        <v>870</v>
      </c>
      <c r="HS45" s="17" t="s">
        <v>870</v>
      </c>
      <c r="HT45" s="17" t="s">
        <v>870</v>
      </c>
      <c r="HU45" s="17" t="s">
        <v>870</v>
      </c>
      <c r="HV45" s="17" t="s">
        <v>870</v>
      </c>
      <c r="HW45" s="17" t="s">
        <v>870</v>
      </c>
      <c r="HX45" s="17" t="s">
        <v>870</v>
      </c>
      <c r="HY45" s="17" t="s">
        <v>870</v>
      </c>
      <c r="HZ45" s="17" t="s">
        <v>870</v>
      </c>
      <c r="IA45" s="17" t="s">
        <v>870</v>
      </c>
      <c r="IB45" s="17" t="s">
        <v>870</v>
      </c>
      <c r="IC45" s="17" t="s">
        <v>870</v>
      </c>
      <c r="ID45" s="17" t="s">
        <v>870</v>
      </c>
      <c r="IE45" s="17" t="s">
        <v>870</v>
      </c>
      <c r="IF45" s="17" t="s">
        <v>870</v>
      </c>
      <c r="IG45" s="17" t="s">
        <v>870</v>
      </c>
      <c r="IH45" s="17" t="s">
        <v>870</v>
      </c>
      <c r="II45" s="17" t="s">
        <v>870</v>
      </c>
      <c r="IJ45" s="17" t="s">
        <v>870</v>
      </c>
      <c r="IK45" s="17" t="s">
        <v>870</v>
      </c>
      <c r="IL45" s="17" t="s">
        <v>870</v>
      </c>
      <c r="IM45" s="17" t="s">
        <v>870</v>
      </c>
      <c r="IN45" s="17" t="s">
        <v>870</v>
      </c>
      <c r="IO45" s="17" t="s">
        <v>870</v>
      </c>
      <c r="IP45" s="17" t="s">
        <v>870</v>
      </c>
      <c r="IQ45" s="17" t="s">
        <v>870</v>
      </c>
      <c r="IR45" s="17" t="s">
        <v>870</v>
      </c>
      <c r="IS45" s="17" t="s">
        <v>870</v>
      </c>
      <c r="IT45" s="17" t="s">
        <v>870</v>
      </c>
      <c r="IU45" s="17" t="s">
        <v>870</v>
      </c>
      <c r="IV45" s="17" t="s">
        <v>870</v>
      </c>
      <c r="IW45" s="17" t="s">
        <v>870</v>
      </c>
      <c r="IX45" s="17" t="s">
        <v>870</v>
      </c>
      <c r="IY45" s="17" t="s">
        <v>870</v>
      </c>
      <c r="IZ45" s="17" t="s">
        <v>870</v>
      </c>
      <c r="JA45" s="17" t="s">
        <v>870</v>
      </c>
      <c r="JB45" s="17" t="s">
        <v>870</v>
      </c>
      <c r="JC45" s="17" t="s">
        <v>870</v>
      </c>
      <c r="JD45" s="17" t="s">
        <v>870</v>
      </c>
      <c r="JE45" s="17" t="s">
        <v>870</v>
      </c>
      <c r="JF45" s="17" t="s">
        <v>870</v>
      </c>
      <c r="JG45" s="17" t="s">
        <v>870</v>
      </c>
      <c r="JH45" s="17" t="s">
        <v>870</v>
      </c>
      <c r="JI45" s="17" t="s">
        <v>870</v>
      </c>
      <c r="JJ45" s="17" t="s">
        <v>870</v>
      </c>
      <c r="JK45" s="17" t="s">
        <v>870</v>
      </c>
      <c r="JL45" s="17" t="s">
        <v>870</v>
      </c>
      <c r="JM45" s="17" t="s">
        <v>870</v>
      </c>
      <c r="JN45" s="17" t="s">
        <v>870</v>
      </c>
      <c r="JO45" s="17" t="s">
        <v>870</v>
      </c>
      <c r="JP45" s="17" t="s">
        <v>870</v>
      </c>
      <c r="JQ45" s="17" t="s">
        <v>870</v>
      </c>
      <c r="JR45" s="17" t="s">
        <v>870</v>
      </c>
      <c r="JS45" s="17" t="s">
        <v>870</v>
      </c>
      <c r="JT45" s="17" t="s">
        <v>870</v>
      </c>
    </row>
    <row r="46" spans="1:280" x14ac:dyDescent="0.25">
      <c r="A46" t="s">
        <v>34</v>
      </c>
      <c r="B46" s="17" t="s">
        <v>870</v>
      </c>
      <c r="C46" s="17" t="s">
        <v>870</v>
      </c>
      <c r="D46" s="17" t="s">
        <v>870</v>
      </c>
      <c r="E46" s="17" t="s">
        <v>870</v>
      </c>
      <c r="F46" s="17" t="s">
        <v>870</v>
      </c>
      <c r="G46" s="17" t="s">
        <v>870</v>
      </c>
      <c r="H46" s="17" t="s">
        <v>870</v>
      </c>
      <c r="I46" s="17" t="s">
        <v>870</v>
      </c>
      <c r="J46" s="17" t="s">
        <v>870</v>
      </c>
      <c r="K46" s="17" t="s">
        <v>870</v>
      </c>
      <c r="L46" s="17" t="s">
        <v>870</v>
      </c>
      <c r="M46" s="17" t="s">
        <v>870</v>
      </c>
      <c r="N46" s="17" t="s">
        <v>870</v>
      </c>
      <c r="O46" s="17" t="s">
        <v>870</v>
      </c>
      <c r="P46" s="17" t="s">
        <v>870</v>
      </c>
      <c r="Q46" s="17" t="s">
        <v>870</v>
      </c>
      <c r="R46" s="17" t="s">
        <v>870</v>
      </c>
      <c r="S46" s="17" t="s">
        <v>870</v>
      </c>
      <c r="T46" s="17" t="s">
        <v>870</v>
      </c>
      <c r="U46" s="17" t="s">
        <v>870</v>
      </c>
      <c r="V46" s="17" t="s">
        <v>870</v>
      </c>
      <c r="W46" s="17" t="s">
        <v>870</v>
      </c>
      <c r="X46" s="17" t="s">
        <v>870</v>
      </c>
      <c r="Y46" s="17" t="s">
        <v>870</v>
      </c>
      <c r="Z46" s="17" t="s">
        <v>870</v>
      </c>
      <c r="AA46" s="17" t="s">
        <v>870</v>
      </c>
      <c r="AB46" s="17" t="s">
        <v>870</v>
      </c>
      <c r="AC46" s="17" t="s">
        <v>870</v>
      </c>
      <c r="AD46" s="17" t="s">
        <v>870</v>
      </c>
      <c r="AE46" s="17" t="s">
        <v>870</v>
      </c>
      <c r="AF46" s="17" t="s">
        <v>870</v>
      </c>
      <c r="AG46" s="17" t="s">
        <v>870</v>
      </c>
      <c r="AH46" s="17" t="s">
        <v>870</v>
      </c>
      <c r="AI46" s="17" t="s">
        <v>870</v>
      </c>
      <c r="AJ46" s="17" t="s">
        <v>870</v>
      </c>
      <c r="AK46" s="17" t="s">
        <v>870</v>
      </c>
      <c r="AL46" s="17" t="s">
        <v>870</v>
      </c>
      <c r="AM46" s="17" t="s">
        <v>870</v>
      </c>
      <c r="AN46" s="17" t="s">
        <v>870</v>
      </c>
      <c r="AO46" s="17" t="s">
        <v>870</v>
      </c>
      <c r="AP46" s="17" t="s">
        <v>870</v>
      </c>
      <c r="AQ46" s="17" t="s">
        <v>870</v>
      </c>
      <c r="AR46" s="17" t="s">
        <v>870</v>
      </c>
      <c r="AS46" s="17" t="s">
        <v>870</v>
      </c>
      <c r="AT46" s="17" t="s">
        <v>870</v>
      </c>
      <c r="AU46" s="17" t="s">
        <v>870</v>
      </c>
      <c r="AV46" s="17" t="s">
        <v>870</v>
      </c>
      <c r="AW46" s="17" t="s">
        <v>870</v>
      </c>
      <c r="AX46" s="17" t="s">
        <v>870</v>
      </c>
      <c r="AY46" s="17" t="s">
        <v>870</v>
      </c>
      <c r="AZ46" s="17" t="s">
        <v>870</v>
      </c>
      <c r="BA46" s="17" t="s">
        <v>870</v>
      </c>
      <c r="BB46" s="17" t="s">
        <v>870</v>
      </c>
      <c r="BC46" s="17" t="s">
        <v>870</v>
      </c>
      <c r="BD46" s="17" t="s">
        <v>870</v>
      </c>
      <c r="BE46" s="17" t="s">
        <v>870</v>
      </c>
      <c r="BF46" s="17" t="s">
        <v>870</v>
      </c>
      <c r="BG46" s="17" t="s">
        <v>870</v>
      </c>
      <c r="BH46" s="17" t="s">
        <v>870</v>
      </c>
      <c r="BI46" s="17" t="s">
        <v>870</v>
      </c>
      <c r="BJ46" s="17" t="s">
        <v>870</v>
      </c>
      <c r="BK46" s="17" t="s">
        <v>870</v>
      </c>
      <c r="BL46" s="17" t="s">
        <v>870</v>
      </c>
      <c r="BM46" s="17" t="s">
        <v>870</v>
      </c>
      <c r="BN46" s="17" t="s">
        <v>870</v>
      </c>
      <c r="BO46" s="17" t="s">
        <v>870</v>
      </c>
      <c r="BP46" s="17" t="s">
        <v>870</v>
      </c>
      <c r="BQ46" s="17" t="s">
        <v>870</v>
      </c>
      <c r="BR46" s="17" t="s">
        <v>870</v>
      </c>
      <c r="BS46" s="17" t="s">
        <v>870</v>
      </c>
      <c r="BT46" s="17" t="s">
        <v>870</v>
      </c>
      <c r="BU46" s="17" t="s">
        <v>870</v>
      </c>
      <c r="BV46" s="17" t="s">
        <v>870</v>
      </c>
      <c r="BW46" s="17" t="s">
        <v>870</v>
      </c>
      <c r="BX46" s="17" t="s">
        <v>870</v>
      </c>
      <c r="BY46" s="17" t="s">
        <v>870</v>
      </c>
      <c r="BZ46" s="17" t="s">
        <v>870</v>
      </c>
      <c r="CA46" s="17" t="s">
        <v>870</v>
      </c>
      <c r="CB46" s="17" t="s">
        <v>870</v>
      </c>
      <c r="CC46" s="17" t="s">
        <v>870</v>
      </c>
      <c r="CD46" s="17" t="s">
        <v>870</v>
      </c>
      <c r="CE46" s="17" t="s">
        <v>870</v>
      </c>
      <c r="CF46" s="17" t="s">
        <v>870</v>
      </c>
      <c r="CG46" s="17" t="s">
        <v>870</v>
      </c>
      <c r="CH46" s="17" t="s">
        <v>870</v>
      </c>
      <c r="CI46" s="17" t="s">
        <v>870</v>
      </c>
      <c r="CJ46" s="17" t="s">
        <v>870</v>
      </c>
      <c r="CK46" s="17" t="s">
        <v>870</v>
      </c>
      <c r="CL46" s="17" t="s">
        <v>870</v>
      </c>
      <c r="CM46" s="17" t="s">
        <v>870</v>
      </c>
      <c r="CN46" s="17" t="s">
        <v>870</v>
      </c>
      <c r="CO46" s="17" t="s">
        <v>870</v>
      </c>
      <c r="CP46" s="17" t="s">
        <v>870</v>
      </c>
      <c r="CQ46" s="17" t="s">
        <v>870</v>
      </c>
      <c r="CR46" s="17" t="s">
        <v>870</v>
      </c>
      <c r="CS46" s="17" t="s">
        <v>870</v>
      </c>
      <c r="CT46" s="17" t="s">
        <v>870</v>
      </c>
      <c r="CU46" s="17" t="s">
        <v>870</v>
      </c>
      <c r="CV46" s="17" t="s">
        <v>870</v>
      </c>
      <c r="CW46" s="17" t="s">
        <v>870</v>
      </c>
      <c r="CX46" s="17" t="s">
        <v>870</v>
      </c>
      <c r="CY46" s="17" t="s">
        <v>870</v>
      </c>
      <c r="CZ46" s="17" t="s">
        <v>870</v>
      </c>
      <c r="DA46" s="17" t="s">
        <v>870</v>
      </c>
      <c r="DB46" s="17" t="s">
        <v>870</v>
      </c>
      <c r="DC46" s="17" t="s">
        <v>870</v>
      </c>
      <c r="DD46" s="17" t="s">
        <v>870</v>
      </c>
      <c r="DE46" s="17" t="s">
        <v>870</v>
      </c>
      <c r="DF46" s="17" t="s">
        <v>870</v>
      </c>
      <c r="DG46" s="17" t="s">
        <v>870</v>
      </c>
      <c r="DH46" s="17" t="s">
        <v>870</v>
      </c>
      <c r="DI46" s="17" t="s">
        <v>870</v>
      </c>
      <c r="DJ46" s="17" t="s">
        <v>870</v>
      </c>
      <c r="DK46" s="17" t="s">
        <v>870</v>
      </c>
      <c r="DL46" s="17" t="s">
        <v>870</v>
      </c>
      <c r="DM46" s="17" t="s">
        <v>870</v>
      </c>
      <c r="DN46" s="17" t="s">
        <v>870</v>
      </c>
      <c r="DO46" s="17" t="s">
        <v>870</v>
      </c>
      <c r="DP46" s="17" t="s">
        <v>870</v>
      </c>
      <c r="DQ46" s="17" t="s">
        <v>870</v>
      </c>
      <c r="DR46" s="17" t="s">
        <v>870</v>
      </c>
      <c r="DS46" s="17" t="s">
        <v>870</v>
      </c>
      <c r="DT46" s="17" t="s">
        <v>870</v>
      </c>
      <c r="DU46" s="17" t="s">
        <v>870</v>
      </c>
      <c r="DV46" s="17" t="s">
        <v>870</v>
      </c>
      <c r="DW46" s="17" t="s">
        <v>870</v>
      </c>
      <c r="DX46" s="17" t="s">
        <v>870</v>
      </c>
      <c r="DY46" s="17" t="s">
        <v>870</v>
      </c>
      <c r="DZ46" s="17" t="s">
        <v>870</v>
      </c>
      <c r="EA46" s="17" t="s">
        <v>870</v>
      </c>
      <c r="EB46" s="17" t="s">
        <v>870</v>
      </c>
      <c r="EC46" s="17" t="s">
        <v>870</v>
      </c>
      <c r="ED46" s="17" t="s">
        <v>870</v>
      </c>
      <c r="EE46" s="17" t="s">
        <v>870</v>
      </c>
      <c r="EF46" s="17" t="s">
        <v>870</v>
      </c>
      <c r="EG46" s="17" t="s">
        <v>870</v>
      </c>
      <c r="EH46" s="17" t="s">
        <v>870</v>
      </c>
      <c r="EI46" s="17" t="s">
        <v>870</v>
      </c>
      <c r="EJ46" s="17" t="s">
        <v>870</v>
      </c>
      <c r="EK46" s="17" t="s">
        <v>870</v>
      </c>
      <c r="EL46" s="17" t="s">
        <v>870</v>
      </c>
      <c r="EM46" s="17" t="s">
        <v>870</v>
      </c>
      <c r="EN46" s="17" t="s">
        <v>870</v>
      </c>
      <c r="EO46" s="17" t="s">
        <v>870</v>
      </c>
      <c r="EP46" s="17" t="s">
        <v>870</v>
      </c>
      <c r="EQ46" s="17" t="s">
        <v>870</v>
      </c>
      <c r="ER46" s="17" t="s">
        <v>870</v>
      </c>
      <c r="ES46" s="17" t="s">
        <v>870</v>
      </c>
      <c r="ET46" s="63"/>
      <c r="EU46" s="17" t="s">
        <v>870</v>
      </c>
      <c r="EV46" s="17" t="s">
        <v>870</v>
      </c>
      <c r="EW46" s="17" t="s">
        <v>870</v>
      </c>
      <c r="EX46" s="17" t="s">
        <v>870</v>
      </c>
      <c r="EY46" s="17" t="s">
        <v>870</v>
      </c>
      <c r="EZ46" s="17" t="s">
        <v>870</v>
      </c>
      <c r="FA46" s="17" t="s">
        <v>870</v>
      </c>
      <c r="FB46" s="17" t="s">
        <v>870</v>
      </c>
      <c r="FC46" s="17" t="s">
        <v>870</v>
      </c>
      <c r="FD46" s="17" t="s">
        <v>870</v>
      </c>
      <c r="FE46" s="17" t="s">
        <v>870</v>
      </c>
      <c r="FF46" s="17" t="s">
        <v>870</v>
      </c>
      <c r="FG46" s="17" t="s">
        <v>870</v>
      </c>
      <c r="FH46" s="17" t="s">
        <v>870</v>
      </c>
      <c r="FI46" s="17" t="s">
        <v>870</v>
      </c>
      <c r="FJ46" s="17" t="s">
        <v>870</v>
      </c>
      <c r="FK46" s="17" t="s">
        <v>870</v>
      </c>
      <c r="FL46" s="17" t="s">
        <v>870</v>
      </c>
      <c r="FM46" s="17" t="s">
        <v>870</v>
      </c>
      <c r="FN46" s="17" t="s">
        <v>870</v>
      </c>
      <c r="FO46" s="17" t="s">
        <v>870</v>
      </c>
      <c r="FP46" s="17" t="s">
        <v>870</v>
      </c>
      <c r="FQ46" s="17" t="s">
        <v>870</v>
      </c>
      <c r="FR46" s="17" t="s">
        <v>870</v>
      </c>
      <c r="FS46" s="17" t="s">
        <v>870</v>
      </c>
      <c r="FT46" s="17" t="s">
        <v>870</v>
      </c>
      <c r="FU46" s="17" t="s">
        <v>870</v>
      </c>
      <c r="FV46" s="17" t="s">
        <v>870</v>
      </c>
      <c r="FW46" s="17" t="s">
        <v>870</v>
      </c>
      <c r="FX46" s="17" t="s">
        <v>870</v>
      </c>
      <c r="FY46" s="17" t="s">
        <v>870</v>
      </c>
      <c r="FZ46" s="17" t="s">
        <v>870</v>
      </c>
      <c r="GA46" s="17" t="s">
        <v>870</v>
      </c>
      <c r="GB46" s="17" t="s">
        <v>870</v>
      </c>
      <c r="GC46" s="17" t="s">
        <v>870</v>
      </c>
      <c r="GD46" s="17" t="s">
        <v>870</v>
      </c>
      <c r="GE46" s="17" t="s">
        <v>870</v>
      </c>
      <c r="GF46" s="17" t="s">
        <v>870</v>
      </c>
      <c r="GG46" s="17" t="s">
        <v>870</v>
      </c>
      <c r="GH46" s="17" t="s">
        <v>870</v>
      </c>
      <c r="GI46" s="17" t="s">
        <v>870</v>
      </c>
      <c r="GJ46" s="17" t="s">
        <v>870</v>
      </c>
      <c r="GK46" s="17" t="s">
        <v>870</v>
      </c>
      <c r="GL46" s="17" t="s">
        <v>870</v>
      </c>
      <c r="GM46" s="17" t="s">
        <v>870</v>
      </c>
      <c r="GN46" s="17" t="s">
        <v>870</v>
      </c>
      <c r="GO46" s="17" t="s">
        <v>870</v>
      </c>
      <c r="GP46" s="17" t="s">
        <v>870</v>
      </c>
      <c r="GQ46" s="17" t="s">
        <v>870</v>
      </c>
      <c r="GR46" s="17" t="s">
        <v>870</v>
      </c>
      <c r="GS46" s="17" t="s">
        <v>870</v>
      </c>
      <c r="GT46" s="17" t="s">
        <v>870</v>
      </c>
      <c r="GU46" s="17" t="s">
        <v>870</v>
      </c>
      <c r="GV46" s="17" t="s">
        <v>870</v>
      </c>
      <c r="GW46" s="17" t="s">
        <v>870</v>
      </c>
      <c r="GX46" s="17" t="s">
        <v>870</v>
      </c>
      <c r="GY46" s="17" t="s">
        <v>870</v>
      </c>
      <c r="GZ46" s="17" t="s">
        <v>870</v>
      </c>
      <c r="HA46" s="17" t="s">
        <v>870</v>
      </c>
      <c r="HB46" s="17" t="s">
        <v>870</v>
      </c>
      <c r="HC46" s="17" t="s">
        <v>870</v>
      </c>
      <c r="HD46" s="17" t="s">
        <v>870</v>
      </c>
      <c r="HE46" s="17" t="s">
        <v>870</v>
      </c>
      <c r="HF46" s="17" t="s">
        <v>870</v>
      </c>
      <c r="HG46" s="17" t="s">
        <v>870</v>
      </c>
      <c r="HH46" s="17" t="s">
        <v>870</v>
      </c>
      <c r="HI46" s="17" t="s">
        <v>870</v>
      </c>
      <c r="HJ46" s="17" t="s">
        <v>870</v>
      </c>
      <c r="HK46" s="17" t="s">
        <v>870</v>
      </c>
      <c r="HL46" s="17" t="s">
        <v>870</v>
      </c>
      <c r="HM46" s="17" t="s">
        <v>870</v>
      </c>
      <c r="HN46" s="17" t="s">
        <v>870</v>
      </c>
      <c r="HO46" s="17" t="s">
        <v>870</v>
      </c>
      <c r="HP46" s="17" t="s">
        <v>870</v>
      </c>
      <c r="HQ46" s="17" t="s">
        <v>870</v>
      </c>
      <c r="HR46" s="17" t="s">
        <v>870</v>
      </c>
      <c r="HS46" s="17" t="s">
        <v>870</v>
      </c>
      <c r="HT46" s="17" t="s">
        <v>870</v>
      </c>
      <c r="HU46" s="17" t="s">
        <v>870</v>
      </c>
      <c r="HV46" s="17" t="s">
        <v>870</v>
      </c>
      <c r="HW46" s="17" t="s">
        <v>870</v>
      </c>
      <c r="HX46" s="17" t="s">
        <v>870</v>
      </c>
      <c r="HY46" s="17" t="s">
        <v>870</v>
      </c>
      <c r="HZ46" s="17" t="s">
        <v>870</v>
      </c>
      <c r="IA46" s="17" t="s">
        <v>870</v>
      </c>
      <c r="IB46" s="17" t="s">
        <v>870</v>
      </c>
      <c r="IC46" s="17" t="s">
        <v>870</v>
      </c>
      <c r="ID46" s="17" t="s">
        <v>870</v>
      </c>
      <c r="IE46" s="17" t="s">
        <v>870</v>
      </c>
      <c r="IF46" s="17" t="s">
        <v>870</v>
      </c>
      <c r="IG46" s="17" t="s">
        <v>870</v>
      </c>
      <c r="IH46" s="17" t="s">
        <v>870</v>
      </c>
      <c r="II46" s="17" t="s">
        <v>870</v>
      </c>
      <c r="IJ46" s="17" t="s">
        <v>870</v>
      </c>
      <c r="IK46" s="17" t="s">
        <v>870</v>
      </c>
      <c r="IL46" s="17" t="s">
        <v>870</v>
      </c>
      <c r="IM46" s="17" t="s">
        <v>870</v>
      </c>
      <c r="IN46" s="17" t="s">
        <v>870</v>
      </c>
      <c r="IO46" s="17" t="s">
        <v>870</v>
      </c>
      <c r="IP46" s="17" t="s">
        <v>870</v>
      </c>
      <c r="IQ46" s="17" t="s">
        <v>870</v>
      </c>
      <c r="IR46" s="17" t="s">
        <v>870</v>
      </c>
      <c r="IS46" s="17" t="s">
        <v>870</v>
      </c>
      <c r="IT46" s="17" t="s">
        <v>870</v>
      </c>
      <c r="IU46" s="17" t="s">
        <v>870</v>
      </c>
      <c r="IV46" s="17" t="s">
        <v>870</v>
      </c>
      <c r="IW46" s="17" t="s">
        <v>870</v>
      </c>
      <c r="IX46" s="17" t="s">
        <v>870</v>
      </c>
      <c r="IY46" s="17" t="s">
        <v>870</v>
      </c>
      <c r="IZ46" s="17" t="s">
        <v>870</v>
      </c>
      <c r="JA46" s="17" t="s">
        <v>870</v>
      </c>
      <c r="JB46" s="17" t="s">
        <v>870</v>
      </c>
      <c r="JC46" s="17" t="s">
        <v>870</v>
      </c>
      <c r="JD46" s="17" t="s">
        <v>870</v>
      </c>
      <c r="JE46" s="17" t="s">
        <v>870</v>
      </c>
      <c r="JF46" s="17" t="s">
        <v>870</v>
      </c>
      <c r="JG46" s="17" t="s">
        <v>870</v>
      </c>
      <c r="JH46" s="17" t="s">
        <v>870</v>
      </c>
      <c r="JI46" s="17" t="s">
        <v>870</v>
      </c>
      <c r="JJ46" s="17" t="s">
        <v>870</v>
      </c>
      <c r="JK46" s="17" t="s">
        <v>870</v>
      </c>
      <c r="JL46" s="17" t="s">
        <v>870</v>
      </c>
      <c r="JM46" s="17" t="s">
        <v>870</v>
      </c>
      <c r="JN46" s="17" t="s">
        <v>870</v>
      </c>
      <c r="JO46" s="17" t="s">
        <v>870</v>
      </c>
      <c r="JP46" s="17" t="s">
        <v>870</v>
      </c>
      <c r="JQ46" s="17" t="s">
        <v>870</v>
      </c>
      <c r="JR46" s="17" t="s">
        <v>870</v>
      </c>
      <c r="JS46" s="17" t="s">
        <v>870</v>
      </c>
      <c r="JT46" s="17" t="s">
        <v>870</v>
      </c>
    </row>
    <row r="47" spans="1:280" x14ac:dyDescent="0.25">
      <c r="A47" t="s">
        <v>435</v>
      </c>
      <c r="B47" s="17" t="s">
        <v>870</v>
      </c>
      <c r="C47" s="17" t="s">
        <v>870</v>
      </c>
      <c r="D47" s="17" t="s">
        <v>870</v>
      </c>
      <c r="E47" s="17" t="s">
        <v>870</v>
      </c>
      <c r="F47" s="17" t="s">
        <v>870</v>
      </c>
      <c r="G47" s="17" t="s">
        <v>870</v>
      </c>
      <c r="H47" s="17" t="s">
        <v>870</v>
      </c>
      <c r="I47" s="17" t="s">
        <v>870</v>
      </c>
      <c r="J47" s="17" t="s">
        <v>870</v>
      </c>
      <c r="K47" s="17" t="s">
        <v>870</v>
      </c>
      <c r="L47" s="17" t="s">
        <v>870</v>
      </c>
      <c r="M47" s="17" t="s">
        <v>870</v>
      </c>
      <c r="N47" s="17" t="s">
        <v>870</v>
      </c>
      <c r="O47" s="17" t="s">
        <v>870</v>
      </c>
      <c r="P47" s="17" t="s">
        <v>870</v>
      </c>
      <c r="Q47" s="17" t="s">
        <v>870</v>
      </c>
      <c r="R47" s="17" t="s">
        <v>870</v>
      </c>
      <c r="S47" s="17" t="s">
        <v>870</v>
      </c>
      <c r="T47" s="17" t="s">
        <v>870</v>
      </c>
      <c r="U47" s="17" t="s">
        <v>870</v>
      </c>
      <c r="V47" s="17" t="s">
        <v>870</v>
      </c>
      <c r="W47" s="17" t="s">
        <v>870</v>
      </c>
      <c r="X47" s="17" t="s">
        <v>870</v>
      </c>
      <c r="Y47" s="17" t="s">
        <v>870</v>
      </c>
      <c r="Z47" s="17" t="s">
        <v>870</v>
      </c>
      <c r="AA47" s="17" t="s">
        <v>870</v>
      </c>
      <c r="AB47" s="17" t="s">
        <v>870</v>
      </c>
      <c r="AC47" s="17" t="s">
        <v>870</v>
      </c>
      <c r="AD47" s="17" t="s">
        <v>870</v>
      </c>
      <c r="AE47" s="17" t="s">
        <v>870</v>
      </c>
      <c r="AF47" s="17" t="s">
        <v>870</v>
      </c>
      <c r="AG47" s="17" t="s">
        <v>870</v>
      </c>
      <c r="AH47" s="17" t="s">
        <v>870</v>
      </c>
      <c r="AI47" s="17" t="s">
        <v>870</v>
      </c>
      <c r="AJ47" s="17" t="s">
        <v>870</v>
      </c>
      <c r="AK47" s="17" t="s">
        <v>870</v>
      </c>
      <c r="AL47" s="17" t="s">
        <v>870</v>
      </c>
      <c r="AM47" s="17" t="s">
        <v>870</v>
      </c>
      <c r="AN47" s="17" t="s">
        <v>870</v>
      </c>
      <c r="AO47" s="17" t="s">
        <v>870</v>
      </c>
      <c r="AP47" s="17" t="s">
        <v>870</v>
      </c>
      <c r="AQ47" s="17" t="s">
        <v>870</v>
      </c>
      <c r="AR47" s="17" t="s">
        <v>870</v>
      </c>
      <c r="AS47" s="17" t="s">
        <v>870</v>
      </c>
      <c r="AT47" s="17" t="s">
        <v>870</v>
      </c>
      <c r="AU47" s="17" t="s">
        <v>870</v>
      </c>
      <c r="AV47" s="17" t="s">
        <v>870</v>
      </c>
      <c r="AW47" s="17" t="s">
        <v>870</v>
      </c>
      <c r="AX47" s="17" t="s">
        <v>870</v>
      </c>
      <c r="AY47" s="17" t="s">
        <v>870</v>
      </c>
      <c r="AZ47" s="17" t="s">
        <v>870</v>
      </c>
      <c r="BA47" s="17" t="s">
        <v>870</v>
      </c>
      <c r="BB47" s="17" t="s">
        <v>870</v>
      </c>
      <c r="BC47" s="17" t="s">
        <v>870</v>
      </c>
      <c r="BD47" s="17" t="s">
        <v>870</v>
      </c>
      <c r="BE47" s="17" t="s">
        <v>870</v>
      </c>
      <c r="BF47" s="17" t="s">
        <v>870</v>
      </c>
      <c r="BG47" s="17" t="s">
        <v>870</v>
      </c>
      <c r="BH47" s="17" t="s">
        <v>870</v>
      </c>
      <c r="BI47" s="17" t="s">
        <v>870</v>
      </c>
      <c r="BJ47" s="17" t="s">
        <v>870</v>
      </c>
      <c r="BK47" s="17" t="s">
        <v>870</v>
      </c>
      <c r="BL47" s="17" t="s">
        <v>870</v>
      </c>
      <c r="BM47" s="17" t="s">
        <v>870</v>
      </c>
      <c r="BN47" s="17" t="s">
        <v>870</v>
      </c>
      <c r="BO47" s="17" t="s">
        <v>870</v>
      </c>
      <c r="BP47" s="17" t="s">
        <v>870</v>
      </c>
      <c r="BQ47" s="17" t="s">
        <v>870</v>
      </c>
      <c r="BR47" s="17" t="s">
        <v>870</v>
      </c>
      <c r="BS47" s="17" t="s">
        <v>870</v>
      </c>
      <c r="BT47" s="17" t="s">
        <v>870</v>
      </c>
      <c r="BU47" s="17" t="s">
        <v>870</v>
      </c>
      <c r="BV47" s="17" t="s">
        <v>870</v>
      </c>
      <c r="BW47" s="17" t="s">
        <v>870</v>
      </c>
      <c r="BX47" s="17" t="s">
        <v>870</v>
      </c>
      <c r="BY47" s="17" t="s">
        <v>870</v>
      </c>
      <c r="BZ47" s="17" t="s">
        <v>870</v>
      </c>
      <c r="CA47" s="17" t="s">
        <v>870</v>
      </c>
      <c r="CB47" s="17" t="s">
        <v>870</v>
      </c>
      <c r="CC47" s="17" t="s">
        <v>870</v>
      </c>
      <c r="CD47" s="17" t="s">
        <v>870</v>
      </c>
      <c r="CE47" s="17" t="s">
        <v>870</v>
      </c>
      <c r="CF47" s="17" t="s">
        <v>870</v>
      </c>
      <c r="CG47" s="17" t="s">
        <v>870</v>
      </c>
      <c r="CH47" s="17" t="s">
        <v>870</v>
      </c>
      <c r="CI47" s="17" t="s">
        <v>870</v>
      </c>
      <c r="CJ47" s="17" t="s">
        <v>870</v>
      </c>
      <c r="CK47" s="17" t="s">
        <v>870</v>
      </c>
      <c r="CL47" s="17" t="s">
        <v>870</v>
      </c>
      <c r="CM47" s="17" t="s">
        <v>870</v>
      </c>
      <c r="CN47" s="17" t="s">
        <v>870</v>
      </c>
      <c r="CO47" s="17" t="s">
        <v>870</v>
      </c>
      <c r="CP47" s="17" t="s">
        <v>870</v>
      </c>
      <c r="CQ47" s="17" t="s">
        <v>870</v>
      </c>
      <c r="CR47" s="17" t="s">
        <v>870</v>
      </c>
      <c r="CS47" s="17" t="s">
        <v>870</v>
      </c>
      <c r="CT47" s="17" t="s">
        <v>870</v>
      </c>
      <c r="CU47" s="17" t="s">
        <v>870</v>
      </c>
      <c r="CV47" s="17" t="s">
        <v>870</v>
      </c>
      <c r="CW47" s="17" t="s">
        <v>870</v>
      </c>
      <c r="CX47" s="17" t="s">
        <v>870</v>
      </c>
      <c r="CY47" s="17" t="s">
        <v>870</v>
      </c>
      <c r="CZ47" s="17" t="s">
        <v>870</v>
      </c>
      <c r="DA47" s="17" t="s">
        <v>870</v>
      </c>
      <c r="DB47" s="17" t="s">
        <v>870</v>
      </c>
      <c r="DC47" s="17" t="s">
        <v>870</v>
      </c>
      <c r="DD47" s="17" t="s">
        <v>870</v>
      </c>
      <c r="DE47" s="17" t="s">
        <v>870</v>
      </c>
      <c r="DF47" s="17" t="s">
        <v>870</v>
      </c>
      <c r="DG47" s="17" t="s">
        <v>870</v>
      </c>
      <c r="DH47" s="17" t="s">
        <v>870</v>
      </c>
      <c r="DI47" s="17" t="s">
        <v>870</v>
      </c>
      <c r="DJ47" s="17" t="s">
        <v>870</v>
      </c>
      <c r="DK47" s="17" t="s">
        <v>870</v>
      </c>
      <c r="DL47" s="17" t="s">
        <v>870</v>
      </c>
      <c r="DM47" s="17" t="s">
        <v>870</v>
      </c>
      <c r="DN47" s="17" t="s">
        <v>870</v>
      </c>
      <c r="DO47" s="17" t="s">
        <v>870</v>
      </c>
      <c r="DP47" s="17" t="s">
        <v>870</v>
      </c>
      <c r="DQ47" s="17" t="s">
        <v>870</v>
      </c>
      <c r="DR47" s="17" t="s">
        <v>870</v>
      </c>
      <c r="DS47" s="17" t="s">
        <v>870</v>
      </c>
      <c r="DT47" s="17" t="s">
        <v>870</v>
      </c>
      <c r="DU47" s="17" t="s">
        <v>870</v>
      </c>
      <c r="DV47" s="17" t="s">
        <v>870</v>
      </c>
      <c r="DW47" s="17" t="s">
        <v>870</v>
      </c>
      <c r="DX47" s="17" t="s">
        <v>870</v>
      </c>
      <c r="DY47" s="17" t="s">
        <v>870</v>
      </c>
      <c r="DZ47" s="17" t="s">
        <v>870</v>
      </c>
      <c r="EA47" s="17" t="s">
        <v>870</v>
      </c>
      <c r="EB47" s="17" t="s">
        <v>870</v>
      </c>
      <c r="EC47" s="17" t="s">
        <v>870</v>
      </c>
      <c r="ED47" s="17" t="s">
        <v>870</v>
      </c>
      <c r="EE47" s="17" t="s">
        <v>870</v>
      </c>
      <c r="EF47" s="17" t="s">
        <v>870</v>
      </c>
      <c r="EG47" s="17" t="s">
        <v>870</v>
      </c>
      <c r="EH47" s="17" t="s">
        <v>870</v>
      </c>
      <c r="EI47" s="17" t="s">
        <v>870</v>
      </c>
      <c r="EJ47" s="17" t="s">
        <v>870</v>
      </c>
      <c r="EK47" s="17" t="s">
        <v>870</v>
      </c>
      <c r="EL47" s="17" t="s">
        <v>870</v>
      </c>
      <c r="EM47" s="17" t="s">
        <v>870</v>
      </c>
      <c r="EN47" s="17" t="s">
        <v>870</v>
      </c>
      <c r="EO47" s="17" t="s">
        <v>870</v>
      </c>
      <c r="EP47" s="17" t="s">
        <v>870</v>
      </c>
      <c r="EQ47" s="17" t="s">
        <v>870</v>
      </c>
      <c r="ER47" s="17" t="s">
        <v>870</v>
      </c>
      <c r="ES47" s="17" t="s">
        <v>870</v>
      </c>
      <c r="ET47" s="17" t="s">
        <v>870</v>
      </c>
      <c r="EU47" s="17" t="s">
        <v>870</v>
      </c>
      <c r="EV47" s="17" t="s">
        <v>870</v>
      </c>
      <c r="EW47" s="17" t="s">
        <v>870</v>
      </c>
      <c r="EX47" s="17" t="s">
        <v>870</v>
      </c>
      <c r="EY47" s="17" t="s">
        <v>870</v>
      </c>
      <c r="EZ47" s="17" t="s">
        <v>870</v>
      </c>
      <c r="FA47" s="17" t="s">
        <v>870</v>
      </c>
      <c r="FB47" s="17" t="s">
        <v>870</v>
      </c>
      <c r="FC47" s="17" t="s">
        <v>870</v>
      </c>
      <c r="FD47" s="17" t="s">
        <v>870</v>
      </c>
      <c r="FE47" s="17" t="s">
        <v>870</v>
      </c>
      <c r="FF47" s="17" t="s">
        <v>870</v>
      </c>
      <c r="FG47" s="17" t="s">
        <v>870</v>
      </c>
      <c r="FH47" s="17" t="s">
        <v>870</v>
      </c>
      <c r="FI47" s="17" t="s">
        <v>870</v>
      </c>
      <c r="FJ47" s="17" t="s">
        <v>870</v>
      </c>
      <c r="FK47" s="17" t="s">
        <v>870</v>
      </c>
      <c r="FL47" s="17" t="s">
        <v>870</v>
      </c>
      <c r="FM47" s="17" t="s">
        <v>870</v>
      </c>
      <c r="FN47" s="17" t="s">
        <v>870</v>
      </c>
      <c r="FO47" s="17" t="s">
        <v>870</v>
      </c>
      <c r="FP47" s="17" t="s">
        <v>870</v>
      </c>
      <c r="FQ47" s="17" t="s">
        <v>870</v>
      </c>
      <c r="FR47" s="17" t="s">
        <v>870</v>
      </c>
      <c r="FS47" s="17" t="s">
        <v>870</v>
      </c>
      <c r="FT47" s="17" t="s">
        <v>870</v>
      </c>
      <c r="FU47" s="17" t="s">
        <v>870</v>
      </c>
      <c r="FV47" s="17" t="s">
        <v>870</v>
      </c>
      <c r="FW47" s="17" t="s">
        <v>870</v>
      </c>
      <c r="FX47" s="17" t="s">
        <v>870</v>
      </c>
      <c r="FY47" s="17" t="s">
        <v>870</v>
      </c>
      <c r="FZ47" s="17" t="s">
        <v>870</v>
      </c>
      <c r="GA47" s="17" t="s">
        <v>870</v>
      </c>
      <c r="GB47" s="17" t="s">
        <v>870</v>
      </c>
      <c r="GC47" s="17" t="s">
        <v>870</v>
      </c>
      <c r="GD47" s="17" t="s">
        <v>870</v>
      </c>
      <c r="GE47" s="17" t="s">
        <v>870</v>
      </c>
      <c r="GF47" s="17" t="s">
        <v>870</v>
      </c>
      <c r="GG47" s="17" t="s">
        <v>870</v>
      </c>
      <c r="GH47" s="17" t="s">
        <v>870</v>
      </c>
      <c r="GI47" s="17" t="s">
        <v>870</v>
      </c>
      <c r="GJ47" s="17" t="s">
        <v>870</v>
      </c>
      <c r="GK47" s="17" t="s">
        <v>870</v>
      </c>
      <c r="GL47" s="17" t="s">
        <v>870</v>
      </c>
      <c r="GM47" s="17" t="s">
        <v>870</v>
      </c>
      <c r="GN47" s="17" t="s">
        <v>870</v>
      </c>
      <c r="GO47" s="63"/>
      <c r="GP47" s="63"/>
      <c r="GQ47" s="17" t="s">
        <v>870</v>
      </c>
      <c r="GR47" s="17" t="s">
        <v>870</v>
      </c>
      <c r="GS47" s="17" t="s">
        <v>870</v>
      </c>
      <c r="GT47" s="17" t="s">
        <v>870</v>
      </c>
      <c r="GU47" s="17" t="s">
        <v>870</v>
      </c>
      <c r="GV47" s="17" t="s">
        <v>870</v>
      </c>
      <c r="GW47" s="17" t="s">
        <v>870</v>
      </c>
      <c r="GX47" s="17" t="s">
        <v>870</v>
      </c>
      <c r="GY47" s="17" t="s">
        <v>870</v>
      </c>
      <c r="GZ47" s="17" t="s">
        <v>870</v>
      </c>
      <c r="HA47" s="17" t="s">
        <v>870</v>
      </c>
      <c r="HB47" s="17" t="s">
        <v>870</v>
      </c>
      <c r="HC47" s="17" t="s">
        <v>870</v>
      </c>
      <c r="HD47" s="17" t="s">
        <v>870</v>
      </c>
      <c r="HE47" s="17" t="s">
        <v>870</v>
      </c>
      <c r="HF47" s="17" t="s">
        <v>870</v>
      </c>
      <c r="HG47" s="17" t="s">
        <v>870</v>
      </c>
      <c r="HH47" s="17" t="s">
        <v>870</v>
      </c>
      <c r="HI47" s="17" t="s">
        <v>870</v>
      </c>
      <c r="HJ47" s="63"/>
      <c r="HK47" s="17" t="s">
        <v>870</v>
      </c>
      <c r="HL47" s="17" t="s">
        <v>870</v>
      </c>
      <c r="HM47" s="63"/>
      <c r="HN47" s="63"/>
      <c r="HO47" s="17" t="s">
        <v>870</v>
      </c>
      <c r="HP47" s="17" t="s">
        <v>870</v>
      </c>
      <c r="HQ47" s="63"/>
      <c r="HR47" s="63"/>
      <c r="HS47" s="63"/>
      <c r="HT47" s="63"/>
      <c r="HU47" s="17" t="s">
        <v>870</v>
      </c>
      <c r="HV47" s="17" t="s">
        <v>870</v>
      </c>
      <c r="HW47" s="17" t="s">
        <v>870</v>
      </c>
      <c r="HX47" s="17" t="s">
        <v>870</v>
      </c>
      <c r="HY47" s="17" t="s">
        <v>870</v>
      </c>
      <c r="HZ47" s="17" t="s">
        <v>870</v>
      </c>
      <c r="IA47" s="17" t="s">
        <v>870</v>
      </c>
      <c r="IB47" s="17" t="s">
        <v>870</v>
      </c>
      <c r="IC47" s="17" t="s">
        <v>870</v>
      </c>
      <c r="ID47" s="17" t="s">
        <v>870</v>
      </c>
      <c r="IE47" s="17" t="s">
        <v>870</v>
      </c>
      <c r="IF47" s="17" t="s">
        <v>870</v>
      </c>
      <c r="IG47" s="17" t="s">
        <v>870</v>
      </c>
      <c r="IH47" s="17" t="s">
        <v>870</v>
      </c>
      <c r="II47" s="17" t="s">
        <v>870</v>
      </c>
      <c r="IJ47" s="17" t="s">
        <v>870</v>
      </c>
      <c r="IK47" s="17" t="s">
        <v>870</v>
      </c>
      <c r="IL47" s="17" t="s">
        <v>870</v>
      </c>
      <c r="IM47" s="17" t="s">
        <v>870</v>
      </c>
      <c r="IN47" s="17" t="s">
        <v>870</v>
      </c>
      <c r="IO47" s="17" t="s">
        <v>870</v>
      </c>
      <c r="IP47" s="17" t="s">
        <v>870</v>
      </c>
      <c r="IQ47" s="17" t="s">
        <v>870</v>
      </c>
      <c r="IR47" s="17" t="s">
        <v>870</v>
      </c>
      <c r="IS47" s="17" t="s">
        <v>870</v>
      </c>
      <c r="IT47" s="17" t="s">
        <v>870</v>
      </c>
      <c r="IU47" s="17" t="s">
        <v>870</v>
      </c>
      <c r="IV47" s="17" t="s">
        <v>870</v>
      </c>
      <c r="IW47" s="17" t="s">
        <v>870</v>
      </c>
      <c r="IX47" s="17" t="s">
        <v>870</v>
      </c>
      <c r="IY47" s="17" t="s">
        <v>870</v>
      </c>
      <c r="IZ47" s="17" t="s">
        <v>870</v>
      </c>
      <c r="JA47" s="63"/>
      <c r="JB47" s="63"/>
      <c r="JC47" s="17" t="s">
        <v>870</v>
      </c>
      <c r="JD47" s="17" t="s">
        <v>870</v>
      </c>
      <c r="JE47" s="63"/>
      <c r="JF47" s="63"/>
      <c r="JG47" s="17" t="s">
        <v>870</v>
      </c>
      <c r="JH47" s="17" t="s">
        <v>870</v>
      </c>
      <c r="JI47" s="17" t="s">
        <v>870</v>
      </c>
      <c r="JJ47" s="17" t="s">
        <v>870</v>
      </c>
      <c r="JK47" s="17" t="s">
        <v>870</v>
      </c>
      <c r="JL47" s="17" t="s">
        <v>870</v>
      </c>
      <c r="JM47" s="17" t="s">
        <v>870</v>
      </c>
      <c r="JN47" s="17" t="s">
        <v>870</v>
      </c>
      <c r="JO47" s="17" t="s">
        <v>870</v>
      </c>
      <c r="JP47" s="17" t="s">
        <v>870</v>
      </c>
      <c r="JQ47" s="17" t="s">
        <v>870</v>
      </c>
      <c r="JR47" s="17" t="s">
        <v>870</v>
      </c>
      <c r="JS47" s="17" t="s">
        <v>870</v>
      </c>
      <c r="JT47" s="17" t="s">
        <v>870</v>
      </c>
    </row>
    <row r="48" spans="1:280" x14ac:dyDescent="0.25">
      <c r="A48" t="s">
        <v>36</v>
      </c>
      <c r="B48" s="17" t="s">
        <v>870</v>
      </c>
      <c r="C48" s="17" t="s">
        <v>870</v>
      </c>
      <c r="D48" s="17" t="s">
        <v>870</v>
      </c>
      <c r="E48" s="17" t="s">
        <v>870</v>
      </c>
      <c r="F48" s="17" t="s">
        <v>870</v>
      </c>
      <c r="G48" s="17" t="s">
        <v>870</v>
      </c>
      <c r="H48" s="17" t="s">
        <v>870</v>
      </c>
      <c r="I48" s="17" t="s">
        <v>870</v>
      </c>
      <c r="J48" s="17" t="s">
        <v>870</v>
      </c>
      <c r="K48" s="17" t="s">
        <v>870</v>
      </c>
      <c r="L48" s="17" t="s">
        <v>870</v>
      </c>
      <c r="M48" s="17" t="s">
        <v>870</v>
      </c>
      <c r="N48" s="17" t="s">
        <v>870</v>
      </c>
      <c r="O48" s="17" t="s">
        <v>870</v>
      </c>
      <c r="P48" s="17" t="s">
        <v>870</v>
      </c>
      <c r="Q48" s="17" t="s">
        <v>870</v>
      </c>
      <c r="R48" s="17" t="s">
        <v>870</v>
      </c>
      <c r="S48" s="17" t="s">
        <v>870</v>
      </c>
      <c r="T48" s="17" t="s">
        <v>870</v>
      </c>
      <c r="U48" s="17" t="s">
        <v>870</v>
      </c>
      <c r="V48" s="17" t="s">
        <v>870</v>
      </c>
      <c r="W48" s="17" t="s">
        <v>870</v>
      </c>
      <c r="X48" s="17" t="s">
        <v>870</v>
      </c>
      <c r="Y48" s="17" t="s">
        <v>870</v>
      </c>
      <c r="Z48" s="17" t="s">
        <v>870</v>
      </c>
      <c r="AA48" s="17" t="s">
        <v>870</v>
      </c>
      <c r="AB48" s="17" t="s">
        <v>870</v>
      </c>
      <c r="AC48" s="17" t="s">
        <v>870</v>
      </c>
      <c r="AD48" s="17" t="s">
        <v>870</v>
      </c>
      <c r="AE48" s="17" t="s">
        <v>870</v>
      </c>
      <c r="AF48" s="17" t="s">
        <v>870</v>
      </c>
      <c r="AG48" s="17" t="s">
        <v>870</v>
      </c>
      <c r="AH48" s="17" t="s">
        <v>870</v>
      </c>
      <c r="AI48" s="17" t="s">
        <v>870</v>
      </c>
      <c r="AJ48" s="17" t="s">
        <v>870</v>
      </c>
      <c r="AK48" s="17" t="s">
        <v>870</v>
      </c>
      <c r="AL48" s="17" t="s">
        <v>870</v>
      </c>
      <c r="AM48" s="17" t="s">
        <v>870</v>
      </c>
      <c r="AN48" s="17" t="s">
        <v>870</v>
      </c>
      <c r="AO48" s="17" t="s">
        <v>870</v>
      </c>
      <c r="AP48" s="17" t="s">
        <v>870</v>
      </c>
      <c r="AQ48" s="17" t="s">
        <v>870</v>
      </c>
      <c r="AR48" s="17" t="s">
        <v>870</v>
      </c>
      <c r="AS48" s="17" t="s">
        <v>870</v>
      </c>
      <c r="AT48" s="17" t="s">
        <v>870</v>
      </c>
      <c r="AU48" s="17" t="s">
        <v>870</v>
      </c>
      <c r="AV48" s="17" t="s">
        <v>870</v>
      </c>
      <c r="AW48" s="17" t="s">
        <v>870</v>
      </c>
      <c r="AX48" s="17" t="s">
        <v>870</v>
      </c>
      <c r="AY48" s="17" t="s">
        <v>870</v>
      </c>
      <c r="AZ48" s="17" t="s">
        <v>870</v>
      </c>
      <c r="BA48" s="17" t="s">
        <v>870</v>
      </c>
      <c r="BB48" s="17" t="s">
        <v>870</v>
      </c>
      <c r="BC48" s="17" t="s">
        <v>870</v>
      </c>
      <c r="BD48" s="17" t="s">
        <v>870</v>
      </c>
      <c r="BE48" s="17" t="s">
        <v>870</v>
      </c>
      <c r="BF48" s="17" t="s">
        <v>870</v>
      </c>
      <c r="BG48" s="17" t="s">
        <v>870</v>
      </c>
      <c r="BH48" s="17" t="s">
        <v>870</v>
      </c>
      <c r="BI48" s="17" t="s">
        <v>870</v>
      </c>
      <c r="BJ48" s="17" t="s">
        <v>870</v>
      </c>
      <c r="BK48" s="17" t="s">
        <v>870</v>
      </c>
      <c r="BL48" s="17" t="s">
        <v>870</v>
      </c>
      <c r="BM48" s="17" t="s">
        <v>870</v>
      </c>
      <c r="BN48" s="17" t="s">
        <v>870</v>
      </c>
      <c r="BO48" s="17" t="s">
        <v>870</v>
      </c>
      <c r="BP48" s="17" t="s">
        <v>870</v>
      </c>
      <c r="BQ48" s="17" t="s">
        <v>870</v>
      </c>
      <c r="BR48" s="17" t="s">
        <v>870</v>
      </c>
      <c r="BS48" s="17" t="s">
        <v>870</v>
      </c>
      <c r="BT48" s="17" t="s">
        <v>870</v>
      </c>
      <c r="BU48" s="17" t="s">
        <v>870</v>
      </c>
      <c r="BV48" s="17" t="s">
        <v>870</v>
      </c>
      <c r="BW48" s="17" t="s">
        <v>870</v>
      </c>
      <c r="BX48" s="17" t="s">
        <v>870</v>
      </c>
      <c r="BY48" s="17" t="s">
        <v>870</v>
      </c>
      <c r="BZ48" s="17" t="s">
        <v>870</v>
      </c>
      <c r="CA48" s="17" t="s">
        <v>870</v>
      </c>
      <c r="CB48" s="17" t="s">
        <v>870</v>
      </c>
      <c r="CC48" s="17" t="s">
        <v>870</v>
      </c>
      <c r="CD48" s="17" t="s">
        <v>870</v>
      </c>
      <c r="CE48" s="17" t="s">
        <v>870</v>
      </c>
      <c r="CF48" s="17" t="s">
        <v>870</v>
      </c>
      <c r="CG48" s="17" t="s">
        <v>870</v>
      </c>
      <c r="CH48" s="17" t="s">
        <v>870</v>
      </c>
      <c r="CI48" s="17" t="s">
        <v>870</v>
      </c>
      <c r="CJ48" s="17" t="s">
        <v>870</v>
      </c>
      <c r="CK48" s="17" t="s">
        <v>870</v>
      </c>
      <c r="CL48" s="17" t="s">
        <v>870</v>
      </c>
      <c r="CM48" s="17" t="s">
        <v>870</v>
      </c>
      <c r="CN48" s="17" t="s">
        <v>870</v>
      </c>
      <c r="CO48" s="17" t="s">
        <v>870</v>
      </c>
      <c r="CP48" s="17" t="s">
        <v>870</v>
      </c>
      <c r="CQ48" s="17" t="s">
        <v>870</v>
      </c>
      <c r="CR48" s="17" t="s">
        <v>870</v>
      </c>
      <c r="CS48" s="17" t="s">
        <v>870</v>
      </c>
      <c r="CT48" s="17" t="s">
        <v>870</v>
      </c>
      <c r="CU48" s="17" t="s">
        <v>870</v>
      </c>
      <c r="CV48" s="17" t="s">
        <v>870</v>
      </c>
      <c r="CW48" s="17" t="s">
        <v>870</v>
      </c>
      <c r="CX48" s="17" t="s">
        <v>870</v>
      </c>
      <c r="CY48" s="17" t="s">
        <v>870</v>
      </c>
      <c r="CZ48" s="17" t="s">
        <v>870</v>
      </c>
      <c r="DA48" s="17" t="s">
        <v>870</v>
      </c>
      <c r="DB48" s="17" t="s">
        <v>870</v>
      </c>
      <c r="DC48" s="17" t="s">
        <v>870</v>
      </c>
      <c r="DD48" s="17" t="s">
        <v>870</v>
      </c>
      <c r="DE48" s="17" t="s">
        <v>870</v>
      </c>
      <c r="DF48" s="17" t="s">
        <v>870</v>
      </c>
      <c r="DG48" s="17" t="s">
        <v>870</v>
      </c>
      <c r="DH48" s="17" t="s">
        <v>870</v>
      </c>
      <c r="DI48" s="17" t="s">
        <v>870</v>
      </c>
      <c r="DJ48" s="17" t="s">
        <v>870</v>
      </c>
      <c r="DK48" s="17" t="s">
        <v>870</v>
      </c>
      <c r="DL48" s="17" t="s">
        <v>870</v>
      </c>
      <c r="DM48" s="17" t="s">
        <v>870</v>
      </c>
      <c r="DN48" s="17" t="s">
        <v>870</v>
      </c>
      <c r="DO48" s="17" t="s">
        <v>870</v>
      </c>
      <c r="DP48" s="17" t="s">
        <v>870</v>
      </c>
      <c r="DQ48" s="17" t="s">
        <v>870</v>
      </c>
      <c r="DR48" s="17" t="s">
        <v>870</v>
      </c>
      <c r="DS48" s="17" t="s">
        <v>870</v>
      </c>
      <c r="DT48" s="17" t="s">
        <v>870</v>
      </c>
      <c r="DU48" s="17" t="s">
        <v>870</v>
      </c>
      <c r="DV48" s="17" t="s">
        <v>870</v>
      </c>
      <c r="DW48" s="17" t="s">
        <v>870</v>
      </c>
      <c r="DX48" s="17" t="s">
        <v>870</v>
      </c>
      <c r="DY48" s="17" t="s">
        <v>870</v>
      </c>
      <c r="DZ48" s="17" t="s">
        <v>870</v>
      </c>
      <c r="EA48" s="17" t="s">
        <v>870</v>
      </c>
      <c r="EB48" s="17" t="s">
        <v>870</v>
      </c>
      <c r="EC48" s="17" t="s">
        <v>870</v>
      </c>
      <c r="ED48" s="17" t="s">
        <v>870</v>
      </c>
      <c r="EE48" s="17" t="s">
        <v>870</v>
      </c>
      <c r="EF48" s="17" t="s">
        <v>870</v>
      </c>
      <c r="EG48" s="17" t="s">
        <v>870</v>
      </c>
      <c r="EH48" s="17" t="s">
        <v>870</v>
      </c>
      <c r="EI48" s="17" t="s">
        <v>870</v>
      </c>
      <c r="EJ48" s="17" t="s">
        <v>870</v>
      </c>
      <c r="EK48" s="17" t="s">
        <v>870</v>
      </c>
      <c r="EL48" s="17" t="s">
        <v>870</v>
      </c>
      <c r="EM48" s="17" t="s">
        <v>870</v>
      </c>
      <c r="EN48" s="17" t="s">
        <v>870</v>
      </c>
      <c r="EO48" s="17" t="s">
        <v>870</v>
      </c>
      <c r="EP48" s="17" t="s">
        <v>870</v>
      </c>
      <c r="EQ48" s="17" t="s">
        <v>870</v>
      </c>
      <c r="ER48" s="17" t="s">
        <v>870</v>
      </c>
      <c r="ES48" s="17" t="s">
        <v>870</v>
      </c>
      <c r="ET48" s="17" t="s">
        <v>870</v>
      </c>
      <c r="EU48" s="17" t="s">
        <v>870</v>
      </c>
      <c r="EV48" s="17" t="s">
        <v>870</v>
      </c>
      <c r="EW48" s="17" t="s">
        <v>870</v>
      </c>
      <c r="EX48" s="17" t="s">
        <v>870</v>
      </c>
      <c r="EY48" s="63"/>
      <c r="EZ48" s="17" t="s">
        <v>870</v>
      </c>
      <c r="FA48" s="17" t="s">
        <v>870</v>
      </c>
      <c r="FB48" s="17" t="s">
        <v>870</v>
      </c>
      <c r="FC48" s="17" t="s">
        <v>870</v>
      </c>
      <c r="FD48" s="17" t="s">
        <v>870</v>
      </c>
      <c r="FE48" s="17" t="s">
        <v>870</v>
      </c>
      <c r="FF48" s="17" t="s">
        <v>870</v>
      </c>
      <c r="FG48" s="17" t="s">
        <v>870</v>
      </c>
      <c r="FH48" s="17" t="s">
        <v>870</v>
      </c>
      <c r="FI48" s="17" t="s">
        <v>870</v>
      </c>
      <c r="FJ48" s="17" t="s">
        <v>870</v>
      </c>
      <c r="FK48" s="17" t="s">
        <v>870</v>
      </c>
      <c r="FL48" s="17" t="s">
        <v>870</v>
      </c>
      <c r="FM48" s="17" t="s">
        <v>870</v>
      </c>
      <c r="FN48" s="17" t="s">
        <v>870</v>
      </c>
      <c r="FO48" s="17" t="s">
        <v>870</v>
      </c>
      <c r="FP48" s="17" t="s">
        <v>870</v>
      </c>
      <c r="FQ48" s="17" t="s">
        <v>870</v>
      </c>
      <c r="FR48" s="17" t="s">
        <v>870</v>
      </c>
      <c r="FS48" s="17" t="s">
        <v>870</v>
      </c>
      <c r="FT48" s="17" t="s">
        <v>870</v>
      </c>
      <c r="FU48" s="17" t="s">
        <v>870</v>
      </c>
      <c r="FV48" s="17" t="s">
        <v>870</v>
      </c>
      <c r="FW48" s="17" t="s">
        <v>870</v>
      </c>
      <c r="FX48" s="17" t="s">
        <v>870</v>
      </c>
      <c r="FY48" s="17" t="s">
        <v>870</v>
      </c>
      <c r="FZ48" s="17" t="s">
        <v>870</v>
      </c>
      <c r="GA48" s="17" t="s">
        <v>870</v>
      </c>
      <c r="GB48" s="17" t="s">
        <v>870</v>
      </c>
      <c r="GC48" s="17" t="s">
        <v>870</v>
      </c>
      <c r="GD48" s="17" t="s">
        <v>870</v>
      </c>
      <c r="GE48" s="17" t="s">
        <v>870</v>
      </c>
      <c r="GF48" s="17" t="s">
        <v>870</v>
      </c>
      <c r="GG48" s="17" t="s">
        <v>870</v>
      </c>
      <c r="GH48" s="17" t="s">
        <v>870</v>
      </c>
      <c r="GI48" s="17" t="s">
        <v>870</v>
      </c>
      <c r="GJ48" s="17" t="s">
        <v>870</v>
      </c>
      <c r="GK48" s="17" t="s">
        <v>870</v>
      </c>
      <c r="GL48" s="17" t="s">
        <v>870</v>
      </c>
      <c r="GM48" s="17" t="s">
        <v>870</v>
      </c>
      <c r="GN48" s="17" t="s">
        <v>870</v>
      </c>
      <c r="GO48" s="17" t="s">
        <v>870</v>
      </c>
      <c r="GP48" s="17" t="s">
        <v>870</v>
      </c>
      <c r="GQ48" s="17" t="s">
        <v>870</v>
      </c>
      <c r="GR48" s="17" t="s">
        <v>870</v>
      </c>
      <c r="GS48" s="17" t="s">
        <v>870</v>
      </c>
      <c r="GT48" s="17" t="s">
        <v>870</v>
      </c>
      <c r="GU48" s="17" t="s">
        <v>870</v>
      </c>
      <c r="GV48" s="17" t="s">
        <v>870</v>
      </c>
      <c r="GW48" s="17" t="s">
        <v>870</v>
      </c>
      <c r="GX48" s="17" t="s">
        <v>870</v>
      </c>
      <c r="GY48" s="17" t="s">
        <v>870</v>
      </c>
      <c r="GZ48" s="17" t="s">
        <v>870</v>
      </c>
      <c r="HA48" s="17" t="s">
        <v>870</v>
      </c>
      <c r="HB48" s="17" t="s">
        <v>870</v>
      </c>
      <c r="HC48" s="17" t="s">
        <v>870</v>
      </c>
      <c r="HD48" s="17" t="s">
        <v>870</v>
      </c>
      <c r="HE48" s="17" t="s">
        <v>870</v>
      </c>
      <c r="HF48" s="17" t="s">
        <v>870</v>
      </c>
      <c r="HG48" s="17" t="s">
        <v>870</v>
      </c>
      <c r="HH48" s="17" t="s">
        <v>870</v>
      </c>
      <c r="HI48" s="17" t="s">
        <v>870</v>
      </c>
      <c r="HJ48" s="17" t="s">
        <v>870</v>
      </c>
      <c r="HK48" s="17" t="s">
        <v>870</v>
      </c>
      <c r="HL48" s="17" t="s">
        <v>870</v>
      </c>
      <c r="HM48" s="17" t="s">
        <v>870</v>
      </c>
      <c r="HN48" s="17" t="s">
        <v>870</v>
      </c>
      <c r="HO48" s="17" t="s">
        <v>870</v>
      </c>
      <c r="HP48" s="17" t="s">
        <v>870</v>
      </c>
      <c r="HQ48" s="17" t="s">
        <v>870</v>
      </c>
      <c r="HR48" s="17" t="s">
        <v>870</v>
      </c>
      <c r="HS48" s="17" t="s">
        <v>870</v>
      </c>
      <c r="HT48" s="17" t="s">
        <v>870</v>
      </c>
      <c r="HU48" s="17" t="s">
        <v>870</v>
      </c>
      <c r="HV48" s="17" t="s">
        <v>870</v>
      </c>
      <c r="HW48" s="17" t="s">
        <v>870</v>
      </c>
      <c r="HX48" s="17" t="s">
        <v>870</v>
      </c>
      <c r="HY48" s="17" t="s">
        <v>870</v>
      </c>
      <c r="HZ48" s="17" t="s">
        <v>870</v>
      </c>
      <c r="IA48" s="17" t="s">
        <v>870</v>
      </c>
      <c r="IB48" s="17" t="s">
        <v>870</v>
      </c>
      <c r="IC48" s="17" t="s">
        <v>870</v>
      </c>
      <c r="ID48" s="17" t="s">
        <v>870</v>
      </c>
      <c r="IE48" s="17" t="s">
        <v>870</v>
      </c>
      <c r="IF48" s="17" t="s">
        <v>870</v>
      </c>
      <c r="IG48" s="17" t="s">
        <v>870</v>
      </c>
      <c r="IH48" s="17" t="s">
        <v>870</v>
      </c>
      <c r="II48" s="17" t="s">
        <v>870</v>
      </c>
      <c r="IJ48" s="17" t="s">
        <v>870</v>
      </c>
      <c r="IK48" s="17" t="s">
        <v>870</v>
      </c>
      <c r="IL48" s="17" t="s">
        <v>870</v>
      </c>
      <c r="IM48" s="17" t="s">
        <v>870</v>
      </c>
      <c r="IN48" s="17" t="s">
        <v>870</v>
      </c>
      <c r="IO48" s="17" t="s">
        <v>870</v>
      </c>
      <c r="IP48" s="17" t="s">
        <v>870</v>
      </c>
      <c r="IQ48" s="17" t="s">
        <v>870</v>
      </c>
      <c r="IR48" s="17" t="s">
        <v>870</v>
      </c>
      <c r="IS48" s="17" t="s">
        <v>870</v>
      </c>
      <c r="IT48" s="17" t="s">
        <v>870</v>
      </c>
      <c r="IU48" s="17" t="s">
        <v>870</v>
      </c>
      <c r="IV48" s="17" t="s">
        <v>870</v>
      </c>
      <c r="IW48" s="17" t="s">
        <v>870</v>
      </c>
      <c r="IX48" s="17" t="s">
        <v>870</v>
      </c>
      <c r="IY48" s="17" t="s">
        <v>870</v>
      </c>
      <c r="IZ48" s="17" t="s">
        <v>870</v>
      </c>
      <c r="JA48" s="17" t="s">
        <v>870</v>
      </c>
      <c r="JB48" s="17" t="s">
        <v>870</v>
      </c>
      <c r="JC48" s="17" t="s">
        <v>870</v>
      </c>
      <c r="JD48" s="17" t="s">
        <v>870</v>
      </c>
      <c r="JE48" s="17" t="s">
        <v>870</v>
      </c>
      <c r="JF48" s="17" t="s">
        <v>870</v>
      </c>
      <c r="JG48" s="17" t="s">
        <v>870</v>
      </c>
      <c r="JH48" s="17" t="s">
        <v>870</v>
      </c>
      <c r="JI48" s="17" t="s">
        <v>870</v>
      </c>
      <c r="JJ48" s="17" t="s">
        <v>870</v>
      </c>
      <c r="JK48" s="17" t="s">
        <v>870</v>
      </c>
      <c r="JL48" s="17" t="s">
        <v>870</v>
      </c>
      <c r="JM48" s="17" t="s">
        <v>870</v>
      </c>
      <c r="JN48" s="17" t="s">
        <v>870</v>
      </c>
      <c r="JO48" s="17" t="s">
        <v>870</v>
      </c>
      <c r="JP48" s="17" t="s">
        <v>870</v>
      </c>
      <c r="JQ48" s="17" t="s">
        <v>870</v>
      </c>
      <c r="JR48" s="17" t="s">
        <v>870</v>
      </c>
      <c r="JS48" s="17" t="s">
        <v>870</v>
      </c>
      <c r="JT48" s="17" t="s">
        <v>870</v>
      </c>
    </row>
    <row r="49" spans="1:280" x14ac:dyDescent="0.25">
      <c r="A49" t="s">
        <v>434</v>
      </c>
      <c r="B49" s="17" t="s">
        <v>870</v>
      </c>
      <c r="C49" s="17" t="s">
        <v>870</v>
      </c>
      <c r="D49" s="17" t="s">
        <v>870</v>
      </c>
      <c r="E49" s="17" t="s">
        <v>870</v>
      </c>
      <c r="F49" s="17" t="s">
        <v>870</v>
      </c>
      <c r="G49" s="17" t="s">
        <v>870</v>
      </c>
      <c r="H49" s="17" t="s">
        <v>870</v>
      </c>
      <c r="I49" s="17" t="s">
        <v>870</v>
      </c>
      <c r="J49" s="17" t="s">
        <v>870</v>
      </c>
      <c r="K49" s="17" t="s">
        <v>870</v>
      </c>
      <c r="L49" s="17" t="s">
        <v>870</v>
      </c>
      <c r="M49" s="17" t="s">
        <v>870</v>
      </c>
      <c r="N49" s="17" t="s">
        <v>870</v>
      </c>
      <c r="O49" s="17" t="s">
        <v>870</v>
      </c>
      <c r="P49" s="17" t="s">
        <v>870</v>
      </c>
      <c r="Q49" s="17" t="s">
        <v>870</v>
      </c>
      <c r="R49" s="17" t="s">
        <v>870</v>
      </c>
      <c r="S49" s="17" t="s">
        <v>870</v>
      </c>
      <c r="T49" s="17" t="s">
        <v>870</v>
      </c>
      <c r="U49" s="17" t="s">
        <v>870</v>
      </c>
      <c r="V49" s="17" t="s">
        <v>870</v>
      </c>
      <c r="W49" s="17" t="s">
        <v>870</v>
      </c>
      <c r="X49" s="17" t="s">
        <v>870</v>
      </c>
      <c r="Y49" s="17" t="s">
        <v>870</v>
      </c>
      <c r="Z49" s="17" t="s">
        <v>870</v>
      </c>
      <c r="AA49" s="17" t="s">
        <v>870</v>
      </c>
      <c r="AB49" s="17" t="s">
        <v>870</v>
      </c>
      <c r="AC49" s="17" t="s">
        <v>870</v>
      </c>
      <c r="AD49" s="17" t="s">
        <v>870</v>
      </c>
      <c r="AE49" s="17" t="s">
        <v>870</v>
      </c>
      <c r="AF49" s="17" t="s">
        <v>870</v>
      </c>
      <c r="AG49" s="17" t="s">
        <v>870</v>
      </c>
      <c r="AH49" s="17" t="s">
        <v>870</v>
      </c>
      <c r="AI49" s="17" t="s">
        <v>870</v>
      </c>
      <c r="AJ49" s="17" t="s">
        <v>870</v>
      </c>
      <c r="AK49" s="17" t="s">
        <v>870</v>
      </c>
      <c r="AL49" s="17" t="s">
        <v>870</v>
      </c>
      <c r="AM49" s="17" t="s">
        <v>870</v>
      </c>
      <c r="AN49" s="17" t="s">
        <v>870</v>
      </c>
      <c r="AO49" s="17" t="s">
        <v>870</v>
      </c>
      <c r="AP49" s="17" t="s">
        <v>870</v>
      </c>
      <c r="AQ49" s="17" t="s">
        <v>870</v>
      </c>
      <c r="AR49" s="17" t="s">
        <v>870</v>
      </c>
      <c r="AS49" s="17" t="s">
        <v>870</v>
      </c>
      <c r="AT49" s="17" t="s">
        <v>870</v>
      </c>
      <c r="AU49" s="17" t="s">
        <v>870</v>
      </c>
      <c r="AV49" s="17" t="s">
        <v>870</v>
      </c>
      <c r="AW49" s="17" t="s">
        <v>870</v>
      </c>
      <c r="AX49" s="17" t="s">
        <v>870</v>
      </c>
      <c r="AY49" s="17" t="s">
        <v>870</v>
      </c>
      <c r="AZ49" s="17" t="s">
        <v>870</v>
      </c>
      <c r="BA49" s="17" t="s">
        <v>870</v>
      </c>
      <c r="BB49" s="17" t="s">
        <v>870</v>
      </c>
      <c r="BC49" s="17" t="s">
        <v>870</v>
      </c>
      <c r="BD49" s="17" t="s">
        <v>870</v>
      </c>
      <c r="BE49" s="17" t="s">
        <v>870</v>
      </c>
      <c r="BF49" s="17" t="s">
        <v>870</v>
      </c>
      <c r="BG49" s="17" t="s">
        <v>870</v>
      </c>
      <c r="BH49" s="17" t="s">
        <v>870</v>
      </c>
      <c r="BI49" s="17" t="s">
        <v>870</v>
      </c>
      <c r="BJ49" s="17" t="s">
        <v>870</v>
      </c>
      <c r="BK49" s="17" t="s">
        <v>870</v>
      </c>
      <c r="BL49" s="17" t="s">
        <v>870</v>
      </c>
      <c r="BM49" s="17" t="s">
        <v>870</v>
      </c>
      <c r="BN49" s="17" t="s">
        <v>870</v>
      </c>
      <c r="BO49" s="17" t="s">
        <v>870</v>
      </c>
      <c r="BP49" s="17" t="s">
        <v>870</v>
      </c>
      <c r="BQ49" s="17" t="s">
        <v>870</v>
      </c>
      <c r="BR49" s="17" t="s">
        <v>870</v>
      </c>
      <c r="BS49" s="17" t="s">
        <v>870</v>
      </c>
      <c r="BT49" s="17" t="s">
        <v>870</v>
      </c>
      <c r="BU49" s="17" t="s">
        <v>870</v>
      </c>
      <c r="BV49" s="17" t="s">
        <v>870</v>
      </c>
      <c r="BW49" s="17" t="s">
        <v>870</v>
      </c>
      <c r="BX49" s="17" t="s">
        <v>870</v>
      </c>
      <c r="BY49" s="17" t="s">
        <v>870</v>
      </c>
      <c r="BZ49" s="17" t="s">
        <v>870</v>
      </c>
      <c r="CA49" s="17" t="s">
        <v>870</v>
      </c>
      <c r="CB49" s="17" t="s">
        <v>870</v>
      </c>
      <c r="CC49" s="17" t="s">
        <v>870</v>
      </c>
      <c r="CD49" s="17" t="s">
        <v>870</v>
      </c>
      <c r="CE49" s="17" t="s">
        <v>870</v>
      </c>
      <c r="CF49" s="17" t="s">
        <v>870</v>
      </c>
      <c r="CG49" s="17" t="s">
        <v>870</v>
      </c>
      <c r="CH49" s="17" t="s">
        <v>870</v>
      </c>
      <c r="CI49" s="17" t="s">
        <v>870</v>
      </c>
      <c r="CJ49" s="17" t="s">
        <v>870</v>
      </c>
      <c r="CK49" s="17" t="s">
        <v>870</v>
      </c>
      <c r="CL49" s="17" t="s">
        <v>870</v>
      </c>
      <c r="CM49" s="17" t="s">
        <v>870</v>
      </c>
      <c r="CN49" s="17" t="s">
        <v>870</v>
      </c>
      <c r="CO49" s="17" t="s">
        <v>870</v>
      </c>
      <c r="CP49" s="17" t="s">
        <v>870</v>
      </c>
      <c r="CQ49" s="17" t="s">
        <v>870</v>
      </c>
      <c r="CR49" s="17" t="s">
        <v>870</v>
      </c>
      <c r="CS49" s="17" t="s">
        <v>870</v>
      </c>
      <c r="CT49" s="17" t="s">
        <v>870</v>
      </c>
      <c r="CU49" s="17" t="s">
        <v>870</v>
      </c>
      <c r="CV49" s="17" t="s">
        <v>870</v>
      </c>
      <c r="CW49" s="17" t="s">
        <v>870</v>
      </c>
      <c r="CX49" s="17" t="s">
        <v>870</v>
      </c>
      <c r="CY49" s="17" t="s">
        <v>870</v>
      </c>
      <c r="CZ49" s="17" t="s">
        <v>870</v>
      </c>
      <c r="DA49" s="17" t="s">
        <v>870</v>
      </c>
      <c r="DB49" s="17" t="s">
        <v>870</v>
      </c>
      <c r="DC49" s="17" t="s">
        <v>870</v>
      </c>
      <c r="DD49" s="17" t="s">
        <v>870</v>
      </c>
      <c r="DE49" s="17" t="s">
        <v>870</v>
      </c>
      <c r="DF49" s="17" t="s">
        <v>870</v>
      </c>
      <c r="DG49" s="17" t="s">
        <v>870</v>
      </c>
      <c r="DH49" s="17" t="s">
        <v>870</v>
      </c>
      <c r="DI49" s="17" t="s">
        <v>870</v>
      </c>
      <c r="DJ49" s="17" t="s">
        <v>870</v>
      </c>
      <c r="DK49" s="17" t="s">
        <v>870</v>
      </c>
      <c r="DL49" s="17" t="s">
        <v>870</v>
      </c>
      <c r="DM49" s="17" t="s">
        <v>870</v>
      </c>
      <c r="DN49" s="17" t="s">
        <v>870</v>
      </c>
      <c r="DO49" s="17" t="s">
        <v>870</v>
      </c>
      <c r="DP49" s="17" t="s">
        <v>870</v>
      </c>
      <c r="DQ49" s="17" t="s">
        <v>870</v>
      </c>
      <c r="DR49" s="17" t="s">
        <v>870</v>
      </c>
      <c r="DS49" s="17" t="s">
        <v>870</v>
      </c>
      <c r="DT49" s="17" t="s">
        <v>870</v>
      </c>
      <c r="DU49" s="17" t="s">
        <v>870</v>
      </c>
      <c r="DV49" s="17" t="s">
        <v>870</v>
      </c>
      <c r="DW49" s="17" t="s">
        <v>870</v>
      </c>
      <c r="DX49" s="17" t="s">
        <v>870</v>
      </c>
      <c r="DY49" s="17" t="s">
        <v>870</v>
      </c>
      <c r="DZ49" s="17" t="s">
        <v>870</v>
      </c>
      <c r="EA49" s="17" t="s">
        <v>870</v>
      </c>
      <c r="EB49" s="17" t="s">
        <v>870</v>
      </c>
      <c r="EC49" s="17" t="s">
        <v>870</v>
      </c>
      <c r="ED49" s="17" t="s">
        <v>870</v>
      </c>
      <c r="EE49" s="17" t="s">
        <v>870</v>
      </c>
      <c r="EF49" s="17" t="s">
        <v>870</v>
      </c>
      <c r="EG49" s="17" t="s">
        <v>870</v>
      </c>
      <c r="EH49" s="17" t="s">
        <v>870</v>
      </c>
      <c r="EI49" s="17" t="s">
        <v>870</v>
      </c>
      <c r="EJ49" s="17" t="s">
        <v>870</v>
      </c>
      <c r="EK49" s="17" t="s">
        <v>870</v>
      </c>
      <c r="EL49" s="17" t="s">
        <v>870</v>
      </c>
      <c r="EM49" s="17" t="s">
        <v>870</v>
      </c>
      <c r="EN49" s="17" t="s">
        <v>870</v>
      </c>
      <c r="EO49" s="17" t="s">
        <v>870</v>
      </c>
      <c r="EP49" s="17" t="s">
        <v>870</v>
      </c>
      <c r="EQ49" s="17" t="s">
        <v>870</v>
      </c>
      <c r="ER49" s="17" t="s">
        <v>870</v>
      </c>
      <c r="ES49" s="17" t="s">
        <v>870</v>
      </c>
      <c r="ET49" s="17" t="s">
        <v>870</v>
      </c>
      <c r="EU49" s="17" t="s">
        <v>870</v>
      </c>
      <c r="EV49" s="17" t="s">
        <v>870</v>
      </c>
      <c r="EW49" s="17" t="s">
        <v>870</v>
      </c>
      <c r="EX49" s="17" t="s">
        <v>870</v>
      </c>
      <c r="EY49" s="17" t="s">
        <v>870</v>
      </c>
      <c r="EZ49" s="17" t="s">
        <v>870</v>
      </c>
      <c r="FA49" s="17" t="s">
        <v>870</v>
      </c>
      <c r="FB49" s="17" t="s">
        <v>870</v>
      </c>
      <c r="FC49" s="17" t="s">
        <v>870</v>
      </c>
      <c r="FD49" s="17" t="s">
        <v>870</v>
      </c>
      <c r="FE49" s="17" t="s">
        <v>870</v>
      </c>
      <c r="FF49" s="17" t="s">
        <v>870</v>
      </c>
      <c r="FG49" s="17" t="s">
        <v>870</v>
      </c>
      <c r="FH49" s="17" t="s">
        <v>870</v>
      </c>
      <c r="FI49" s="17" t="s">
        <v>870</v>
      </c>
      <c r="FJ49" s="17" t="s">
        <v>870</v>
      </c>
      <c r="FK49" s="17" t="s">
        <v>870</v>
      </c>
      <c r="FL49" s="17" t="s">
        <v>870</v>
      </c>
      <c r="FM49" s="17" t="s">
        <v>870</v>
      </c>
      <c r="FN49" s="17" t="s">
        <v>870</v>
      </c>
      <c r="FO49" s="17" t="s">
        <v>870</v>
      </c>
      <c r="FP49" s="17" t="s">
        <v>870</v>
      </c>
      <c r="FQ49" s="17" t="s">
        <v>870</v>
      </c>
      <c r="FR49" s="17" t="s">
        <v>870</v>
      </c>
      <c r="FS49" s="17" t="s">
        <v>870</v>
      </c>
      <c r="FT49" s="17" t="s">
        <v>870</v>
      </c>
      <c r="FU49" s="17" t="s">
        <v>870</v>
      </c>
      <c r="FV49" s="17" t="s">
        <v>870</v>
      </c>
      <c r="FW49" s="17" t="s">
        <v>870</v>
      </c>
      <c r="FX49" s="17" t="s">
        <v>870</v>
      </c>
      <c r="FY49" s="17" t="s">
        <v>870</v>
      </c>
      <c r="FZ49" s="17" t="s">
        <v>870</v>
      </c>
      <c r="GA49" s="17" t="s">
        <v>870</v>
      </c>
      <c r="GB49" s="17" t="s">
        <v>870</v>
      </c>
      <c r="GC49" s="17" t="s">
        <v>870</v>
      </c>
      <c r="GD49" s="17" t="s">
        <v>870</v>
      </c>
      <c r="GE49" s="17" t="s">
        <v>870</v>
      </c>
      <c r="GF49" s="17" t="s">
        <v>870</v>
      </c>
      <c r="GG49" s="17" t="s">
        <v>870</v>
      </c>
      <c r="GH49" s="17" t="s">
        <v>870</v>
      </c>
      <c r="GI49" s="17" t="s">
        <v>870</v>
      </c>
      <c r="GJ49" s="17" t="s">
        <v>870</v>
      </c>
      <c r="GK49" s="17" t="s">
        <v>870</v>
      </c>
      <c r="GL49" s="17" t="s">
        <v>870</v>
      </c>
      <c r="GM49" s="17" t="s">
        <v>870</v>
      </c>
      <c r="GN49" s="17" t="s">
        <v>870</v>
      </c>
      <c r="GO49" s="17" t="s">
        <v>870</v>
      </c>
      <c r="GP49" s="17" t="s">
        <v>870</v>
      </c>
      <c r="GQ49" s="17" t="s">
        <v>870</v>
      </c>
      <c r="GR49" s="17" t="s">
        <v>870</v>
      </c>
      <c r="GS49" s="17" t="s">
        <v>870</v>
      </c>
      <c r="GT49" s="17" t="s">
        <v>870</v>
      </c>
      <c r="GU49" s="17" t="s">
        <v>870</v>
      </c>
      <c r="GV49" s="17" t="s">
        <v>870</v>
      </c>
      <c r="GW49" s="17" t="s">
        <v>870</v>
      </c>
      <c r="GX49" s="17" t="s">
        <v>870</v>
      </c>
      <c r="GY49" s="17" t="s">
        <v>870</v>
      </c>
      <c r="GZ49" s="17" t="s">
        <v>870</v>
      </c>
      <c r="HA49" s="17" t="s">
        <v>870</v>
      </c>
      <c r="HB49" s="17" t="s">
        <v>870</v>
      </c>
      <c r="HC49" s="17" t="s">
        <v>870</v>
      </c>
      <c r="HD49" s="17" t="s">
        <v>870</v>
      </c>
      <c r="HE49" s="17" t="s">
        <v>870</v>
      </c>
      <c r="HF49" s="62"/>
      <c r="HG49" s="17" t="s">
        <v>870</v>
      </c>
      <c r="HH49" s="17" t="s">
        <v>870</v>
      </c>
      <c r="HI49" s="17" t="s">
        <v>870</v>
      </c>
      <c r="HJ49" s="17" t="s">
        <v>870</v>
      </c>
      <c r="HK49" s="17" t="s">
        <v>870</v>
      </c>
      <c r="HL49" s="17" t="s">
        <v>870</v>
      </c>
      <c r="HM49" s="17" t="s">
        <v>870</v>
      </c>
      <c r="HN49" s="17" t="s">
        <v>870</v>
      </c>
      <c r="HO49" s="17" t="s">
        <v>870</v>
      </c>
      <c r="HP49" s="17" t="s">
        <v>870</v>
      </c>
      <c r="HQ49" s="17" t="s">
        <v>870</v>
      </c>
      <c r="HR49" s="17" t="s">
        <v>870</v>
      </c>
      <c r="HS49" s="17" t="s">
        <v>870</v>
      </c>
      <c r="HT49" s="17" t="s">
        <v>870</v>
      </c>
      <c r="HU49" s="17" t="s">
        <v>870</v>
      </c>
      <c r="HV49" s="17" t="s">
        <v>870</v>
      </c>
      <c r="HW49" s="17" t="s">
        <v>870</v>
      </c>
      <c r="HX49" s="17" t="s">
        <v>870</v>
      </c>
      <c r="HY49" s="17" t="s">
        <v>870</v>
      </c>
      <c r="HZ49" s="17" t="s">
        <v>870</v>
      </c>
      <c r="IA49" s="17" t="s">
        <v>870</v>
      </c>
      <c r="IB49" s="17" t="s">
        <v>870</v>
      </c>
      <c r="IC49" s="17" t="s">
        <v>870</v>
      </c>
      <c r="ID49" s="17" t="s">
        <v>870</v>
      </c>
      <c r="IE49" s="17" t="s">
        <v>870</v>
      </c>
      <c r="IF49" s="17" t="s">
        <v>870</v>
      </c>
      <c r="IG49" s="17" t="s">
        <v>870</v>
      </c>
      <c r="IH49" s="17" t="s">
        <v>870</v>
      </c>
      <c r="II49" s="17" t="s">
        <v>870</v>
      </c>
      <c r="IJ49" s="17" t="s">
        <v>870</v>
      </c>
      <c r="IK49" s="17" t="s">
        <v>870</v>
      </c>
      <c r="IL49" s="17" t="s">
        <v>870</v>
      </c>
      <c r="IM49" s="17" t="s">
        <v>870</v>
      </c>
      <c r="IN49" s="17" t="s">
        <v>870</v>
      </c>
      <c r="IO49" s="17" t="s">
        <v>870</v>
      </c>
      <c r="IP49" s="17" t="s">
        <v>870</v>
      </c>
      <c r="IQ49" s="17" t="s">
        <v>870</v>
      </c>
      <c r="IR49" s="17" t="s">
        <v>870</v>
      </c>
      <c r="IS49" s="17" t="s">
        <v>870</v>
      </c>
      <c r="IT49" s="17" t="s">
        <v>870</v>
      </c>
      <c r="IU49" s="17" t="s">
        <v>870</v>
      </c>
      <c r="IV49" s="17" t="s">
        <v>870</v>
      </c>
      <c r="IW49" s="17" t="s">
        <v>870</v>
      </c>
      <c r="IX49" s="17" t="s">
        <v>870</v>
      </c>
      <c r="IY49" s="17" t="s">
        <v>870</v>
      </c>
      <c r="IZ49" s="17" t="s">
        <v>870</v>
      </c>
      <c r="JA49" s="17" t="s">
        <v>870</v>
      </c>
      <c r="JB49" s="17" t="s">
        <v>870</v>
      </c>
      <c r="JC49" s="17" t="s">
        <v>870</v>
      </c>
      <c r="JD49" s="17" t="s">
        <v>870</v>
      </c>
      <c r="JE49" s="17" t="s">
        <v>870</v>
      </c>
      <c r="JF49" s="17" t="s">
        <v>870</v>
      </c>
      <c r="JG49" s="17" t="s">
        <v>870</v>
      </c>
      <c r="JH49" s="17" t="s">
        <v>870</v>
      </c>
      <c r="JI49" s="17" t="s">
        <v>870</v>
      </c>
      <c r="JJ49" s="17" t="s">
        <v>870</v>
      </c>
      <c r="JK49" s="17" t="s">
        <v>870</v>
      </c>
      <c r="JL49" s="17" t="s">
        <v>870</v>
      </c>
      <c r="JM49" s="17" t="s">
        <v>870</v>
      </c>
      <c r="JN49" s="17" t="s">
        <v>870</v>
      </c>
      <c r="JO49" s="61" t="s">
        <v>2</v>
      </c>
      <c r="JP49" s="63"/>
      <c r="JQ49" s="62"/>
      <c r="JR49" s="61" t="s">
        <v>2</v>
      </c>
      <c r="JS49" s="62"/>
      <c r="JT49" s="61" t="s">
        <v>2</v>
      </c>
    </row>
    <row r="50" spans="1:280" x14ac:dyDescent="0.25">
      <c r="A50" t="s">
        <v>438</v>
      </c>
      <c r="B50" s="17" t="s">
        <v>870</v>
      </c>
      <c r="C50" s="17" t="s">
        <v>870</v>
      </c>
      <c r="D50" s="17" t="s">
        <v>870</v>
      </c>
      <c r="E50" s="17" t="s">
        <v>870</v>
      </c>
      <c r="F50" s="17" t="s">
        <v>870</v>
      </c>
      <c r="G50" s="17" t="s">
        <v>870</v>
      </c>
      <c r="H50" s="17" t="s">
        <v>870</v>
      </c>
      <c r="I50" s="17" t="s">
        <v>870</v>
      </c>
      <c r="J50" s="17" t="s">
        <v>870</v>
      </c>
      <c r="K50" s="17" t="s">
        <v>870</v>
      </c>
      <c r="L50" s="17" t="s">
        <v>870</v>
      </c>
      <c r="M50" s="17" t="s">
        <v>870</v>
      </c>
      <c r="N50" s="17" t="s">
        <v>870</v>
      </c>
      <c r="O50" s="17" t="s">
        <v>870</v>
      </c>
      <c r="P50" s="17" t="s">
        <v>870</v>
      </c>
      <c r="Q50" s="17" t="s">
        <v>870</v>
      </c>
      <c r="R50" s="17" t="s">
        <v>870</v>
      </c>
      <c r="S50" s="17" t="s">
        <v>870</v>
      </c>
      <c r="T50" s="17" t="s">
        <v>870</v>
      </c>
      <c r="U50" s="17" t="s">
        <v>870</v>
      </c>
      <c r="V50" s="17" t="s">
        <v>870</v>
      </c>
      <c r="W50" s="17" t="s">
        <v>870</v>
      </c>
      <c r="X50" s="17" t="s">
        <v>870</v>
      </c>
      <c r="Y50" s="17" t="s">
        <v>870</v>
      </c>
      <c r="Z50" s="17" t="s">
        <v>870</v>
      </c>
      <c r="AA50" s="17" t="s">
        <v>870</v>
      </c>
      <c r="AB50" s="17" t="s">
        <v>870</v>
      </c>
      <c r="AC50" s="17" t="s">
        <v>870</v>
      </c>
      <c r="AD50" s="17" t="s">
        <v>870</v>
      </c>
      <c r="AE50" s="17" t="s">
        <v>870</v>
      </c>
      <c r="AF50" s="17" t="s">
        <v>870</v>
      </c>
      <c r="AG50" s="17" t="s">
        <v>870</v>
      </c>
      <c r="AH50" s="17" t="s">
        <v>870</v>
      </c>
      <c r="AI50" s="17" t="s">
        <v>870</v>
      </c>
      <c r="AJ50" s="17" t="s">
        <v>870</v>
      </c>
      <c r="AK50" s="17" t="s">
        <v>870</v>
      </c>
      <c r="AL50" s="17" t="s">
        <v>870</v>
      </c>
      <c r="AM50" s="17" t="s">
        <v>870</v>
      </c>
      <c r="AN50" s="17" t="s">
        <v>870</v>
      </c>
      <c r="AO50" s="17" t="s">
        <v>870</v>
      </c>
      <c r="AP50" s="17" t="s">
        <v>870</v>
      </c>
      <c r="AQ50" s="17" t="s">
        <v>870</v>
      </c>
      <c r="AR50" s="17" t="s">
        <v>870</v>
      </c>
      <c r="AS50" s="17" t="s">
        <v>870</v>
      </c>
      <c r="AT50" s="17" t="s">
        <v>870</v>
      </c>
      <c r="AU50" s="17" t="s">
        <v>870</v>
      </c>
      <c r="AV50" s="17" t="s">
        <v>870</v>
      </c>
      <c r="AW50" s="17" t="s">
        <v>870</v>
      </c>
      <c r="AX50" s="17" t="s">
        <v>870</v>
      </c>
      <c r="AY50" s="17" t="s">
        <v>870</v>
      </c>
      <c r="AZ50" s="17" t="s">
        <v>870</v>
      </c>
      <c r="BA50" s="17" t="s">
        <v>870</v>
      </c>
      <c r="BB50" s="17" t="s">
        <v>870</v>
      </c>
      <c r="BC50" s="17" t="s">
        <v>870</v>
      </c>
      <c r="BD50" s="17" t="s">
        <v>870</v>
      </c>
      <c r="BE50" s="17" t="s">
        <v>870</v>
      </c>
      <c r="BF50" s="17" t="s">
        <v>870</v>
      </c>
      <c r="BG50" s="17" t="s">
        <v>870</v>
      </c>
      <c r="BH50" s="17" t="s">
        <v>870</v>
      </c>
      <c r="BI50" s="17" t="s">
        <v>870</v>
      </c>
      <c r="BJ50" s="17" t="s">
        <v>870</v>
      </c>
      <c r="BK50" s="17" t="s">
        <v>870</v>
      </c>
      <c r="BL50" s="17" t="s">
        <v>870</v>
      </c>
      <c r="BM50" s="17" t="s">
        <v>870</v>
      </c>
      <c r="BN50" s="17" t="s">
        <v>870</v>
      </c>
      <c r="BO50" s="17" t="s">
        <v>870</v>
      </c>
      <c r="BP50" s="17" t="s">
        <v>870</v>
      </c>
      <c r="BQ50" s="17" t="s">
        <v>870</v>
      </c>
      <c r="BR50" s="17" t="s">
        <v>870</v>
      </c>
      <c r="BS50" s="17" t="s">
        <v>870</v>
      </c>
      <c r="BT50" s="17" t="s">
        <v>870</v>
      </c>
      <c r="BU50" s="17" t="s">
        <v>870</v>
      </c>
      <c r="BV50" s="17" t="s">
        <v>870</v>
      </c>
      <c r="BW50" s="17" t="s">
        <v>870</v>
      </c>
      <c r="BX50" s="17" t="s">
        <v>870</v>
      </c>
      <c r="BY50" s="17" t="s">
        <v>870</v>
      </c>
      <c r="BZ50" s="17" t="s">
        <v>870</v>
      </c>
      <c r="CA50" s="17" t="s">
        <v>870</v>
      </c>
      <c r="CB50" s="17" t="s">
        <v>870</v>
      </c>
      <c r="CC50" s="17" t="s">
        <v>870</v>
      </c>
      <c r="CD50" s="17" t="s">
        <v>870</v>
      </c>
      <c r="CE50" s="17" t="s">
        <v>870</v>
      </c>
      <c r="CF50" s="17" t="s">
        <v>870</v>
      </c>
      <c r="CG50" s="17" t="s">
        <v>870</v>
      </c>
      <c r="CH50" s="17" t="s">
        <v>870</v>
      </c>
      <c r="CI50" s="17" t="s">
        <v>870</v>
      </c>
      <c r="CJ50" s="17" t="s">
        <v>870</v>
      </c>
      <c r="CK50" s="17" t="s">
        <v>870</v>
      </c>
      <c r="CL50" s="17" t="s">
        <v>870</v>
      </c>
      <c r="CM50" s="17" t="s">
        <v>870</v>
      </c>
      <c r="CN50" s="17" t="s">
        <v>870</v>
      </c>
      <c r="CO50" s="17" t="s">
        <v>870</v>
      </c>
      <c r="CP50" s="17" t="s">
        <v>870</v>
      </c>
      <c r="CQ50" s="17" t="s">
        <v>870</v>
      </c>
      <c r="CR50" s="17" t="s">
        <v>870</v>
      </c>
      <c r="CS50" s="17" t="s">
        <v>870</v>
      </c>
      <c r="CT50" s="17" t="s">
        <v>870</v>
      </c>
      <c r="CU50" s="17" t="s">
        <v>870</v>
      </c>
      <c r="CV50" s="17" t="s">
        <v>870</v>
      </c>
      <c r="CW50" s="17" t="s">
        <v>870</v>
      </c>
      <c r="CX50" s="17" t="s">
        <v>870</v>
      </c>
      <c r="CY50" s="17" t="s">
        <v>870</v>
      </c>
      <c r="CZ50" s="17" t="s">
        <v>870</v>
      </c>
      <c r="DA50" s="17" t="s">
        <v>870</v>
      </c>
      <c r="DB50" s="17" t="s">
        <v>870</v>
      </c>
      <c r="DC50" s="17" t="s">
        <v>870</v>
      </c>
      <c r="DD50" s="17" t="s">
        <v>870</v>
      </c>
      <c r="DE50" s="17" t="s">
        <v>870</v>
      </c>
      <c r="DF50" s="17" t="s">
        <v>870</v>
      </c>
      <c r="DG50" s="17" t="s">
        <v>870</v>
      </c>
      <c r="DH50" s="17" t="s">
        <v>870</v>
      </c>
      <c r="DI50" s="17" t="s">
        <v>870</v>
      </c>
      <c r="DJ50" s="17" t="s">
        <v>870</v>
      </c>
      <c r="DK50" s="17" t="s">
        <v>870</v>
      </c>
      <c r="DL50" s="17" t="s">
        <v>870</v>
      </c>
      <c r="DM50" s="17" t="s">
        <v>870</v>
      </c>
      <c r="DN50" s="17" t="s">
        <v>870</v>
      </c>
      <c r="DO50" s="17" t="s">
        <v>870</v>
      </c>
      <c r="DP50" s="17" t="s">
        <v>870</v>
      </c>
      <c r="DQ50" s="17" t="s">
        <v>870</v>
      </c>
      <c r="DR50" s="17" t="s">
        <v>870</v>
      </c>
      <c r="DS50" s="17" t="s">
        <v>870</v>
      </c>
      <c r="DT50" s="17" t="s">
        <v>870</v>
      </c>
      <c r="DU50" s="17" t="s">
        <v>870</v>
      </c>
      <c r="DV50" s="17" t="s">
        <v>870</v>
      </c>
      <c r="DW50" s="17" t="s">
        <v>870</v>
      </c>
      <c r="DX50" s="17" t="s">
        <v>870</v>
      </c>
      <c r="DY50" s="17" t="s">
        <v>870</v>
      </c>
      <c r="DZ50" s="17" t="s">
        <v>870</v>
      </c>
      <c r="EA50" s="17" t="s">
        <v>870</v>
      </c>
      <c r="EB50" s="17" t="s">
        <v>870</v>
      </c>
      <c r="EC50" s="17" t="s">
        <v>870</v>
      </c>
      <c r="ED50" s="17" t="s">
        <v>870</v>
      </c>
      <c r="EE50" s="17" t="s">
        <v>870</v>
      </c>
      <c r="EF50" s="17" t="s">
        <v>870</v>
      </c>
      <c r="EG50" s="17" t="s">
        <v>870</v>
      </c>
      <c r="EH50" s="17" t="s">
        <v>870</v>
      </c>
      <c r="EI50" s="17" t="s">
        <v>870</v>
      </c>
      <c r="EJ50" s="17" t="s">
        <v>870</v>
      </c>
      <c r="EK50" s="17" t="s">
        <v>870</v>
      </c>
      <c r="EL50" s="17" t="s">
        <v>870</v>
      </c>
      <c r="EM50" s="17" t="s">
        <v>870</v>
      </c>
      <c r="EN50" s="17" t="s">
        <v>870</v>
      </c>
      <c r="EO50" s="17" t="s">
        <v>870</v>
      </c>
      <c r="EP50" s="17" t="s">
        <v>870</v>
      </c>
      <c r="EQ50" s="17" t="s">
        <v>870</v>
      </c>
      <c r="ER50" s="17" t="s">
        <v>870</v>
      </c>
      <c r="ES50" s="17" t="s">
        <v>870</v>
      </c>
      <c r="ET50" s="17" t="s">
        <v>870</v>
      </c>
      <c r="EU50" s="17" t="s">
        <v>870</v>
      </c>
      <c r="EV50" s="17" t="s">
        <v>870</v>
      </c>
      <c r="EW50" s="17" t="s">
        <v>870</v>
      </c>
      <c r="EX50" s="17" t="s">
        <v>870</v>
      </c>
      <c r="EY50" s="17" t="s">
        <v>870</v>
      </c>
      <c r="EZ50" s="17" t="s">
        <v>870</v>
      </c>
      <c r="FA50" s="17" t="s">
        <v>870</v>
      </c>
      <c r="FB50" s="17" t="s">
        <v>870</v>
      </c>
      <c r="FC50" s="17" t="s">
        <v>870</v>
      </c>
      <c r="FD50" s="17" t="s">
        <v>870</v>
      </c>
      <c r="FE50" s="17" t="s">
        <v>870</v>
      </c>
      <c r="FF50" s="17" t="s">
        <v>870</v>
      </c>
      <c r="FG50" s="17" t="s">
        <v>870</v>
      </c>
      <c r="FH50" s="17" t="s">
        <v>870</v>
      </c>
      <c r="FI50" s="17" t="s">
        <v>870</v>
      </c>
      <c r="FJ50" s="17" t="s">
        <v>870</v>
      </c>
      <c r="FK50" s="17" t="s">
        <v>870</v>
      </c>
      <c r="FL50" s="17" t="s">
        <v>870</v>
      </c>
      <c r="FM50" s="17" t="s">
        <v>870</v>
      </c>
      <c r="FN50" s="17" t="s">
        <v>870</v>
      </c>
      <c r="FO50" s="17" t="s">
        <v>870</v>
      </c>
      <c r="FP50" s="17" t="s">
        <v>870</v>
      </c>
      <c r="FQ50" s="17" t="s">
        <v>870</v>
      </c>
      <c r="FR50" s="17" t="s">
        <v>870</v>
      </c>
      <c r="FS50" s="17" t="s">
        <v>870</v>
      </c>
      <c r="FT50" s="17" t="s">
        <v>870</v>
      </c>
      <c r="FU50" s="17" t="s">
        <v>870</v>
      </c>
      <c r="FV50" s="17" t="s">
        <v>870</v>
      </c>
      <c r="FW50" s="17" t="s">
        <v>870</v>
      </c>
      <c r="FX50" s="17" t="s">
        <v>870</v>
      </c>
      <c r="FY50" s="17" t="s">
        <v>870</v>
      </c>
      <c r="FZ50" s="17" t="s">
        <v>870</v>
      </c>
      <c r="GA50" s="17" t="s">
        <v>870</v>
      </c>
      <c r="GB50" s="17" t="s">
        <v>870</v>
      </c>
      <c r="GC50" s="17" t="s">
        <v>870</v>
      </c>
      <c r="GD50" s="17" t="s">
        <v>870</v>
      </c>
      <c r="GE50" s="17" t="s">
        <v>870</v>
      </c>
      <c r="GF50" s="17" t="s">
        <v>870</v>
      </c>
      <c r="GG50" s="17" t="s">
        <v>870</v>
      </c>
      <c r="GH50" s="17" t="s">
        <v>870</v>
      </c>
      <c r="GI50" s="17" t="s">
        <v>870</v>
      </c>
      <c r="GJ50" s="17" t="s">
        <v>870</v>
      </c>
      <c r="GK50" s="17" t="s">
        <v>870</v>
      </c>
      <c r="GL50" s="17" t="s">
        <v>870</v>
      </c>
      <c r="GM50" s="17" t="s">
        <v>870</v>
      </c>
      <c r="GN50" s="17" t="s">
        <v>870</v>
      </c>
      <c r="GO50" s="17" t="s">
        <v>870</v>
      </c>
      <c r="GP50" s="17" t="s">
        <v>870</v>
      </c>
      <c r="GQ50" s="17" t="s">
        <v>870</v>
      </c>
      <c r="GR50" s="17" t="s">
        <v>870</v>
      </c>
      <c r="GS50" s="17" t="s">
        <v>870</v>
      </c>
      <c r="GT50" s="17" t="s">
        <v>870</v>
      </c>
      <c r="GU50" s="17" t="s">
        <v>870</v>
      </c>
      <c r="GV50" s="17" t="s">
        <v>870</v>
      </c>
      <c r="GW50" s="17" t="s">
        <v>870</v>
      </c>
      <c r="GX50" s="17" t="s">
        <v>870</v>
      </c>
      <c r="GY50" s="17" t="s">
        <v>870</v>
      </c>
      <c r="GZ50" s="17" t="s">
        <v>870</v>
      </c>
      <c r="HA50" s="17" t="s">
        <v>870</v>
      </c>
      <c r="HB50" s="17" t="s">
        <v>870</v>
      </c>
      <c r="HC50" s="17" t="s">
        <v>870</v>
      </c>
      <c r="HD50" s="17" t="s">
        <v>870</v>
      </c>
      <c r="HE50" s="17" t="s">
        <v>870</v>
      </c>
      <c r="HF50" s="17" t="s">
        <v>870</v>
      </c>
      <c r="HG50" s="17" t="s">
        <v>870</v>
      </c>
      <c r="HH50" s="17" t="s">
        <v>870</v>
      </c>
      <c r="HI50" s="17" t="s">
        <v>870</v>
      </c>
      <c r="HJ50" s="17" t="s">
        <v>870</v>
      </c>
      <c r="HK50" s="17" t="s">
        <v>870</v>
      </c>
      <c r="HL50" s="17" t="s">
        <v>870</v>
      </c>
      <c r="HM50" s="62"/>
      <c r="HN50" s="61" t="s">
        <v>2</v>
      </c>
      <c r="HO50" s="63"/>
      <c r="HP50" s="63"/>
      <c r="HQ50" s="17" t="s">
        <v>870</v>
      </c>
      <c r="HR50" s="17" t="s">
        <v>870</v>
      </c>
      <c r="HS50" s="61" t="s">
        <v>2</v>
      </c>
      <c r="HT50" s="61" t="s">
        <v>2</v>
      </c>
      <c r="HU50" s="61" t="s">
        <v>2</v>
      </c>
      <c r="HV50" s="62"/>
      <c r="HW50" s="61" t="s">
        <v>2</v>
      </c>
      <c r="HX50" s="63"/>
      <c r="HY50" s="61" t="s">
        <v>2</v>
      </c>
      <c r="HZ50" s="61" t="s">
        <v>2</v>
      </c>
      <c r="IA50" s="61" t="s">
        <v>2</v>
      </c>
      <c r="IB50" s="63"/>
      <c r="IC50" s="17" t="s">
        <v>870</v>
      </c>
      <c r="ID50" s="17" t="s">
        <v>870</v>
      </c>
      <c r="IE50" s="17" t="s">
        <v>870</v>
      </c>
      <c r="IF50" s="17" t="s">
        <v>870</v>
      </c>
      <c r="IG50" s="17" t="s">
        <v>870</v>
      </c>
      <c r="IH50" s="17" t="s">
        <v>870</v>
      </c>
      <c r="II50" s="17" t="s">
        <v>870</v>
      </c>
      <c r="IJ50" s="17" t="s">
        <v>870</v>
      </c>
      <c r="IK50" s="17" t="s">
        <v>870</v>
      </c>
      <c r="IL50" s="17" t="s">
        <v>870</v>
      </c>
      <c r="IM50" s="17" t="s">
        <v>870</v>
      </c>
      <c r="IN50" s="17" t="s">
        <v>870</v>
      </c>
      <c r="IO50" s="17" t="s">
        <v>870</v>
      </c>
      <c r="IP50" s="17" t="s">
        <v>870</v>
      </c>
      <c r="IQ50" s="17" t="s">
        <v>870</v>
      </c>
      <c r="IR50" s="17" t="s">
        <v>870</v>
      </c>
      <c r="IS50" s="17" t="s">
        <v>870</v>
      </c>
      <c r="IT50" s="17" t="s">
        <v>870</v>
      </c>
      <c r="IU50" s="17" t="s">
        <v>870</v>
      </c>
      <c r="IV50" s="17" t="s">
        <v>870</v>
      </c>
      <c r="IW50" s="17" t="s">
        <v>870</v>
      </c>
      <c r="IX50" s="17" t="s">
        <v>870</v>
      </c>
      <c r="IY50" s="17" t="s">
        <v>870</v>
      </c>
      <c r="IZ50" s="17" t="s">
        <v>870</v>
      </c>
      <c r="JA50" s="17" t="s">
        <v>870</v>
      </c>
      <c r="JB50" s="17" t="s">
        <v>870</v>
      </c>
      <c r="JC50" s="17" t="s">
        <v>870</v>
      </c>
      <c r="JD50" s="17" t="s">
        <v>870</v>
      </c>
      <c r="JE50" s="17" t="s">
        <v>870</v>
      </c>
      <c r="JF50" s="17" t="s">
        <v>870</v>
      </c>
      <c r="JG50" s="17" t="s">
        <v>870</v>
      </c>
      <c r="JH50" s="17" t="s">
        <v>870</v>
      </c>
      <c r="JI50" s="17" t="s">
        <v>870</v>
      </c>
      <c r="JJ50" s="17" t="s">
        <v>870</v>
      </c>
      <c r="JK50" s="17" t="s">
        <v>870</v>
      </c>
      <c r="JL50" s="17" t="s">
        <v>870</v>
      </c>
      <c r="JM50" s="17" t="s">
        <v>870</v>
      </c>
      <c r="JN50" s="17" t="s">
        <v>870</v>
      </c>
      <c r="JO50" s="17" t="s">
        <v>870</v>
      </c>
      <c r="JP50" s="17" t="s">
        <v>870</v>
      </c>
      <c r="JQ50" s="17" t="s">
        <v>870</v>
      </c>
      <c r="JR50" s="17" t="s">
        <v>870</v>
      </c>
      <c r="JS50" s="17" t="s">
        <v>870</v>
      </c>
      <c r="JT50" s="17" t="s">
        <v>870</v>
      </c>
    </row>
    <row r="51" spans="1:280" x14ac:dyDescent="0.25">
      <c r="A51" t="s">
        <v>1178</v>
      </c>
      <c r="B51" s="17" t="s">
        <v>870</v>
      </c>
      <c r="C51" s="17" t="s">
        <v>870</v>
      </c>
      <c r="D51" s="17" t="s">
        <v>870</v>
      </c>
      <c r="E51" s="17" t="s">
        <v>870</v>
      </c>
      <c r="F51" s="17" t="s">
        <v>870</v>
      </c>
      <c r="G51" s="17" t="s">
        <v>870</v>
      </c>
      <c r="H51" s="17" t="s">
        <v>870</v>
      </c>
      <c r="I51" s="17" t="s">
        <v>870</v>
      </c>
      <c r="J51" s="17" t="s">
        <v>870</v>
      </c>
      <c r="K51" s="17" t="s">
        <v>870</v>
      </c>
      <c r="L51" s="17" t="s">
        <v>870</v>
      </c>
      <c r="M51" s="17" t="s">
        <v>870</v>
      </c>
      <c r="N51" s="17" t="s">
        <v>870</v>
      </c>
      <c r="O51" s="17" t="s">
        <v>870</v>
      </c>
      <c r="P51" s="17" t="s">
        <v>870</v>
      </c>
      <c r="Q51" s="17" t="s">
        <v>870</v>
      </c>
      <c r="R51" s="17" t="s">
        <v>870</v>
      </c>
      <c r="S51" s="17" t="s">
        <v>870</v>
      </c>
      <c r="T51" s="17" t="s">
        <v>870</v>
      </c>
      <c r="U51" s="17" t="s">
        <v>870</v>
      </c>
      <c r="V51" s="17" t="s">
        <v>870</v>
      </c>
      <c r="W51" s="17" t="s">
        <v>870</v>
      </c>
      <c r="X51" s="17" t="s">
        <v>870</v>
      </c>
      <c r="Y51" s="17" t="s">
        <v>870</v>
      </c>
      <c r="Z51" s="17" t="s">
        <v>870</v>
      </c>
      <c r="AA51" s="17" t="s">
        <v>870</v>
      </c>
      <c r="AB51" s="17" t="s">
        <v>870</v>
      </c>
      <c r="AC51" s="17" t="s">
        <v>870</v>
      </c>
      <c r="AD51" s="17" t="s">
        <v>870</v>
      </c>
      <c r="AE51" s="17" t="s">
        <v>870</v>
      </c>
      <c r="AF51" s="17" t="s">
        <v>870</v>
      </c>
      <c r="AG51" s="17" t="s">
        <v>870</v>
      </c>
      <c r="AH51" s="17" t="s">
        <v>870</v>
      </c>
      <c r="AI51" s="17" t="s">
        <v>870</v>
      </c>
      <c r="AJ51" s="17" t="s">
        <v>870</v>
      </c>
      <c r="AK51" s="17" t="s">
        <v>870</v>
      </c>
      <c r="AL51" s="17" t="s">
        <v>870</v>
      </c>
      <c r="AM51" s="17" t="s">
        <v>870</v>
      </c>
      <c r="AN51" s="17" t="s">
        <v>870</v>
      </c>
      <c r="AO51" s="17" t="s">
        <v>870</v>
      </c>
      <c r="AP51" s="17" t="s">
        <v>870</v>
      </c>
      <c r="AQ51" s="17" t="s">
        <v>870</v>
      </c>
      <c r="AR51" s="17" t="s">
        <v>870</v>
      </c>
      <c r="AS51" s="17" t="s">
        <v>870</v>
      </c>
      <c r="AT51" s="17" t="s">
        <v>870</v>
      </c>
      <c r="AU51" s="17" t="s">
        <v>870</v>
      </c>
      <c r="AV51" s="17" t="s">
        <v>870</v>
      </c>
      <c r="AW51" s="17" t="s">
        <v>870</v>
      </c>
      <c r="AX51" s="17" t="s">
        <v>870</v>
      </c>
      <c r="AY51" s="17" t="s">
        <v>870</v>
      </c>
      <c r="AZ51" s="17" t="s">
        <v>870</v>
      </c>
      <c r="BA51" s="17" t="s">
        <v>870</v>
      </c>
      <c r="BB51" s="17" t="s">
        <v>870</v>
      </c>
      <c r="BC51" s="17" t="s">
        <v>870</v>
      </c>
      <c r="BD51" s="17" t="s">
        <v>870</v>
      </c>
      <c r="BE51" s="17" t="s">
        <v>870</v>
      </c>
      <c r="BF51" s="17" t="s">
        <v>870</v>
      </c>
      <c r="BG51" s="17" t="s">
        <v>870</v>
      </c>
      <c r="BH51" s="17" t="s">
        <v>870</v>
      </c>
      <c r="BI51" s="17" t="s">
        <v>870</v>
      </c>
      <c r="BJ51" s="17" t="s">
        <v>870</v>
      </c>
      <c r="BK51" s="17" t="s">
        <v>870</v>
      </c>
      <c r="BL51" s="17" t="s">
        <v>870</v>
      </c>
      <c r="BM51" s="17" t="s">
        <v>870</v>
      </c>
      <c r="BN51" s="17" t="s">
        <v>870</v>
      </c>
      <c r="BO51" s="17" t="s">
        <v>870</v>
      </c>
      <c r="BP51" s="17" t="s">
        <v>870</v>
      </c>
      <c r="BQ51" s="17" t="s">
        <v>870</v>
      </c>
      <c r="BR51" s="17" t="s">
        <v>870</v>
      </c>
      <c r="BS51" s="17" t="s">
        <v>870</v>
      </c>
      <c r="BT51" s="17" t="s">
        <v>870</v>
      </c>
      <c r="BU51" s="17" t="s">
        <v>870</v>
      </c>
      <c r="BV51" s="17" t="s">
        <v>870</v>
      </c>
      <c r="BW51" s="17" t="s">
        <v>870</v>
      </c>
      <c r="BX51" s="17" t="s">
        <v>870</v>
      </c>
      <c r="BY51" s="17" t="s">
        <v>870</v>
      </c>
      <c r="BZ51" s="17" t="s">
        <v>870</v>
      </c>
      <c r="CA51" s="17" t="s">
        <v>870</v>
      </c>
      <c r="CB51" s="17" t="s">
        <v>870</v>
      </c>
      <c r="CC51" s="17" t="s">
        <v>870</v>
      </c>
      <c r="CD51" s="17" t="s">
        <v>870</v>
      </c>
      <c r="CE51" s="17" t="s">
        <v>870</v>
      </c>
      <c r="CF51" s="17" t="s">
        <v>870</v>
      </c>
      <c r="CG51" s="17" t="s">
        <v>870</v>
      </c>
      <c r="CH51" s="17" t="s">
        <v>870</v>
      </c>
      <c r="CI51" s="17" t="s">
        <v>870</v>
      </c>
      <c r="CJ51" s="17" t="s">
        <v>870</v>
      </c>
      <c r="CK51" s="17" t="s">
        <v>870</v>
      </c>
      <c r="CL51" s="17" t="s">
        <v>870</v>
      </c>
      <c r="CM51" s="17" t="s">
        <v>870</v>
      </c>
      <c r="CN51" s="17" t="s">
        <v>870</v>
      </c>
      <c r="CO51" s="17" t="s">
        <v>870</v>
      </c>
      <c r="CP51" s="17" t="s">
        <v>870</v>
      </c>
      <c r="CQ51" s="17" t="s">
        <v>870</v>
      </c>
      <c r="CR51" s="17" t="s">
        <v>870</v>
      </c>
      <c r="CS51" s="17" t="s">
        <v>870</v>
      </c>
      <c r="CT51" s="17" t="s">
        <v>870</v>
      </c>
      <c r="CU51" s="17" t="s">
        <v>870</v>
      </c>
      <c r="CV51" s="17" t="s">
        <v>870</v>
      </c>
      <c r="CW51" s="17" t="s">
        <v>870</v>
      </c>
      <c r="CX51" s="17" t="s">
        <v>870</v>
      </c>
      <c r="CY51" s="17" t="s">
        <v>870</v>
      </c>
      <c r="CZ51" s="17" t="s">
        <v>870</v>
      </c>
      <c r="DA51" s="17" t="s">
        <v>870</v>
      </c>
      <c r="DB51" s="17" t="s">
        <v>870</v>
      </c>
      <c r="DC51" s="17" t="s">
        <v>870</v>
      </c>
      <c r="DD51" s="17" t="s">
        <v>870</v>
      </c>
      <c r="DE51" s="17" t="s">
        <v>870</v>
      </c>
      <c r="DF51" s="17" t="s">
        <v>870</v>
      </c>
      <c r="DG51" s="17" t="s">
        <v>870</v>
      </c>
      <c r="DH51" s="17" t="s">
        <v>870</v>
      </c>
      <c r="DI51" s="17" t="s">
        <v>870</v>
      </c>
      <c r="DJ51" s="17" t="s">
        <v>870</v>
      </c>
      <c r="DK51" s="17" t="s">
        <v>870</v>
      </c>
      <c r="DL51" s="17" t="s">
        <v>870</v>
      </c>
      <c r="DM51" s="17" t="s">
        <v>870</v>
      </c>
      <c r="DN51" s="17" t="s">
        <v>870</v>
      </c>
      <c r="DO51" s="17" t="s">
        <v>870</v>
      </c>
      <c r="DP51" s="17" t="s">
        <v>870</v>
      </c>
      <c r="DQ51" s="17" t="s">
        <v>870</v>
      </c>
      <c r="DR51" s="17" t="s">
        <v>870</v>
      </c>
      <c r="DS51" s="17" t="s">
        <v>870</v>
      </c>
      <c r="DT51" s="17" t="s">
        <v>870</v>
      </c>
      <c r="DU51" s="17" t="s">
        <v>870</v>
      </c>
      <c r="DV51" s="17" t="s">
        <v>870</v>
      </c>
      <c r="DW51" s="17" t="s">
        <v>870</v>
      </c>
      <c r="DX51" s="17" t="s">
        <v>870</v>
      </c>
      <c r="DY51" s="17" t="s">
        <v>870</v>
      </c>
      <c r="DZ51" s="17" t="s">
        <v>870</v>
      </c>
      <c r="EA51" s="17" t="s">
        <v>870</v>
      </c>
      <c r="EB51" s="17" t="s">
        <v>870</v>
      </c>
      <c r="EC51" s="17" t="s">
        <v>870</v>
      </c>
      <c r="ED51" s="17" t="s">
        <v>870</v>
      </c>
      <c r="EE51" s="17" t="s">
        <v>870</v>
      </c>
      <c r="EF51" s="17" t="s">
        <v>870</v>
      </c>
      <c r="EG51" s="17" t="s">
        <v>870</v>
      </c>
      <c r="EH51" s="17" t="s">
        <v>870</v>
      </c>
      <c r="EI51" s="17" t="s">
        <v>870</v>
      </c>
      <c r="EJ51" s="17" t="s">
        <v>870</v>
      </c>
      <c r="EK51" s="17" t="s">
        <v>870</v>
      </c>
      <c r="EL51" s="17" t="s">
        <v>870</v>
      </c>
      <c r="EM51" s="17" t="s">
        <v>870</v>
      </c>
      <c r="EN51" s="17" t="s">
        <v>870</v>
      </c>
      <c r="EO51" s="17" t="s">
        <v>870</v>
      </c>
      <c r="EP51" s="17" t="s">
        <v>870</v>
      </c>
      <c r="EQ51" s="17" t="s">
        <v>870</v>
      </c>
      <c r="ER51" s="17" t="s">
        <v>870</v>
      </c>
      <c r="ES51" s="17" t="s">
        <v>870</v>
      </c>
      <c r="ET51" s="17" t="s">
        <v>870</v>
      </c>
      <c r="EU51" s="17" t="s">
        <v>870</v>
      </c>
      <c r="EV51" s="17" t="s">
        <v>870</v>
      </c>
      <c r="EW51" s="17" t="s">
        <v>870</v>
      </c>
      <c r="EX51" s="17" t="s">
        <v>870</v>
      </c>
      <c r="EY51" s="17" t="s">
        <v>870</v>
      </c>
      <c r="EZ51" s="17" t="s">
        <v>870</v>
      </c>
      <c r="FA51" s="17" t="s">
        <v>870</v>
      </c>
      <c r="FB51" s="17" t="s">
        <v>870</v>
      </c>
      <c r="FC51" s="17" t="s">
        <v>870</v>
      </c>
      <c r="FD51" s="17" t="s">
        <v>870</v>
      </c>
      <c r="FE51" s="17" t="s">
        <v>870</v>
      </c>
      <c r="FF51" s="17" t="s">
        <v>870</v>
      </c>
      <c r="FG51" s="17" t="s">
        <v>870</v>
      </c>
      <c r="FH51" s="17" t="s">
        <v>870</v>
      </c>
      <c r="FI51" s="17" t="s">
        <v>870</v>
      </c>
      <c r="FJ51" s="17" t="s">
        <v>870</v>
      </c>
      <c r="FK51" s="17" t="s">
        <v>870</v>
      </c>
      <c r="FL51" s="17" t="s">
        <v>870</v>
      </c>
      <c r="FM51" s="17" t="s">
        <v>870</v>
      </c>
      <c r="FN51" s="17" t="s">
        <v>870</v>
      </c>
      <c r="FO51" s="17" t="s">
        <v>870</v>
      </c>
      <c r="FP51" s="17" t="s">
        <v>870</v>
      </c>
      <c r="FQ51" s="17" t="s">
        <v>870</v>
      </c>
      <c r="FR51" s="17" t="s">
        <v>870</v>
      </c>
      <c r="FS51" s="17" t="s">
        <v>870</v>
      </c>
      <c r="FT51" s="17" t="s">
        <v>870</v>
      </c>
      <c r="FU51" s="17" t="s">
        <v>870</v>
      </c>
      <c r="FV51" s="17" t="s">
        <v>870</v>
      </c>
      <c r="FW51" s="17" t="s">
        <v>870</v>
      </c>
      <c r="FX51" s="17" t="s">
        <v>870</v>
      </c>
      <c r="FY51" s="17" t="s">
        <v>870</v>
      </c>
      <c r="FZ51" s="17" t="s">
        <v>870</v>
      </c>
      <c r="GA51" s="17" t="s">
        <v>870</v>
      </c>
      <c r="GB51" s="17" t="s">
        <v>870</v>
      </c>
      <c r="GC51" s="17" t="s">
        <v>870</v>
      </c>
      <c r="GD51" s="17" t="s">
        <v>870</v>
      </c>
      <c r="GE51" s="17" t="s">
        <v>870</v>
      </c>
      <c r="GF51" s="17" t="s">
        <v>870</v>
      </c>
      <c r="GG51" s="17" t="s">
        <v>870</v>
      </c>
      <c r="GH51" s="17" t="s">
        <v>870</v>
      </c>
      <c r="GI51" s="17" t="s">
        <v>870</v>
      </c>
      <c r="GJ51" s="17" t="s">
        <v>870</v>
      </c>
      <c r="GK51" s="17" t="s">
        <v>870</v>
      </c>
      <c r="GL51" s="17" t="s">
        <v>870</v>
      </c>
      <c r="GM51" s="17" t="s">
        <v>870</v>
      </c>
      <c r="GN51" s="17" t="s">
        <v>870</v>
      </c>
      <c r="GO51" s="17" t="s">
        <v>870</v>
      </c>
      <c r="GP51" s="17" t="s">
        <v>870</v>
      </c>
      <c r="GQ51" s="17" t="s">
        <v>870</v>
      </c>
      <c r="GR51" s="17" t="s">
        <v>870</v>
      </c>
      <c r="GS51" s="17" t="s">
        <v>870</v>
      </c>
      <c r="GT51" s="17" t="s">
        <v>870</v>
      </c>
      <c r="GU51" s="17" t="s">
        <v>870</v>
      </c>
      <c r="GV51" s="17" t="s">
        <v>870</v>
      </c>
      <c r="GW51" s="17" t="s">
        <v>870</v>
      </c>
      <c r="GX51" s="17" t="s">
        <v>870</v>
      </c>
      <c r="GY51" s="17" t="s">
        <v>870</v>
      </c>
      <c r="GZ51" s="17" t="s">
        <v>870</v>
      </c>
      <c r="HA51" s="17" t="s">
        <v>870</v>
      </c>
      <c r="HB51" s="17" t="s">
        <v>870</v>
      </c>
      <c r="HC51" s="17" t="s">
        <v>870</v>
      </c>
      <c r="HD51" s="17" t="s">
        <v>870</v>
      </c>
      <c r="HE51" s="17" t="s">
        <v>870</v>
      </c>
      <c r="HF51" s="17" t="s">
        <v>870</v>
      </c>
      <c r="HG51" s="17" t="s">
        <v>870</v>
      </c>
      <c r="HH51" s="17" t="s">
        <v>870</v>
      </c>
      <c r="HI51" s="17" t="s">
        <v>870</v>
      </c>
      <c r="HJ51" s="17" t="s">
        <v>870</v>
      </c>
      <c r="HK51" s="17" t="s">
        <v>870</v>
      </c>
      <c r="HL51" s="17" t="s">
        <v>870</v>
      </c>
      <c r="HM51" s="17" t="s">
        <v>870</v>
      </c>
      <c r="HN51" s="17" t="s">
        <v>870</v>
      </c>
      <c r="HO51" s="17" t="s">
        <v>870</v>
      </c>
      <c r="HP51" s="17" t="s">
        <v>870</v>
      </c>
      <c r="HQ51" s="17" t="s">
        <v>870</v>
      </c>
      <c r="HR51" s="17" t="s">
        <v>870</v>
      </c>
      <c r="HS51" s="17" t="s">
        <v>870</v>
      </c>
      <c r="HT51" s="17" t="s">
        <v>870</v>
      </c>
      <c r="HU51" s="17" t="s">
        <v>870</v>
      </c>
      <c r="HV51" s="17" t="s">
        <v>870</v>
      </c>
      <c r="HW51" s="17" t="s">
        <v>870</v>
      </c>
      <c r="HX51" s="17" t="s">
        <v>870</v>
      </c>
      <c r="HY51" s="61" t="s">
        <v>2</v>
      </c>
      <c r="HZ51" s="63"/>
      <c r="IA51" s="62"/>
      <c r="IB51" s="61" t="s">
        <v>2</v>
      </c>
      <c r="IC51" s="63"/>
      <c r="ID51" s="61" t="s">
        <v>2</v>
      </c>
      <c r="IE51" s="62"/>
      <c r="IF51" s="61" t="s">
        <v>2</v>
      </c>
      <c r="IG51" s="63"/>
      <c r="IH51" s="63"/>
      <c r="II51" s="61" t="s">
        <v>2</v>
      </c>
      <c r="IJ51" s="63"/>
      <c r="IK51" s="63"/>
      <c r="IL51" s="61" t="s">
        <v>2</v>
      </c>
      <c r="IM51" s="61" t="s">
        <v>2</v>
      </c>
      <c r="IN51" s="62"/>
      <c r="IO51" s="62"/>
      <c r="IP51" s="63"/>
      <c r="IQ51" s="17" t="s">
        <v>870</v>
      </c>
      <c r="IR51" s="17" t="s">
        <v>870</v>
      </c>
      <c r="IS51" s="61" t="s">
        <v>2</v>
      </c>
      <c r="IT51" s="62"/>
      <c r="IU51" s="17" t="s">
        <v>870</v>
      </c>
      <c r="IV51" s="17" t="s">
        <v>870</v>
      </c>
      <c r="IW51" s="17" t="s">
        <v>870</v>
      </c>
      <c r="IX51" s="17" t="s">
        <v>870</v>
      </c>
      <c r="IY51" s="17" t="s">
        <v>870</v>
      </c>
      <c r="IZ51" s="17" t="s">
        <v>870</v>
      </c>
      <c r="JA51" s="61" t="s">
        <v>2</v>
      </c>
      <c r="JB51" s="61" t="s">
        <v>2</v>
      </c>
      <c r="JC51" s="63"/>
      <c r="JD51" s="63"/>
      <c r="JE51" s="17" t="s">
        <v>870</v>
      </c>
      <c r="JF51" s="17" t="s">
        <v>870</v>
      </c>
      <c r="JG51" s="62"/>
      <c r="JH51" s="61" t="s">
        <v>2</v>
      </c>
      <c r="JI51" s="62"/>
      <c r="JJ51" s="61" t="s">
        <v>2</v>
      </c>
      <c r="JK51" s="61" t="s">
        <v>2</v>
      </c>
      <c r="JL51" s="61" t="s">
        <v>2</v>
      </c>
      <c r="JM51" s="17" t="s">
        <v>870</v>
      </c>
      <c r="JN51" s="17" t="s">
        <v>870</v>
      </c>
      <c r="JO51" s="62"/>
      <c r="JP51" s="61" t="s">
        <v>2</v>
      </c>
      <c r="JQ51" s="61" t="s">
        <v>2</v>
      </c>
      <c r="JR51" s="61" t="s">
        <v>2</v>
      </c>
      <c r="JS51" s="61" t="s">
        <v>2</v>
      </c>
      <c r="JT51" s="61" t="s">
        <v>2</v>
      </c>
    </row>
    <row r="52" spans="1:280" x14ac:dyDescent="0.25">
      <c r="A52" t="s">
        <v>1188</v>
      </c>
      <c r="B52" s="17" t="s">
        <v>870</v>
      </c>
      <c r="C52" s="17" t="s">
        <v>870</v>
      </c>
      <c r="D52" s="17" t="s">
        <v>870</v>
      </c>
      <c r="E52" s="17" t="s">
        <v>870</v>
      </c>
      <c r="F52" s="17" t="s">
        <v>870</v>
      </c>
      <c r="G52" s="17" t="s">
        <v>870</v>
      </c>
      <c r="H52" s="17" t="s">
        <v>870</v>
      </c>
      <c r="I52" s="17" t="s">
        <v>870</v>
      </c>
      <c r="J52" s="17" t="s">
        <v>870</v>
      </c>
      <c r="K52" s="17" t="s">
        <v>870</v>
      </c>
      <c r="L52" s="17" t="s">
        <v>870</v>
      </c>
      <c r="M52" s="17" t="s">
        <v>870</v>
      </c>
      <c r="N52" s="17" t="s">
        <v>870</v>
      </c>
      <c r="O52" s="17" t="s">
        <v>870</v>
      </c>
      <c r="P52" s="17" t="s">
        <v>870</v>
      </c>
      <c r="Q52" s="17" t="s">
        <v>870</v>
      </c>
      <c r="R52" s="17" t="s">
        <v>870</v>
      </c>
      <c r="S52" s="17" t="s">
        <v>870</v>
      </c>
      <c r="T52" s="17" t="s">
        <v>870</v>
      </c>
      <c r="U52" s="17" t="s">
        <v>870</v>
      </c>
      <c r="V52" s="17" t="s">
        <v>870</v>
      </c>
      <c r="W52" s="17" t="s">
        <v>870</v>
      </c>
      <c r="X52" s="17" t="s">
        <v>870</v>
      </c>
      <c r="Y52" s="17" t="s">
        <v>870</v>
      </c>
      <c r="Z52" s="17" t="s">
        <v>870</v>
      </c>
      <c r="AA52" s="17" t="s">
        <v>870</v>
      </c>
      <c r="AB52" s="17" t="s">
        <v>870</v>
      </c>
      <c r="AC52" s="17" t="s">
        <v>870</v>
      </c>
      <c r="AD52" s="17" t="s">
        <v>870</v>
      </c>
      <c r="AE52" s="17" t="s">
        <v>870</v>
      </c>
      <c r="AF52" s="17" t="s">
        <v>870</v>
      </c>
      <c r="AG52" s="17" t="s">
        <v>870</v>
      </c>
      <c r="AH52" s="17" t="s">
        <v>870</v>
      </c>
      <c r="AI52" s="17" t="s">
        <v>870</v>
      </c>
      <c r="AJ52" s="17" t="s">
        <v>870</v>
      </c>
      <c r="AK52" s="17" t="s">
        <v>870</v>
      </c>
      <c r="AL52" s="17" t="s">
        <v>870</v>
      </c>
      <c r="AM52" s="17" t="s">
        <v>870</v>
      </c>
      <c r="AN52" s="17" t="s">
        <v>870</v>
      </c>
      <c r="AO52" s="17" t="s">
        <v>870</v>
      </c>
      <c r="AP52" s="17" t="s">
        <v>870</v>
      </c>
      <c r="AQ52" s="17" t="s">
        <v>870</v>
      </c>
      <c r="AR52" s="17" t="s">
        <v>870</v>
      </c>
      <c r="AS52" s="17" t="s">
        <v>870</v>
      </c>
      <c r="AT52" s="17" t="s">
        <v>870</v>
      </c>
      <c r="AU52" s="17" t="s">
        <v>870</v>
      </c>
      <c r="AV52" s="17" t="s">
        <v>870</v>
      </c>
      <c r="AW52" s="17" t="s">
        <v>870</v>
      </c>
      <c r="AX52" s="17" t="s">
        <v>870</v>
      </c>
      <c r="AY52" s="17" t="s">
        <v>870</v>
      </c>
      <c r="AZ52" s="17" t="s">
        <v>870</v>
      </c>
      <c r="BA52" s="17" t="s">
        <v>870</v>
      </c>
      <c r="BB52" s="17" t="s">
        <v>870</v>
      </c>
      <c r="BC52" s="17" t="s">
        <v>870</v>
      </c>
      <c r="BD52" s="17" t="s">
        <v>870</v>
      </c>
      <c r="BE52" s="17" t="s">
        <v>870</v>
      </c>
      <c r="BF52" s="17" t="s">
        <v>870</v>
      </c>
      <c r="BG52" s="17" t="s">
        <v>870</v>
      </c>
      <c r="BH52" s="17" t="s">
        <v>870</v>
      </c>
      <c r="BI52" s="17" t="s">
        <v>870</v>
      </c>
      <c r="BJ52" s="17" t="s">
        <v>870</v>
      </c>
      <c r="BK52" s="17" t="s">
        <v>870</v>
      </c>
      <c r="BL52" s="17" t="s">
        <v>870</v>
      </c>
      <c r="BM52" s="17" t="s">
        <v>870</v>
      </c>
      <c r="BN52" s="17" t="s">
        <v>870</v>
      </c>
      <c r="BO52" s="17" t="s">
        <v>870</v>
      </c>
      <c r="BP52" s="17" t="s">
        <v>870</v>
      </c>
      <c r="BQ52" s="17" t="s">
        <v>870</v>
      </c>
      <c r="BR52" s="17" t="s">
        <v>870</v>
      </c>
      <c r="BS52" s="17" t="s">
        <v>870</v>
      </c>
      <c r="BT52" s="17" t="s">
        <v>870</v>
      </c>
      <c r="BU52" s="17" t="s">
        <v>870</v>
      </c>
      <c r="BV52" s="17" t="s">
        <v>870</v>
      </c>
      <c r="BW52" s="17" t="s">
        <v>870</v>
      </c>
      <c r="BX52" s="17" t="s">
        <v>870</v>
      </c>
      <c r="BY52" s="17" t="s">
        <v>870</v>
      </c>
      <c r="BZ52" s="17" t="s">
        <v>870</v>
      </c>
      <c r="CA52" s="17" t="s">
        <v>870</v>
      </c>
      <c r="CB52" s="17" t="s">
        <v>870</v>
      </c>
      <c r="CC52" s="17" t="s">
        <v>870</v>
      </c>
      <c r="CD52" s="17" t="s">
        <v>870</v>
      </c>
      <c r="CE52" s="17" t="s">
        <v>870</v>
      </c>
      <c r="CF52" s="17" t="s">
        <v>870</v>
      </c>
      <c r="CG52" s="17" t="s">
        <v>870</v>
      </c>
      <c r="CH52" s="17" t="s">
        <v>870</v>
      </c>
      <c r="CI52" s="17" t="s">
        <v>870</v>
      </c>
      <c r="CJ52" s="17" t="s">
        <v>870</v>
      </c>
      <c r="CK52" s="17" t="s">
        <v>870</v>
      </c>
      <c r="CL52" s="17" t="s">
        <v>870</v>
      </c>
      <c r="CM52" s="17" t="s">
        <v>870</v>
      </c>
      <c r="CN52" s="17" t="s">
        <v>870</v>
      </c>
      <c r="CO52" s="17" t="s">
        <v>870</v>
      </c>
      <c r="CP52" s="17" t="s">
        <v>870</v>
      </c>
      <c r="CQ52" s="17" t="s">
        <v>870</v>
      </c>
      <c r="CR52" s="17" t="s">
        <v>870</v>
      </c>
      <c r="CS52" s="17" t="s">
        <v>870</v>
      </c>
      <c r="CT52" s="17" t="s">
        <v>870</v>
      </c>
      <c r="CU52" s="17" t="s">
        <v>870</v>
      </c>
      <c r="CV52" s="17" t="s">
        <v>870</v>
      </c>
      <c r="CW52" s="17" t="s">
        <v>870</v>
      </c>
      <c r="CX52" s="17" t="s">
        <v>870</v>
      </c>
      <c r="CY52" s="17" t="s">
        <v>870</v>
      </c>
      <c r="CZ52" s="17" t="s">
        <v>870</v>
      </c>
      <c r="DA52" s="17" t="s">
        <v>870</v>
      </c>
      <c r="DB52" s="17" t="s">
        <v>870</v>
      </c>
      <c r="DC52" s="17" t="s">
        <v>870</v>
      </c>
      <c r="DD52" s="17" t="s">
        <v>870</v>
      </c>
      <c r="DE52" s="17" t="s">
        <v>870</v>
      </c>
      <c r="DF52" s="17" t="s">
        <v>870</v>
      </c>
      <c r="DG52" s="17" t="s">
        <v>870</v>
      </c>
      <c r="DH52" s="17" t="s">
        <v>870</v>
      </c>
      <c r="DI52" s="17" t="s">
        <v>870</v>
      </c>
      <c r="DJ52" s="17" t="s">
        <v>870</v>
      </c>
      <c r="DK52" s="17" t="s">
        <v>870</v>
      </c>
      <c r="DL52" s="17" t="s">
        <v>870</v>
      </c>
      <c r="DM52" s="17" t="s">
        <v>870</v>
      </c>
      <c r="DN52" s="17" t="s">
        <v>870</v>
      </c>
      <c r="DO52" s="17" t="s">
        <v>870</v>
      </c>
      <c r="DP52" s="17" t="s">
        <v>870</v>
      </c>
      <c r="DQ52" s="17" t="s">
        <v>870</v>
      </c>
      <c r="DR52" s="17" t="s">
        <v>870</v>
      </c>
      <c r="DS52" s="17" t="s">
        <v>870</v>
      </c>
      <c r="DT52" s="17" t="s">
        <v>870</v>
      </c>
      <c r="DU52" s="17" t="s">
        <v>870</v>
      </c>
      <c r="DV52" s="17" t="s">
        <v>870</v>
      </c>
      <c r="DW52" s="17" t="s">
        <v>870</v>
      </c>
      <c r="DX52" s="17" t="s">
        <v>870</v>
      </c>
      <c r="DY52" s="17" t="s">
        <v>870</v>
      </c>
      <c r="DZ52" s="17" t="s">
        <v>870</v>
      </c>
      <c r="EA52" s="17" t="s">
        <v>870</v>
      </c>
      <c r="EB52" s="17" t="s">
        <v>870</v>
      </c>
      <c r="EC52" s="17" t="s">
        <v>870</v>
      </c>
      <c r="ED52" s="17" t="s">
        <v>870</v>
      </c>
      <c r="EE52" s="17" t="s">
        <v>870</v>
      </c>
      <c r="EF52" s="17" t="s">
        <v>870</v>
      </c>
      <c r="EG52" s="17" t="s">
        <v>870</v>
      </c>
      <c r="EH52" s="17" t="s">
        <v>870</v>
      </c>
      <c r="EI52" s="17" t="s">
        <v>870</v>
      </c>
      <c r="EJ52" s="17" t="s">
        <v>870</v>
      </c>
      <c r="EK52" s="17" t="s">
        <v>870</v>
      </c>
      <c r="EL52" s="17" t="s">
        <v>870</v>
      </c>
      <c r="EM52" s="17" t="s">
        <v>870</v>
      </c>
      <c r="EN52" s="17" t="s">
        <v>870</v>
      </c>
      <c r="EO52" s="17" t="s">
        <v>870</v>
      </c>
      <c r="EP52" s="17" t="s">
        <v>870</v>
      </c>
      <c r="EQ52" s="17" t="s">
        <v>870</v>
      </c>
      <c r="ER52" s="17" t="s">
        <v>870</v>
      </c>
      <c r="ES52" s="17" t="s">
        <v>870</v>
      </c>
      <c r="ET52" s="17" t="s">
        <v>870</v>
      </c>
      <c r="EU52" s="17" t="s">
        <v>870</v>
      </c>
      <c r="EV52" s="17" t="s">
        <v>870</v>
      </c>
      <c r="EW52" s="17" t="s">
        <v>870</v>
      </c>
      <c r="EX52" s="17" t="s">
        <v>870</v>
      </c>
      <c r="EY52" s="17" t="s">
        <v>870</v>
      </c>
      <c r="EZ52" s="17" t="s">
        <v>870</v>
      </c>
      <c r="FA52" s="17" t="s">
        <v>870</v>
      </c>
      <c r="FB52" s="17" t="s">
        <v>870</v>
      </c>
      <c r="FC52" s="17" t="s">
        <v>870</v>
      </c>
      <c r="FD52" s="17" t="s">
        <v>870</v>
      </c>
      <c r="FE52" s="17" t="s">
        <v>870</v>
      </c>
      <c r="FF52" s="17" t="s">
        <v>870</v>
      </c>
      <c r="FG52" s="17" t="s">
        <v>870</v>
      </c>
      <c r="FH52" s="17" t="s">
        <v>870</v>
      </c>
      <c r="FI52" s="17" t="s">
        <v>870</v>
      </c>
      <c r="FJ52" s="17" t="s">
        <v>870</v>
      </c>
      <c r="FK52" s="17" t="s">
        <v>870</v>
      </c>
      <c r="FL52" s="17" t="s">
        <v>870</v>
      </c>
      <c r="FM52" s="17" t="s">
        <v>870</v>
      </c>
      <c r="FN52" s="17" t="s">
        <v>870</v>
      </c>
      <c r="FO52" s="17" t="s">
        <v>870</v>
      </c>
      <c r="FP52" s="17" t="s">
        <v>870</v>
      </c>
      <c r="FQ52" s="17" t="s">
        <v>870</v>
      </c>
      <c r="FR52" s="17" t="s">
        <v>870</v>
      </c>
      <c r="FS52" s="17" t="s">
        <v>870</v>
      </c>
      <c r="FT52" s="17" t="s">
        <v>870</v>
      </c>
      <c r="FU52" s="17" t="s">
        <v>870</v>
      </c>
      <c r="FV52" s="17" t="s">
        <v>870</v>
      </c>
      <c r="FW52" s="17" t="s">
        <v>870</v>
      </c>
      <c r="FX52" s="17" t="s">
        <v>870</v>
      </c>
      <c r="FY52" s="17" t="s">
        <v>870</v>
      </c>
      <c r="FZ52" s="17" t="s">
        <v>870</v>
      </c>
      <c r="GA52" s="17" t="s">
        <v>870</v>
      </c>
      <c r="GB52" s="17" t="s">
        <v>870</v>
      </c>
      <c r="GC52" s="17" t="s">
        <v>870</v>
      </c>
      <c r="GD52" s="17" t="s">
        <v>870</v>
      </c>
      <c r="GE52" s="17" t="s">
        <v>870</v>
      </c>
      <c r="GF52" s="17" t="s">
        <v>870</v>
      </c>
      <c r="GG52" s="17" t="s">
        <v>870</v>
      </c>
      <c r="GH52" s="17" t="s">
        <v>870</v>
      </c>
      <c r="GI52" s="17" t="s">
        <v>870</v>
      </c>
      <c r="GJ52" s="17" t="s">
        <v>870</v>
      </c>
      <c r="GK52" s="17" t="s">
        <v>870</v>
      </c>
      <c r="GL52" s="17" t="s">
        <v>870</v>
      </c>
      <c r="GM52" s="17" t="s">
        <v>870</v>
      </c>
      <c r="GN52" s="17" t="s">
        <v>870</v>
      </c>
      <c r="GO52" s="17" t="s">
        <v>870</v>
      </c>
      <c r="GP52" s="17" t="s">
        <v>870</v>
      </c>
      <c r="GQ52" s="17" t="s">
        <v>870</v>
      </c>
      <c r="GR52" s="17" t="s">
        <v>870</v>
      </c>
      <c r="GS52" s="17" t="s">
        <v>870</v>
      </c>
      <c r="GT52" s="17" t="s">
        <v>870</v>
      </c>
      <c r="GU52" s="17" t="s">
        <v>870</v>
      </c>
      <c r="GV52" s="17" t="s">
        <v>870</v>
      </c>
      <c r="GW52" s="17" t="s">
        <v>870</v>
      </c>
      <c r="GX52" s="17" t="s">
        <v>870</v>
      </c>
      <c r="GY52" s="17" t="s">
        <v>870</v>
      </c>
      <c r="GZ52" s="17" t="s">
        <v>870</v>
      </c>
      <c r="HA52" s="17" t="s">
        <v>870</v>
      </c>
      <c r="HB52" s="17" t="s">
        <v>870</v>
      </c>
      <c r="HC52" s="17" t="s">
        <v>870</v>
      </c>
      <c r="HD52" s="17" t="s">
        <v>870</v>
      </c>
      <c r="HE52" s="17" t="s">
        <v>870</v>
      </c>
      <c r="HF52" s="17" t="s">
        <v>870</v>
      </c>
      <c r="HG52" s="17" t="s">
        <v>870</v>
      </c>
      <c r="HH52" s="17" t="s">
        <v>870</v>
      </c>
      <c r="HI52" s="17" t="s">
        <v>870</v>
      </c>
      <c r="HJ52" s="17" t="s">
        <v>870</v>
      </c>
      <c r="HK52" s="17" t="s">
        <v>870</v>
      </c>
      <c r="HL52" s="17" t="s">
        <v>870</v>
      </c>
      <c r="HM52" s="17" t="s">
        <v>870</v>
      </c>
      <c r="HN52" s="17" t="s">
        <v>870</v>
      </c>
      <c r="HO52" s="17" t="s">
        <v>870</v>
      </c>
      <c r="HP52" s="17" t="s">
        <v>870</v>
      </c>
      <c r="HQ52" s="17" t="s">
        <v>870</v>
      </c>
      <c r="HR52" s="17" t="s">
        <v>870</v>
      </c>
      <c r="HS52" s="17" t="s">
        <v>870</v>
      </c>
      <c r="HT52" s="17" t="s">
        <v>870</v>
      </c>
      <c r="HU52" s="17" t="s">
        <v>870</v>
      </c>
      <c r="HV52" s="17" t="s">
        <v>870</v>
      </c>
      <c r="HW52" s="17" t="s">
        <v>870</v>
      </c>
      <c r="HX52" s="17" t="s">
        <v>870</v>
      </c>
      <c r="HY52" s="17" t="s">
        <v>870</v>
      </c>
      <c r="HZ52" s="17" t="s">
        <v>870</v>
      </c>
      <c r="IA52" s="17" t="s">
        <v>870</v>
      </c>
      <c r="IB52" s="17" t="s">
        <v>870</v>
      </c>
      <c r="IC52" s="17" t="s">
        <v>870</v>
      </c>
      <c r="ID52" s="17" t="s">
        <v>870</v>
      </c>
      <c r="IE52" s="17" t="s">
        <v>870</v>
      </c>
      <c r="IF52" s="17" t="s">
        <v>870</v>
      </c>
      <c r="IG52" s="61" t="s">
        <v>2</v>
      </c>
      <c r="IH52" s="63"/>
      <c r="II52" s="17" t="s">
        <v>870</v>
      </c>
      <c r="IJ52" s="17" t="s">
        <v>870</v>
      </c>
      <c r="IK52" s="17" t="s">
        <v>870</v>
      </c>
      <c r="IL52" s="17" t="s">
        <v>870</v>
      </c>
      <c r="IM52" s="17" t="s">
        <v>870</v>
      </c>
      <c r="IN52" s="17" t="s">
        <v>870</v>
      </c>
      <c r="IO52" s="17" t="s">
        <v>870</v>
      </c>
      <c r="IP52" s="62"/>
      <c r="IQ52" s="62"/>
      <c r="IR52" s="62"/>
      <c r="IS52" s="62"/>
      <c r="IT52" s="63"/>
      <c r="IU52" s="63"/>
      <c r="IV52" s="61" t="s">
        <v>2</v>
      </c>
      <c r="IW52" s="63"/>
      <c r="IX52" s="63"/>
      <c r="IY52" s="17" t="s">
        <v>870</v>
      </c>
      <c r="IZ52" s="17" t="s">
        <v>870</v>
      </c>
      <c r="JA52" s="17" t="s">
        <v>870</v>
      </c>
      <c r="JB52" s="17" t="s">
        <v>870</v>
      </c>
      <c r="JC52" s="17" t="s">
        <v>870</v>
      </c>
      <c r="JD52" s="17" t="s">
        <v>870</v>
      </c>
      <c r="JE52" s="17" t="s">
        <v>870</v>
      </c>
      <c r="JF52" s="17" t="s">
        <v>870</v>
      </c>
      <c r="JG52" s="17" t="s">
        <v>870</v>
      </c>
      <c r="JH52" s="17" t="s">
        <v>870</v>
      </c>
      <c r="JI52" s="17" t="s">
        <v>870</v>
      </c>
      <c r="JJ52" s="17" t="s">
        <v>870</v>
      </c>
      <c r="JK52" s="17" t="s">
        <v>870</v>
      </c>
      <c r="JL52" s="17" t="s">
        <v>870</v>
      </c>
      <c r="JM52" s="17" t="s">
        <v>870</v>
      </c>
      <c r="JN52" s="17" t="s">
        <v>870</v>
      </c>
      <c r="JO52" s="62"/>
      <c r="JP52" s="61" t="s">
        <v>2</v>
      </c>
      <c r="JQ52" s="17" t="s">
        <v>870</v>
      </c>
      <c r="JR52" s="17" t="s">
        <v>870</v>
      </c>
      <c r="JS52" s="17" t="s">
        <v>870</v>
      </c>
      <c r="JT52" s="17" t="s">
        <v>870</v>
      </c>
    </row>
    <row r="53" spans="1:280" x14ac:dyDescent="0.25">
      <c r="A53" t="s">
        <v>1193</v>
      </c>
      <c r="B53" s="17" t="s">
        <v>870</v>
      </c>
      <c r="C53" s="17" t="s">
        <v>870</v>
      </c>
      <c r="D53" s="17" t="s">
        <v>870</v>
      </c>
      <c r="E53" s="17" t="s">
        <v>870</v>
      </c>
      <c r="F53" s="17" t="s">
        <v>870</v>
      </c>
      <c r="G53" s="17" t="s">
        <v>870</v>
      </c>
      <c r="H53" s="17" t="s">
        <v>870</v>
      </c>
      <c r="I53" s="17" t="s">
        <v>870</v>
      </c>
      <c r="J53" s="17" t="s">
        <v>870</v>
      </c>
      <c r="K53" s="17" t="s">
        <v>870</v>
      </c>
      <c r="L53" s="17" t="s">
        <v>870</v>
      </c>
      <c r="M53" s="17" t="s">
        <v>870</v>
      </c>
      <c r="N53" s="17" t="s">
        <v>870</v>
      </c>
      <c r="O53" s="17" t="s">
        <v>870</v>
      </c>
      <c r="P53" s="17" t="s">
        <v>870</v>
      </c>
      <c r="Q53" s="17" t="s">
        <v>870</v>
      </c>
      <c r="R53" s="17" t="s">
        <v>870</v>
      </c>
      <c r="S53" s="17" t="s">
        <v>870</v>
      </c>
      <c r="T53" s="17" t="s">
        <v>870</v>
      </c>
      <c r="U53" s="17" t="s">
        <v>870</v>
      </c>
      <c r="V53" s="17" t="s">
        <v>870</v>
      </c>
      <c r="W53" s="17" t="s">
        <v>870</v>
      </c>
      <c r="X53" s="17" t="s">
        <v>870</v>
      </c>
      <c r="Y53" s="17" t="s">
        <v>870</v>
      </c>
      <c r="Z53" s="17" t="s">
        <v>870</v>
      </c>
      <c r="AA53" s="17" t="s">
        <v>870</v>
      </c>
      <c r="AB53" s="17" t="s">
        <v>870</v>
      </c>
      <c r="AC53" s="17" t="s">
        <v>870</v>
      </c>
      <c r="AD53" s="17" t="s">
        <v>870</v>
      </c>
      <c r="AE53" s="17" t="s">
        <v>870</v>
      </c>
      <c r="AF53" s="17" t="s">
        <v>870</v>
      </c>
      <c r="AG53" s="17" t="s">
        <v>870</v>
      </c>
      <c r="AH53" s="17" t="s">
        <v>870</v>
      </c>
      <c r="AI53" s="17" t="s">
        <v>870</v>
      </c>
      <c r="AJ53" s="17" t="s">
        <v>870</v>
      </c>
      <c r="AK53" s="17" t="s">
        <v>870</v>
      </c>
      <c r="AL53" s="17" t="s">
        <v>870</v>
      </c>
      <c r="AM53" s="17" t="s">
        <v>870</v>
      </c>
      <c r="AN53" s="17" t="s">
        <v>870</v>
      </c>
      <c r="AO53" s="17" t="s">
        <v>870</v>
      </c>
      <c r="AP53" s="17" t="s">
        <v>870</v>
      </c>
      <c r="AQ53" s="17" t="s">
        <v>870</v>
      </c>
      <c r="AR53" s="17" t="s">
        <v>870</v>
      </c>
      <c r="AS53" s="17" t="s">
        <v>870</v>
      </c>
      <c r="AT53" s="17" t="s">
        <v>870</v>
      </c>
      <c r="AU53" s="17" t="s">
        <v>870</v>
      </c>
      <c r="AV53" s="17" t="s">
        <v>870</v>
      </c>
      <c r="AW53" s="17" t="s">
        <v>870</v>
      </c>
      <c r="AX53" s="17" t="s">
        <v>870</v>
      </c>
      <c r="AY53" s="17" t="s">
        <v>870</v>
      </c>
      <c r="AZ53" s="17" t="s">
        <v>870</v>
      </c>
      <c r="BA53" s="17" t="s">
        <v>870</v>
      </c>
      <c r="BB53" s="17" t="s">
        <v>870</v>
      </c>
      <c r="BC53" s="17" t="s">
        <v>870</v>
      </c>
      <c r="BD53" s="17" t="s">
        <v>870</v>
      </c>
      <c r="BE53" s="17" t="s">
        <v>870</v>
      </c>
      <c r="BF53" s="17" t="s">
        <v>870</v>
      </c>
      <c r="BG53" s="17" t="s">
        <v>870</v>
      </c>
      <c r="BH53" s="17" t="s">
        <v>870</v>
      </c>
      <c r="BI53" s="17" t="s">
        <v>870</v>
      </c>
      <c r="BJ53" s="17" t="s">
        <v>870</v>
      </c>
      <c r="BK53" s="17" t="s">
        <v>870</v>
      </c>
      <c r="BL53" s="17" t="s">
        <v>870</v>
      </c>
      <c r="BM53" s="17" t="s">
        <v>870</v>
      </c>
      <c r="BN53" s="17" t="s">
        <v>870</v>
      </c>
      <c r="BO53" s="17" t="s">
        <v>870</v>
      </c>
      <c r="BP53" s="17" t="s">
        <v>870</v>
      </c>
      <c r="BQ53" s="17" t="s">
        <v>870</v>
      </c>
      <c r="BR53" s="17" t="s">
        <v>870</v>
      </c>
      <c r="BS53" s="17" t="s">
        <v>870</v>
      </c>
      <c r="BT53" s="17" t="s">
        <v>870</v>
      </c>
      <c r="BU53" s="17" t="s">
        <v>870</v>
      </c>
      <c r="BV53" s="17" t="s">
        <v>870</v>
      </c>
      <c r="BW53" s="17" t="s">
        <v>870</v>
      </c>
      <c r="BX53" s="17" t="s">
        <v>870</v>
      </c>
      <c r="BY53" s="17" t="s">
        <v>870</v>
      </c>
      <c r="BZ53" s="17" t="s">
        <v>870</v>
      </c>
      <c r="CA53" s="17" t="s">
        <v>870</v>
      </c>
      <c r="CB53" s="17" t="s">
        <v>870</v>
      </c>
      <c r="CC53" s="17" t="s">
        <v>870</v>
      </c>
      <c r="CD53" s="17" t="s">
        <v>870</v>
      </c>
      <c r="CE53" s="17" t="s">
        <v>870</v>
      </c>
      <c r="CF53" s="17" t="s">
        <v>870</v>
      </c>
      <c r="CG53" s="17" t="s">
        <v>870</v>
      </c>
      <c r="CH53" s="17" t="s">
        <v>870</v>
      </c>
      <c r="CI53" s="17" t="s">
        <v>870</v>
      </c>
      <c r="CJ53" s="17" t="s">
        <v>870</v>
      </c>
      <c r="CK53" s="17" t="s">
        <v>870</v>
      </c>
      <c r="CL53" s="17" t="s">
        <v>870</v>
      </c>
      <c r="CM53" s="17" t="s">
        <v>870</v>
      </c>
      <c r="CN53" s="17" t="s">
        <v>870</v>
      </c>
      <c r="CO53" s="17" t="s">
        <v>870</v>
      </c>
      <c r="CP53" s="17" t="s">
        <v>870</v>
      </c>
      <c r="CQ53" s="17" t="s">
        <v>870</v>
      </c>
      <c r="CR53" s="17" t="s">
        <v>870</v>
      </c>
      <c r="CS53" s="17" t="s">
        <v>870</v>
      </c>
      <c r="CT53" s="17" t="s">
        <v>870</v>
      </c>
      <c r="CU53" s="17" t="s">
        <v>870</v>
      </c>
      <c r="CV53" s="17" t="s">
        <v>870</v>
      </c>
      <c r="CW53" s="17" t="s">
        <v>870</v>
      </c>
      <c r="CX53" s="17" t="s">
        <v>870</v>
      </c>
      <c r="CY53" s="17" t="s">
        <v>870</v>
      </c>
      <c r="CZ53" s="17" t="s">
        <v>870</v>
      </c>
      <c r="DA53" s="17" t="s">
        <v>870</v>
      </c>
      <c r="DB53" s="17" t="s">
        <v>870</v>
      </c>
      <c r="DC53" s="17" t="s">
        <v>870</v>
      </c>
      <c r="DD53" s="17" t="s">
        <v>870</v>
      </c>
      <c r="DE53" s="17" t="s">
        <v>870</v>
      </c>
      <c r="DF53" s="17" t="s">
        <v>870</v>
      </c>
      <c r="DG53" s="17" t="s">
        <v>870</v>
      </c>
      <c r="DH53" s="17" t="s">
        <v>870</v>
      </c>
      <c r="DI53" s="17" t="s">
        <v>870</v>
      </c>
      <c r="DJ53" s="17" t="s">
        <v>870</v>
      </c>
      <c r="DK53" s="17" t="s">
        <v>870</v>
      </c>
      <c r="DL53" s="17" t="s">
        <v>870</v>
      </c>
      <c r="DM53" s="17" t="s">
        <v>870</v>
      </c>
      <c r="DN53" s="17" t="s">
        <v>870</v>
      </c>
      <c r="DO53" s="17" t="s">
        <v>870</v>
      </c>
      <c r="DP53" s="17" t="s">
        <v>870</v>
      </c>
      <c r="DQ53" s="17" t="s">
        <v>870</v>
      </c>
      <c r="DR53" s="17" t="s">
        <v>870</v>
      </c>
      <c r="DS53" s="17" t="s">
        <v>870</v>
      </c>
      <c r="DT53" s="17" t="s">
        <v>870</v>
      </c>
      <c r="DU53" s="17" t="s">
        <v>870</v>
      </c>
      <c r="DV53" s="17" t="s">
        <v>870</v>
      </c>
      <c r="DW53" s="17" t="s">
        <v>870</v>
      </c>
      <c r="DX53" s="17" t="s">
        <v>870</v>
      </c>
      <c r="DY53" s="17" t="s">
        <v>870</v>
      </c>
      <c r="DZ53" s="17" t="s">
        <v>870</v>
      </c>
      <c r="EA53" s="17" t="s">
        <v>870</v>
      </c>
      <c r="EB53" s="17" t="s">
        <v>870</v>
      </c>
      <c r="EC53" s="17" t="s">
        <v>870</v>
      </c>
      <c r="ED53" s="17" t="s">
        <v>870</v>
      </c>
      <c r="EE53" s="17" t="s">
        <v>870</v>
      </c>
      <c r="EF53" s="17" t="s">
        <v>870</v>
      </c>
      <c r="EG53" s="17" t="s">
        <v>870</v>
      </c>
      <c r="EH53" s="17" t="s">
        <v>870</v>
      </c>
      <c r="EI53" s="17" t="s">
        <v>870</v>
      </c>
      <c r="EJ53" s="17" t="s">
        <v>870</v>
      </c>
      <c r="EK53" s="17" t="s">
        <v>870</v>
      </c>
      <c r="EL53" s="17" t="s">
        <v>870</v>
      </c>
      <c r="EM53" s="17" t="s">
        <v>870</v>
      </c>
      <c r="EN53" s="17" t="s">
        <v>870</v>
      </c>
      <c r="EO53" s="17" t="s">
        <v>870</v>
      </c>
      <c r="EP53" s="17" t="s">
        <v>870</v>
      </c>
      <c r="EQ53" s="17" t="s">
        <v>870</v>
      </c>
      <c r="ER53" s="17" t="s">
        <v>870</v>
      </c>
      <c r="ES53" s="17" t="s">
        <v>870</v>
      </c>
      <c r="ET53" s="17" t="s">
        <v>870</v>
      </c>
      <c r="EU53" s="17" t="s">
        <v>870</v>
      </c>
      <c r="EV53" s="17" t="s">
        <v>870</v>
      </c>
      <c r="EW53" s="17" t="s">
        <v>870</v>
      </c>
      <c r="EX53" s="17" t="s">
        <v>870</v>
      </c>
      <c r="EY53" s="17" t="s">
        <v>870</v>
      </c>
      <c r="EZ53" s="17" t="s">
        <v>870</v>
      </c>
      <c r="FA53" s="17" t="s">
        <v>870</v>
      </c>
      <c r="FB53" s="17" t="s">
        <v>870</v>
      </c>
      <c r="FC53" s="17" t="s">
        <v>870</v>
      </c>
      <c r="FD53" s="17" t="s">
        <v>870</v>
      </c>
      <c r="FE53" s="17" t="s">
        <v>870</v>
      </c>
      <c r="FF53" s="17" t="s">
        <v>870</v>
      </c>
      <c r="FG53" s="17" t="s">
        <v>870</v>
      </c>
      <c r="FH53" s="17" t="s">
        <v>870</v>
      </c>
      <c r="FI53" s="17" t="s">
        <v>870</v>
      </c>
      <c r="FJ53" s="17" t="s">
        <v>870</v>
      </c>
      <c r="FK53" s="17" t="s">
        <v>870</v>
      </c>
      <c r="FL53" s="17" t="s">
        <v>870</v>
      </c>
      <c r="FM53" s="17" t="s">
        <v>870</v>
      </c>
      <c r="FN53" s="17" t="s">
        <v>870</v>
      </c>
      <c r="FO53" s="17" t="s">
        <v>870</v>
      </c>
      <c r="FP53" s="17" t="s">
        <v>870</v>
      </c>
      <c r="FQ53" s="17" t="s">
        <v>870</v>
      </c>
      <c r="FR53" s="17" t="s">
        <v>870</v>
      </c>
      <c r="FS53" s="17" t="s">
        <v>870</v>
      </c>
      <c r="FT53" s="17" t="s">
        <v>870</v>
      </c>
      <c r="FU53" s="17" t="s">
        <v>870</v>
      </c>
      <c r="FV53" s="17" t="s">
        <v>870</v>
      </c>
      <c r="FW53" s="17" t="s">
        <v>870</v>
      </c>
      <c r="FX53" s="17" t="s">
        <v>870</v>
      </c>
      <c r="FY53" s="17" t="s">
        <v>870</v>
      </c>
      <c r="FZ53" s="17" t="s">
        <v>870</v>
      </c>
      <c r="GA53" s="17" t="s">
        <v>870</v>
      </c>
      <c r="GB53" s="17" t="s">
        <v>870</v>
      </c>
      <c r="GC53" s="17" t="s">
        <v>870</v>
      </c>
      <c r="GD53" s="17" t="s">
        <v>870</v>
      </c>
      <c r="GE53" s="17" t="s">
        <v>870</v>
      </c>
      <c r="GF53" s="17" t="s">
        <v>870</v>
      </c>
      <c r="GG53" s="17" t="s">
        <v>870</v>
      </c>
      <c r="GH53" s="17" t="s">
        <v>870</v>
      </c>
      <c r="GI53" s="17" t="s">
        <v>870</v>
      </c>
      <c r="GJ53" s="17" t="s">
        <v>870</v>
      </c>
      <c r="GK53" s="17" t="s">
        <v>870</v>
      </c>
      <c r="GL53" s="17" t="s">
        <v>870</v>
      </c>
      <c r="GM53" s="17" t="s">
        <v>870</v>
      </c>
      <c r="GN53" s="17" t="s">
        <v>870</v>
      </c>
      <c r="GO53" s="17" t="s">
        <v>870</v>
      </c>
      <c r="GP53" s="17" t="s">
        <v>870</v>
      </c>
      <c r="GQ53" s="17" t="s">
        <v>870</v>
      </c>
      <c r="GR53" s="17" t="s">
        <v>870</v>
      </c>
      <c r="GS53" s="17" t="s">
        <v>870</v>
      </c>
      <c r="GT53" s="17" t="s">
        <v>870</v>
      </c>
      <c r="GU53" s="17" t="s">
        <v>870</v>
      </c>
      <c r="GV53" s="17" t="s">
        <v>870</v>
      </c>
      <c r="GW53" s="17" t="s">
        <v>870</v>
      </c>
      <c r="GX53" s="17" t="s">
        <v>870</v>
      </c>
      <c r="GY53" s="17" t="s">
        <v>870</v>
      </c>
      <c r="GZ53" s="17" t="s">
        <v>870</v>
      </c>
      <c r="HA53" s="17" t="s">
        <v>870</v>
      </c>
      <c r="HB53" s="17" t="s">
        <v>870</v>
      </c>
      <c r="HC53" s="17" t="s">
        <v>870</v>
      </c>
      <c r="HD53" s="17" t="s">
        <v>870</v>
      </c>
      <c r="HE53" s="17" t="s">
        <v>870</v>
      </c>
      <c r="HF53" s="17" t="s">
        <v>870</v>
      </c>
      <c r="HG53" s="17" t="s">
        <v>870</v>
      </c>
      <c r="HH53" s="17" t="s">
        <v>870</v>
      </c>
      <c r="HI53" s="17" t="s">
        <v>870</v>
      </c>
      <c r="HJ53" s="17" t="s">
        <v>870</v>
      </c>
      <c r="HK53" s="17" t="s">
        <v>870</v>
      </c>
      <c r="HL53" s="17" t="s">
        <v>870</v>
      </c>
      <c r="HM53" s="17" t="s">
        <v>870</v>
      </c>
      <c r="HN53" s="17" t="s">
        <v>870</v>
      </c>
      <c r="HO53" s="17" t="s">
        <v>870</v>
      </c>
      <c r="HP53" s="17" t="s">
        <v>870</v>
      </c>
      <c r="HQ53" s="17" t="s">
        <v>870</v>
      </c>
      <c r="HR53" s="17" t="s">
        <v>870</v>
      </c>
      <c r="HS53" s="17" t="s">
        <v>870</v>
      </c>
      <c r="HT53" s="17" t="s">
        <v>870</v>
      </c>
      <c r="HU53" s="17" t="s">
        <v>870</v>
      </c>
      <c r="HV53" s="17" t="s">
        <v>870</v>
      </c>
      <c r="HW53" s="17" t="s">
        <v>870</v>
      </c>
      <c r="HX53" s="17" t="s">
        <v>870</v>
      </c>
      <c r="HY53" s="17" t="s">
        <v>870</v>
      </c>
      <c r="HZ53" s="17" t="s">
        <v>870</v>
      </c>
      <c r="IA53" s="17" t="s">
        <v>870</v>
      </c>
      <c r="IB53" s="17" t="s">
        <v>870</v>
      </c>
      <c r="IC53" s="17" t="s">
        <v>870</v>
      </c>
      <c r="ID53" s="17" t="s">
        <v>870</v>
      </c>
      <c r="IE53" s="17" t="s">
        <v>870</v>
      </c>
      <c r="IF53" s="17" t="s">
        <v>870</v>
      </c>
      <c r="IG53" s="17" t="s">
        <v>870</v>
      </c>
      <c r="IH53" s="17" t="s">
        <v>870</v>
      </c>
      <c r="II53" s="17" t="s">
        <v>870</v>
      </c>
      <c r="IJ53" s="17" t="s">
        <v>870</v>
      </c>
      <c r="IK53" s="17" t="s">
        <v>870</v>
      </c>
      <c r="IL53" s="17" t="s">
        <v>870</v>
      </c>
      <c r="IM53" s="17" t="s">
        <v>870</v>
      </c>
      <c r="IN53" s="17" t="s">
        <v>870</v>
      </c>
      <c r="IO53" s="17" t="s">
        <v>870</v>
      </c>
      <c r="IP53" s="63"/>
      <c r="IQ53" s="17" t="s">
        <v>870</v>
      </c>
      <c r="IR53" s="17" t="s">
        <v>870</v>
      </c>
      <c r="IS53" s="17" t="s">
        <v>870</v>
      </c>
      <c r="IT53" s="17" t="s">
        <v>870</v>
      </c>
      <c r="IU53" s="63"/>
      <c r="IV53" s="63"/>
      <c r="IW53" s="17" t="s">
        <v>870</v>
      </c>
      <c r="IX53" s="17" t="s">
        <v>870</v>
      </c>
      <c r="IY53" s="17" t="s">
        <v>870</v>
      </c>
      <c r="IZ53" s="17" t="s">
        <v>870</v>
      </c>
      <c r="JA53" s="17" t="s">
        <v>870</v>
      </c>
      <c r="JB53" s="17" t="s">
        <v>870</v>
      </c>
      <c r="JC53" s="17" t="s">
        <v>870</v>
      </c>
      <c r="JD53" s="17" t="s">
        <v>870</v>
      </c>
      <c r="JE53" s="17" t="s">
        <v>870</v>
      </c>
      <c r="JF53" s="17" t="s">
        <v>870</v>
      </c>
      <c r="JG53" s="17" t="s">
        <v>870</v>
      </c>
      <c r="JH53" s="17" t="s">
        <v>870</v>
      </c>
      <c r="JI53" s="17" t="s">
        <v>870</v>
      </c>
      <c r="JJ53" s="17" t="s">
        <v>870</v>
      </c>
      <c r="JK53" s="17" t="s">
        <v>870</v>
      </c>
      <c r="JL53" s="17" t="s">
        <v>870</v>
      </c>
      <c r="JM53" s="17" t="s">
        <v>870</v>
      </c>
      <c r="JN53" s="17" t="s">
        <v>870</v>
      </c>
      <c r="JO53" s="17" t="s">
        <v>870</v>
      </c>
      <c r="JP53" s="17" t="s">
        <v>870</v>
      </c>
      <c r="JQ53" s="17" t="s">
        <v>870</v>
      </c>
      <c r="JR53" s="17" t="s">
        <v>870</v>
      </c>
      <c r="JS53" s="17" t="s">
        <v>870</v>
      </c>
      <c r="JT53" s="17" t="s">
        <v>870</v>
      </c>
    </row>
    <row r="54" spans="1:280" x14ac:dyDescent="0.25">
      <c r="A54" t="s">
        <v>1191</v>
      </c>
      <c r="B54" s="17" t="s">
        <v>870</v>
      </c>
      <c r="C54" s="17" t="s">
        <v>870</v>
      </c>
      <c r="D54" s="17" t="s">
        <v>870</v>
      </c>
      <c r="E54" s="17" t="s">
        <v>870</v>
      </c>
      <c r="F54" s="17" t="s">
        <v>870</v>
      </c>
      <c r="G54" s="17" t="s">
        <v>870</v>
      </c>
      <c r="H54" s="17" t="s">
        <v>870</v>
      </c>
      <c r="I54" s="17" t="s">
        <v>870</v>
      </c>
      <c r="J54" s="17" t="s">
        <v>870</v>
      </c>
      <c r="K54" s="17" t="s">
        <v>870</v>
      </c>
      <c r="L54" s="17" t="s">
        <v>870</v>
      </c>
      <c r="M54" s="17" t="s">
        <v>870</v>
      </c>
      <c r="N54" s="17" t="s">
        <v>870</v>
      </c>
      <c r="O54" s="17" t="s">
        <v>870</v>
      </c>
      <c r="P54" s="17" t="s">
        <v>870</v>
      </c>
      <c r="Q54" s="17" t="s">
        <v>870</v>
      </c>
      <c r="R54" s="17" t="s">
        <v>870</v>
      </c>
      <c r="S54" s="17" t="s">
        <v>870</v>
      </c>
      <c r="T54" s="17" t="s">
        <v>870</v>
      </c>
      <c r="U54" s="17" t="s">
        <v>870</v>
      </c>
      <c r="V54" s="17" t="s">
        <v>870</v>
      </c>
      <c r="W54" s="17" t="s">
        <v>870</v>
      </c>
      <c r="X54" s="17" t="s">
        <v>870</v>
      </c>
      <c r="Y54" s="17" t="s">
        <v>870</v>
      </c>
      <c r="Z54" s="17" t="s">
        <v>870</v>
      </c>
      <c r="AA54" s="17" t="s">
        <v>870</v>
      </c>
      <c r="AB54" s="17" t="s">
        <v>870</v>
      </c>
      <c r="AC54" s="17" t="s">
        <v>870</v>
      </c>
      <c r="AD54" s="17" t="s">
        <v>870</v>
      </c>
      <c r="AE54" s="17" t="s">
        <v>870</v>
      </c>
      <c r="AF54" s="17" t="s">
        <v>870</v>
      </c>
      <c r="AG54" s="17" t="s">
        <v>870</v>
      </c>
      <c r="AH54" s="17" t="s">
        <v>870</v>
      </c>
      <c r="AI54" s="17" t="s">
        <v>870</v>
      </c>
      <c r="AJ54" s="17" t="s">
        <v>870</v>
      </c>
      <c r="AK54" s="17" t="s">
        <v>870</v>
      </c>
      <c r="AL54" s="17" t="s">
        <v>870</v>
      </c>
      <c r="AM54" s="17" t="s">
        <v>870</v>
      </c>
      <c r="AN54" s="17" t="s">
        <v>870</v>
      </c>
      <c r="AO54" s="17" t="s">
        <v>870</v>
      </c>
      <c r="AP54" s="17" t="s">
        <v>870</v>
      </c>
      <c r="AQ54" s="17" t="s">
        <v>870</v>
      </c>
      <c r="AR54" s="17" t="s">
        <v>870</v>
      </c>
      <c r="AS54" s="17" t="s">
        <v>870</v>
      </c>
      <c r="AT54" s="17" t="s">
        <v>870</v>
      </c>
      <c r="AU54" s="17" t="s">
        <v>870</v>
      </c>
      <c r="AV54" s="17" t="s">
        <v>870</v>
      </c>
      <c r="AW54" s="17" t="s">
        <v>870</v>
      </c>
      <c r="AX54" s="17" t="s">
        <v>870</v>
      </c>
      <c r="AY54" s="17" t="s">
        <v>870</v>
      </c>
      <c r="AZ54" s="17" t="s">
        <v>870</v>
      </c>
      <c r="BA54" s="17" t="s">
        <v>870</v>
      </c>
      <c r="BB54" s="17" t="s">
        <v>870</v>
      </c>
      <c r="BC54" s="17" t="s">
        <v>870</v>
      </c>
      <c r="BD54" s="17" t="s">
        <v>870</v>
      </c>
      <c r="BE54" s="17" t="s">
        <v>870</v>
      </c>
      <c r="BF54" s="17" t="s">
        <v>870</v>
      </c>
      <c r="BG54" s="17" t="s">
        <v>870</v>
      </c>
      <c r="BH54" s="17" t="s">
        <v>870</v>
      </c>
      <c r="BI54" s="17" t="s">
        <v>870</v>
      </c>
      <c r="BJ54" s="17" t="s">
        <v>870</v>
      </c>
      <c r="BK54" s="17" t="s">
        <v>870</v>
      </c>
      <c r="BL54" s="17" t="s">
        <v>870</v>
      </c>
      <c r="BM54" s="17" t="s">
        <v>870</v>
      </c>
      <c r="BN54" s="17" t="s">
        <v>870</v>
      </c>
      <c r="BO54" s="17" t="s">
        <v>870</v>
      </c>
      <c r="BP54" s="17" t="s">
        <v>870</v>
      </c>
      <c r="BQ54" s="17" t="s">
        <v>870</v>
      </c>
      <c r="BR54" s="17" t="s">
        <v>870</v>
      </c>
      <c r="BS54" s="17" t="s">
        <v>870</v>
      </c>
      <c r="BT54" s="17" t="s">
        <v>870</v>
      </c>
      <c r="BU54" s="17" t="s">
        <v>870</v>
      </c>
      <c r="BV54" s="17" t="s">
        <v>870</v>
      </c>
      <c r="BW54" s="17" t="s">
        <v>870</v>
      </c>
      <c r="BX54" s="17" t="s">
        <v>870</v>
      </c>
      <c r="BY54" s="17" t="s">
        <v>870</v>
      </c>
      <c r="BZ54" s="17" t="s">
        <v>870</v>
      </c>
      <c r="CA54" s="17" t="s">
        <v>870</v>
      </c>
      <c r="CB54" s="17" t="s">
        <v>870</v>
      </c>
      <c r="CC54" s="17" t="s">
        <v>870</v>
      </c>
      <c r="CD54" s="17" t="s">
        <v>870</v>
      </c>
      <c r="CE54" s="17" t="s">
        <v>870</v>
      </c>
      <c r="CF54" s="17" t="s">
        <v>870</v>
      </c>
      <c r="CG54" s="17" t="s">
        <v>870</v>
      </c>
      <c r="CH54" s="17" t="s">
        <v>870</v>
      </c>
      <c r="CI54" s="17" t="s">
        <v>870</v>
      </c>
      <c r="CJ54" s="17" t="s">
        <v>870</v>
      </c>
      <c r="CK54" s="17" t="s">
        <v>870</v>
      </c>
      <c r="CL54" s="17" t="s">
        <v>870</v>
      </c>
      <c r="CM54" s="17" t="s">
        <v>870</v>
      </c>
      <c r="CN54" s="17" t="s">
        <v>870</v>
      </c>
      <c r="CO54" s="17" t="s">
        <v>870</v>
      </c>
      <c r="CP54" s="17" t="s">
        <v>870</v>
      </c>
      <c r="CQ54" s="17" t="s">
        <v>870</v>
      </c>
      <c r="CR54" s="17" t="s">
        <v>870</v>
      </c>
      <c r="CS54" s="17" t="s">
        <v>870</v>
      </c>
      <c r="CT54" s="17" t="s">
        <v>870</v>
      </c>
      <c r="CU54" s="17" t="s">
        <v>870</v>
      </c>
      <c r="CV54" s="17" t="s">
        <v>870</v>
      </c>
      <c r="CW54" s="17" t="s">
        <v>870</v>
      </c>
      <c r="CX54" s="17" t="s">
        <v>870</v>
      </c>
      <c r="CY54" s="17" t="s">
        <v>870</v>
      </c>
      <c r="CZ54" s="17" t="s">
        <v>870</v>
      </c>
      <c r="DA54" s="17" t="s">
        <v>870</v>
      </c>
      <c r="DB54" s="17" t="s">
        <v>870</v>
      </c>
      <c r="DC54" s="17" t="s">
        <v>870</v>
      </c>
      <c r="DD54" s="17" t="s">
        <v>870</v>
      </c>
      <c r="DE54" s="17" t="s">
        <v>870</v>
      </c>
      <c r="DF54" s="17" t="s">
        <v>870</v>
      </c>
      <c r="DG54" s="17" t="s">
        <v>870</v>
      </c>
      <c r="DH54" s="17" t="s">
        <v>870</v>
      </c>
      <c r="DI54" s="17" t="s">
        <v>870</v>
      </c>
      <c r="DJ54" s="17" t="s">
        <v>870</v>
      </c>
      <c r="DK54" s="17" t="s">
        <v>870</v>
      </c>
      <c r="DL54" s="17" t="s">
        <v>870</v>
      </c>
      <c r="DM54" s="17" t="s">
        <v>870</v>
      </c>
      <c r="DN54" s="17" t="s">
        <v>870</v>
      </c>
      <c r="DO54" s="17" t="s">
        <v>870</v>
      </c>
      <c r="DP54" s="17" t="s">
        <v>870</v>
      </c>
      <c r="DQ54" s="17" t="s">
        <v>870</v>
      </c>
      <c r="DR54" s="17" t="s">
        <v>870</v>
      </c>
      <c r="DS54" s="17" t="s">
        <v>870</v>
      </c>
      <c r="DT54" s="17" t="s">
        <v>870</v>
      </c>
      <c r="DU54" s="17" t="s">
        <v>870</v>
      </c>
      <c r="DV54" s="17" t="s">
        <v>870</v>
      </c>
      <c r="DW54" s="17" t="s">
        <v>870</v>
      </c>
      <c r="DX54" s="17" t="s">
        <v>870</v>
      </c>
      <c r="DY54" s="17" t="s">
        <v>870</v>
      </c>
      <c r="DZ54" s="17" t="s">
        <v>870</v>
      </c>
      <c r="EA54" s="17" t="s">
        <v>870</v>
      </c>
      <c r="EB54" s="17" t="s">
        <v>870</v>
      </c>
      <c r="EC54" s="17" t="s">
        <v>870</v>
      </c>
      <c r="ED54" s="17" t="s">
        <v>870</v>
      </c>
      <c r="EE54" s="17" t="s">
        <v>870</v>
      </c>
      <c r="EF54" s="17" t="s">
        <v>870</v>
      </c>
      <c r="EG54" s="17" t="s">
        <v>870</v>
      </c>
      <c r="EH54" s="17" t="s">
        <v>870</v>
      </c>
      <c r="EI54" s="17" t="s">
        <v>870</v>
      </c>
      <c r="EJ54" s="17" t="s">
        <v>870</v>
      </c>
      <c r="EK54" s="17" t="s">
        <v>870</v>
      </c>
      <c r="EL54" s="17" t="s">
        <v>870</v>
      </c>
      <c r="EM54" s="17" t="s">
        <v>870</v>
      </c>
      <c r="EN54" s="17" t="s">
        <v>870</v>
      </c>
      <c r="EO54" s="17" t="s">
        <v>870</v>
      </c>
      <c r="EP54" s="17" t="s">
        <v>870</v>
      </c>
      <c r="EQ54" s="17" t="s">
        <v>870</v>
      </c>
      <c r="ER54" s="17" t="s">
        <v>870</v>
      </c>
      <c r="ES54" s="17" t="s">
        <v>870</v>
      </c>
      <c r="ET54" s="17" t="s">
        <v>870</v>
      </c>
      <c r="EU54" s="17" t="s">
        <v>870</v>
      </c>
      <c r="EV54" s="17" t="s">
        <v>870</v>
      </c>
      <c r="EW54" s="17" t="s">
        <v>870</v>
      </c>
      <c r="EX54" s="17" t="s">
        <v>870</v>
      </c>
      <c r="EY54" s="17" t="s">
        <v>870</v>
      </c>
      <c r="EZ54" s="17" t="s">
        <v>870</v>
      </c>
      <c r="FA54" s="17" t="s">
        <v>870</v>
      </c>
      <c r="FB54" s="17" t="s">
        <v>870</v>
      </c>
      <c r="FC54" s="17" t="s">
        <v>870</v>
      </c>
      <c r="FD54" s="17" t="s">
        <v>870</v>
      </c>
      <c r="FE54" s="17" t="s">
        <v>870</v>
      </c>
      <c r="FF54" s="17" t="s">
        <v>870</v>
      </c>
      <c r="FG54" s="17" t="s">
        <v>870</v>
      </c>
      <c r="FH54" s="17" t="s">
        <v>870</v>
      </c>
      <c r="FI54" s="17" t="s">
        <v>870</v>
      </c>
      <c r="FJ54" s="17" t="s">
        <v>870</v>
      </c>
      <c r="FK54" s="17" t="s">
        <v>870</v>
      </c>
      <c r="FL54" s="17" t="s">
        <v>870</v>
      </c>
      <c r="FM54" s="17" t="s">
        <v>870</v>
      </c>
      <c r="FN54" s="17" t="s">
        <v>870</v>
      </c>
      <c r="FO54" s="17" t="s">
        <v>870</v>
      </c>
      <c r="FP54" s="17" t="s">
        <v>870</v>
      </c>
      <c r="FQ54" s="17" t="s">
        <v>870</v>
      </c>
      <c r="FR54" s="17" t="s">
        <v>870</v>
      </c>
      <c r="FS54" s="17" t="s">
        <v>870</v>
      </c>
      <c r="FT54" s="17" t="s">
        <v>870</v>
      </c>
      <c r="FU54" s="17" t="s">
        <v>870</v>
      </c>
      <c r="FV54" s="17" t="s">
        <v>870</v>
      </c>
      <c r="FW54" s="17" t="s">
        <v>870</v>
      </c>
      <c r="FX54" s="17" t="s">
        <v>870</v>
      </c>
      <c r="FY54" s="17" t="s">
        <v>870</v>
      </c>
      <c r="FZ54" s="17" t="s">
        <v>870</v>
      </c>
      <c r="GA54" s="17" t="s">
        <v>870</v>
      </c>
      <c r="GB54" s="17" t="s">
        <v>870</v>
      </c>
      <c r="GC54" s="17" t="s">
        <v>870</v>
      </c>
      <c r="GD54" s="17" t="s">
        <v>870</v>
      </c>
      <c r="GE54" s="17" t="s">
        <v>870</v>
      </c>
      <c r="GF54" s="17" t="s">
        <v>870</v>
      </c>
      <c r="GG54" s="17" t="s">
        <v>870</v>
      </c>
      <c r="GH54" s="17" t="s">
        <v>870</v>
      </c>
      <c r="GI54" s="17" t="s">
        <v>870</v>
      </c>
      <c r="GJ54" s="17" t="s">
        <v>870</v>
      </c>
      <c r="GK54" s="17" t="s">
        <v>870</v>
      </c>
      <c r="GL54" s="17" t="s">
        <v>870</v>
      </c>
      <c r="GM54" s="17" t="s">
        <v>870</v>
      </c>
      <c r="GN54" s="17" t="s">
        <v>870</v>
      </c>
      <c r="GO54" s="17" t="s">
        <v>870</v>
      </c>
      <c r="GP54" s="17" t="s">
        <v>870</v>
      </c>
      <c r="GQ54" s="17" t="s">
        <v>870</v>
      </c>
      <c r="GR54" s="17" t="s">
        <v>870</v>
      </c>
      <c r="GS54" s="17" t="s">
        <v>870</v>
      </c>
      <c r="GT54" s="17" t="s">
        <v>870</v>
      </c>
      <c r="GU54" s="17" t="s">
        <v>870</v>
      </c>
      <c r="GV54" s="17" t="s">
        <v>870</v>
      </c>
      <c r="GW54" s="17" t="s">
        <v>870</v>
      </c>
      <c r="GX54" s="17" t="s">
        <v>870</v>
      </c>
      <c r="GY54" s="17" t="s">
        <v>870</v>
      </c>
      <c r="GZ54" s="17" t="s">
        <v>870</v>
      </c>
      <c r="HA54" s="17" t="s">
        <v>870</v>
      </c>
      <c r="HB54" s="17" t="s">
        <v>870</v>
      </c>
      <c r="HC54" s="17" t="s">
        <v>870</v>
      </c>
      <c r="HD54" s="17" t="s">
        <v>870</v>
      </c>
      <c r="HE54" s="17" t="s">
        <v>870</v>
      </c>
      <c r="HF54" s="17" t="s">
        <v>870</v>
      </c>
      <c r="HG54" s="17" t="s">
        <v>870</v>
      </c>
      <c r="HH54" s="17" t="s">
        <v>870</v>
      </c>
      <c r="HI54" s="17" t="s">
        <v>870</v>
      </c>
      <c r="HJ54" s="17" t="s">
        <v>870</v>
      </c>
      <c r="HK54" s="17" t="s">
        <v>870</v>
      </c>
      <c r="HL54" s="17" t="s">
        <v>870</v>
      </c>
      <c r="HM54" s="17" t="s">
        <v>870</v>
      </c>
      <c r="HN54" s="17" t="s">
        <v>870</v>
      </c>
      <c r="HO54" s="17" t="s">
        <v>870</v>
      </c>
      <c r="HP54" s="17" t="s">
        <v>870</v>
      </c>
      <c r="HQ54" s="17" t="s">
        <v>870</v>
      </c>
      <c r="HR54" s="17" t="s">
        <v>870</v>
      </c>
      <c r="HS54" s="17" t="s">
        <v>870</v>
      </c>
      <c r="HT54" s="17" t="s">
        <v>870</v>
      </c>
      <c r="HU54" s="17" t="s">
        <v>870</v>
      </c>
      <c r="HV54" s="17" t="s">
        <v>870</v>
      </c>
      <c r="HW54" s="17" t="s">
        <v>870</v>
      </c>
      <c r="HX54" s="17" t="s">
        <v>870</v>
      </c>
      <c r="HY54" s="17" t="s">
        <v>870</v>
      </c>
      <c r="HZ54" s="17" t="s">
        <v>870</v>
      </c>
      <c r="IA54" s="17" t="s">
        <v>870</v>
      </c>
      <c r="IB54" s="17" t="s">
        <v>870</v>
      </c>
      <c r="IC54" s="17" t="s">
        <v>870</v>
      </c>
      <c r="ID54" s="17" t="s">
        <v>870</v>
      </c>
      <c r="IE54" s="17" t="s">
        <v>870</v>
      </c>
      <c r="IF54" s="17" t="s">
        <v>870</v>
      </c>
      <c r="IG54" s="17" t="s">
        <v>870</v>
      </c>
      <c r="IH54" s="17" t="s">
        <v>870</v>
      </c>
      <c r="II54" s="17" t="s">
        <v>870</v>
      </c>
      <c r="IJ54" s="17" t="s">
        <v>870</v>
      </c>
      <c r="IK54" s="17" t="s">
        <v>870</v>
      </c>
      <c r="IL54" s="17" t="s">
        <v>870</v>
      </c>
      <c r="IM54" s="17" t="s">
        <v>870</v>
      </c>
      <c r="IN54" s="17" t="s">
        <v>870</v>
      </c>
      <c r="IO54" s="17" t="s">
        <v>870</v>
      </c>
      <c r="IP54" s="63"/>
      <c r="IQ54" s="17" t="s">
        <v>870</v>
      </c>
      <c r="IR54" s="17" t="s">
        <v>870</v>
      </c>
      <c r="IS54" s="17" t="s">
        <v>870</v>
      </c>
      <c r="IT54" s="17" t="s">
        <v>870</v>
      </c>
      <c r="IU54" s="17" t="s">
        <v>870</v>
      </c>
      <c r="IV54" s="17" t="s">
        <v>870</v>
      </c>
      <c r="IW54" s="17" t="s">
        <v>870</v>
      </c>
      <c r="IX54" s="17" t="s">
        <v>870</v>
      </c>
      <c r="IY54" s="17" t="s">
        <v>870</v>
      </c>
      <c r="IZ54" s="17" t="s">
        <v>870</v>
      </c>
      <c r="JA54" s="17" t="s">
        <v>870</v>
      </c>
      <c r="JB54" s="17" t="s">
        <v>870</v>
      </c>
      <c r="JC54" s="17" t="s">
        <v>870</v>
      </c>
      <c r="JD54" s="17" t="s">
        <v>870</v>
      </c>
      <c r="JE54" s="17" t="s">
        <v>870</v>
      </c>
      <c r="JF54" s="17" t="s">
        <v>870</v>
      </c>
      <c r="JG54" s="17" t="s">
        <v>870</v>
      </c>
      <c r="JH54" s="17" t="s">
        <v>870</v>
      </c>
      <c r="JI54" s="17" t="s">
        <v>870</v>
      </c>
      <c r="JJ54" s="17" t="s">
        <v>870</v>
      </c>
      <c r="JK54" s="17" t="s">
        <v>870</v>
      </c>
      <c r="JL54" s="17" t="s">
        <v>870</v>
      </c>
      <c r="JM54" s="17" t="s">
        <v>870</v>
      </c>
      <c r="JN54" s="17" t="s">
        <v>870</v>
      </c>
      <c r="JO54" s="17" t="s">
        <v>870</v>
      </c>
      <c r="JP54" s="17" t="s">
        <v>870</v>
      </c>
      <c r="JQ54" s="17" t="s">
        <v>870</v>
      </c>
      <c r="JR54" s="17" t="s">
        <v>870</v>
      </c>
      <c r="JS54" s="17" t="s">
        <v>870</v>
      </c>
      <c r="JT54" s="17" t="s">
        <v>870</v>
      </c>
    </row>
    <row r="55" spans="1:280" x14ac:dyDescent="0.25">
      <c r="A55" t="s">
        <v>1182</v>
      </c>
      <c r="B55" s="17" t="s">
        <v>870</v>
      </c>
      <c r="C55" s="17" t="s">
        <v>870</v>
      </c>
      <c r="D55" s="17" t="s">
        <v>870</v>
      </c>
      <c r="E55" s="17" t="s">
        <v>870</v>
      </c>
      <c r="F55" s="17" t="s">
        <v>870</v>
      </c>
      <c r="G55" s="17" t="s">
        <v>870</v>
      </c>
      <c r="H55" s="17" t="s">
        <v>870</v>
      </c>
      <c r="I55" s="17" t="s">
        <v>870</v>
      </c>
      <c r="J55" s="17" t="s">
        <v>870</v>
      </c>
      <c r="K55" s="17" t="s">
        <v>870</v>
      </c>
      <c r="L55" s="17" t="s">
        <v>870</v>
      </c>
      <c r="M55" s="17" t="s">
        <v>870</v>
      </c>
      <c r="N55" s="17" t="s">
        <v>870</v>
      </c>
      <c r="O55" s="17" t="s">
        <v>870</v>
      </c>
      <c r="P55" s="17" t="s">
        <v>870</v>
      </c>
      <c r="Q55" s="17" t="s">
        <v>870</v>
      </c>
      <c r="R55" s="17" t="s">
        <v>870</v>
      </c>
      <c r="S55" s="17" t="s">
        <v>870</v>
      </c>
      <c r="T55" s="17" t="s">
        <v>870</v>
      </c>
      <c r="U55" s="17" t="s">
        <v>870</v>
      </c>
      <c r="V55" s="17" t="s">
        <v>870</v>
      </c>
      <c r="W55" s="17" t="s">
        <v>870</v>
      </c>
      <c r="X55" s="17" t="s">
        <v>870</v>
      </c>
      <c r="Y55" s="17" t="s">
        <v>870</v>
      </c>
      <c r="Z55" s="17" t="s">
        <v>870</v>
      </c>
      <c r="AA55" s="17" t="s">
        <v>870</v>
      </c>
      <c r="AB55" s="17" t="s">
        <v>870</v>
      </c>
      <c r="AC55" s="17" t="s">
        <v>870</v>
      </c>
      <c r="AD55" s="17" t="s">
        <v>870</v>
      </c>
      <c r="AE55" s="17" t="s">
        <v>870</v>
      </c>
      <c r="AF55" s="17" t="s">
        <v>870</v>
      </c>
      <c r="AG55" s="17" t="s">
        <v>870</v>
      </c>
      <c r="AH55" s="17" t="s">
        <v>870</v>
      </c>
      <c r="AI55" s="17" t="s">
        <v>870</v>
      </c>
      <c r="AJ55" s="17" t="s">
        <v>870</v>
      </c>
      <c r="AK55" s="17" t="s">
        <v>870</v>
      </c>
      <c r="AL55" s="17" t="s">
        <v>870</v>
      </c>
      <c r="AM55" s="17" t="s">
        <v>870</v>
      </c>
      <c r="AN55" s="17" t="s">
        <v>870</v>
      </c>
      <c r="AO55" s="17" t="s">
        <v>870</v>
      </c>
      <c r="AP55" s="17" t="s">
        <v>870</v>
      </c>
      <c r="AQ55" s="17" t="s">
        <v>870</v>
      </c>
      <c r="AR55" s="17" t="s">
        <v>870</v>
      </c>
      <c r="AS55" s="17" t="s">
        <v>870</v>
      </c>
      <c r="AT55" s="17" t="s">
        <v>870</v>
      </c>
      <c r="AU55" s="17" t="s">
        <v>870</v>
      </c>
      <c r="AV55" s="17" t="s">
        <v>870</v>
      </c>
      <c r="AW55" s="17" t="s">
        <v>870</v>
      </c>
      <c r="AX55" s="17" t="s">
        <v>870</v>
      </c>
      <c r="AY55" s="17" t="s">
        <v>870</v>
      </c>
      <c r="AZ55" s="17" t="s">
        <v>870</v>
      </c>
      <c r="BA55" s="17" t="s">
        <v>870</v>
      </c>
      <c r="BB55" s="17" t="s">
        <v>870</v>
      </c>
      <c r="BC55" s="17" t="s">
        <v>870</v>
      </c>
      <c r="BD55" s="17" t="s">
        <v>870</v>
      </c>
      <c r="BE55" s="17" t="s">
        <v>870</v>
      </c>
      <c r="BF55" s="17" t="s">
        <v>870</v>
      </c>
      <c r="BG55" s="17" t="s">
        <v>870</v>
      </c>
      <c r="BH55" s="17" t="s">
        <v>870</v>
      </c>
      <c r="BI55" s="17" t="s">
        <v>870</v>
      </c>
      <c r="BJ55" s="17" t="s">
        <v>870</v>
      </c>
      <c r="BK55" s="17" t="s">
        <v>870</v>
      </c>
      <c r="BL55" s="17" t="s">
        <v>870</v>
      </c>
      <c r="BM55" s="17" t="s">
        <v>870</v>
      </c>
      <c r="BN55" s="17" t="s">
        <v>870</v>
      </c>
      <c r="BO55" s="17" t="s">
        <v>870</v>
      </c>
      <c r="BP55" s="17" t="s">
        <v>870</v>
      </c>
      <c r="BQ55" s="17" t="s">
        <v>870</v>
      </c>
      <c r="BR55" s="17" t="s">
        <v>870</v>
      </c>
      <c r="BS55" s="17" t="s">
        <v>870</v>
      </c>
      <c r="BT55" s="17" t="s">
        <v>870</v>
      </c>
      <c r="BU55" s="17" t="s">
        <v>870</v>
      </c>
      <c r="BV55" s="17" t="s">
        <v>870</v>
      </c>
      <c r="BW55" s="17" t="s">
        <v>870</v>
      </c>
      <c r="BX55" s="17" t="s">
        <v>870</v>
      </c>
      <c r="BY55" s="17" t="s">
        <v>870</v>
      </c>
      <c r="BZ55" s="17" t="s">
        <v>870</v>
      </c>
      <c r="CA55" s="17" t="s">
        <v>870</v>
      </c>
      <c r="CB55" s="17" t="s">
        <v>870</v>
      </c>
      <c r="CC55" s="17" t="s">
        <v>870</v>
      </c>
      <c r="CD55" s="17" t="s">
        <v>870</v>
      </c>
      <c r="CE55" s="17" t="s">
        <v>870</v>
      </c>
      <c r="CF55" s="17" t="s">
        <v>870</v>
      </c>
      <c r="CG55" s="17" t="s">
        <v>870</v>
      </c>
      <c r="CH55" s="17" t="s">
        <v>870</v>
      </c>
      <c r="CI55" s="17" t="s">
        <v>870</v>
      </c>
      <c r="CJ55" s="17" t="s">
        <v>870</v>
      </c>
      <c r="CK55" s="17" t="s">
        <v>870</v>
      </c>
      <c r="CL55" s="17" t="s">
        <v>870</v>
      </c>
      <c r="CM55" s="17" t="s">
        <v>870</v>
      </c>
      <c r="CN55" s="17" t="s">
        <v>870</v>
      </c>
      <c r="CO55" s="17" t="s">
        <v>870</v>
      </c>
      <c r="CP55" s="17" t="s">
        <v>870</v>
      </c>
      <c r="CQ55" s="17" t="s">
        <v>870</v>
      </c>
      <c r="CR55" s="17" t="s">
        <v>870</v>
      </c>
      <c r="CS55" s="17" t="s">
        <v>870</v>
      </c>
      <c r="CT55" s="17" t="s">
        <v>870</v>
      </c>
      <c r="CU55" s="17" t="s">
        <v>870</v>
      </c>
      <c r="CV55" s="17" t="s">
        <v>870</v>
      </c>
      <c r="CW55" s="17" t="s">
        <v>870</v>
      </c>
      <c r="CX55" s="17" t="s">
        <v>870</v>
      </c>
      <c r="CY55" s="17" t="s">
        <v>870</v>
      </c>
      <c r="CZ55" s="17" t="s">
        <v>870</v>
      </c>
      <c r="DA55" s="17" t="s">
        <v>870</v>
      </c>
      <c r="DB55" s="17" t="s">
        <v>870</v>
      </c>
      <c r="DC55" s="17" t="s">
        <v>870</v>
      </c>
      <c r="DD55" s="17" t="s">
        <v>870</v>
      </c>
      <c r="DE55" s="17" t="s">
        <v>870</v>
      </c>
      <c r="DF55" s="17" t="s">
        <v>870</v>
      </c>
      <c r="DG55" s="17" t="s">
        <v>870</v>
      </c>
      <c r="DH55" s="17" t="s">
        <v>870</v>
      </c>
      <c r="DI55" s="17" t="s">
        <v>870</v>
      </c>
      <c r="DJ55" s="17" t="s">
        <v>870</v>
      </c>
      <c r="DK55" s="17" t="s">
        <v>870</v>
      </c>
      <c r="DL55" s="17" t="s">
        <v>870</v>
      </c>
      <c r="DM55" s="17" t="s">
        <v>870</v>
      </c>
      <c r="DN55" s="17" t="s">
        <v>870</v>
      </c>
      <c r="DO55" s="17" t="s">
        <v>870</v>
      </c>
      <c r="DP55" s="17" t="s">
        <v>870</v>
      </c>
      <c r="DQ55" s="17" t="s">
        <v>870</v>
      </c>
      <c r="DR55" s="17" t="s">
        <v>870</v>
      </c>
      <c r="DS55" s="17" t="s">
        <v>870</v>
      </c>
      <c r="DT55" s="17" t="s">
        <v>870</v>
      </c>
      <c r="DU55" s="17" t="s">
        <v>870</v>
      </c>
      <c r="DV55" s="17" t="s">
        <v>870</v>
      </c>
      <c r="DW55" s="17" t="s">
        <v>870</v>
      </c>
      <c r="DX55" s="17" t="s">
        <v>870</v>
      </c>
      <c r="DY55" s="17" t="s">
        <v>870</v>
      </c>
      <c r="DZ55" s="17" t="s">
        <v>870</v>
      </c>
      <c r="EA55" s="17" t="s">
        <v>870</v>
      </c>
      <c r="EB55" s="17" t="s">
        <v>870</v>
      </c>
      <c r="EC55" s="17" t="s">
        <v>870</v>
      </c>
      <c r="ED55" s="17" t="s">
        <v>870</v>
      </c>
      <c r="EE55" s="17" t="s">
        <v>870</v>
      </c>
      <c r="EF55" s="17" t="s">
        <v>870</v>
      </c>
      <c r="EG55" s="17" t="s">
        <v>870</v>
      </c>
      <c r="EH55" s="17" t="s">
        <v>870</v>
      </c>
      <c r="EI55" s="17" t="s">
        <v>870</v>
      </c>
      <c r="EJ55" s="17" t="s">
        <v>870</v>
      </c>
      <c r="EK55" s="17" t="s">
        <v>870</v>
      </c>
      <c r="EL55" s="17" t="s">
        <v>870</v>
      </c>
      <c r="EM55" s="17" t="s">
        <v>870</v>
      </c>
      <c r="EN55" s="17" t="s">
        <v>870</v>
      </c>
      <c r="EO55" s="17" t="s">
        <v>870</v>
      </c>
      <c r="EP55" s="17" t="s">
        <v>870</v>
      </c>
      <c r="EQ55" s="17" t="s">
        <v>870</v>
      </c>
      <c r="ER55" s="17" t="s">
        <v>870</v>
      </c>
      <c r="ES55" s="17" t="s">
        <v>870</v>
      </c>
      <c r="ET55" s="17" t="s">
        <v>870</v>
      </c>
      <c r="EU55" s="17" t="s">
        <v>870</v>
      </c>
      <c r="EV55" s="17" t="s">
        <v>870</v>
      </c>
      <c r="EW55" s="17" t="s">
        <v>870</v>
      </c>
      <c r="EX55" s="17" t="s">
        <v>870</v>
      </c>
      <c r="EY55" s="17" t="s">
        <v>870</v>
      </c>
      <c r="EZ55" s="17" t="s">
        <v>870</v>
      </c>
      <c r="FA55" s="17" t="s">
        <v>870</v>
      </c>
      <c r="FB55" s="17" t="s">
        <v>870</v>
      </c>
      <c r="FC55" s="17" t="s">
        <v>870</v>
      </c>
      <c r="FD55" s="17" t="s">
        <v>870</v>
      </c>
      <c r="FE55" s="17" t="s">
        <v>870</v>
      </c>
      <c r="FF55" s="17" t="s">
        <v>870</v>
      </c>
      <c r="FG55" s="17" t="s">
        <v>870</v>
      </c>
      <c r="FH55" s="17" t="s">
        <v>870</v>
      </c>
      <c r="FI55" s="17" t="s">
        <v>870</v>
      </c>
      <c r="FJ55" s="17" t="s">
        <v>870</v>
      </c>
      <c r="FK55" s="17" t="s">
        <v>870</v>
      </c>
      <c r="FL55" s="17" t="s">
        <v>870</v>
      </c>
      <c r="FM55" s="17" t="s">
        <v>870</v>
      </c>
      <c r="FN55" s="17" t="s">
        <v>870</v>
      </c>
      <c r="FO55" s="17" t="s">
        <v>870</v>
      </c>
      <c r="FP55" s="17" t="s">
        <v>870</v>
      </c>
      <c r="FQ55" s="17" t="s">
        <v>870</v>
      </c>
      <c r="FR55" s="17" t="s">
        <v>870</v>
      </c>
      <c r="FS55" s="17" t="s">
        <v>870</v>
      </c>
      <c r="FT55" s="17" t="s">
        <v>870</v>
      </c>
      <c r="FU55" s="17" t="s">
        <v>870</v>
      </c>
      <c r="FV55" s="17" t="s">
        <v>870</v>
      </c>
      <c r="FW55" s="17" t="s">
        <v>870</v>
      </c>
      <c r="FX55" s="17" t="s">
        <v>870</v>
      </c>
      <c r="FY55" s="17" t="s">
        <v>870</v>
      </c>
      <c r="FZ55" s="17" t="s">
        <v>870</v>
      </c>
      <c r="GA55" s="17" t="s">
        <v>870</v>
      </c>
      <c r="GB55" s="17" t="s">
        <v>870</v>
      </c>
      <c r="GC55" s="17" t="s">
        <v>870</v>
      </c>
      <c r="GD55" s="17" t="s">
        <v>870</v>
      </c>
      <c r="GE55" s="17" t="s">
        <v>870</v>
      </c>
      <c r="GF55" s="17" t="s">
        <v>870</v>
      </c>
      <c r="GG55" s="17" t="s">
        <v>870</v>
      </c>
      <c r="GH55" s="17" t="s">
        <v>870</v>
      </c>
      <c r="GI55" s="17" t="s">
        <v>870</v>
      </c>
      <c r="GJ55" s="17" t="s">
        <v>870</v>
      </c>
      <c r="GK55" s="17" t="s">
        <v>870</v>
      </c>
      <c r="GL55" s="17" t="s">
        <v>870</v>
      </c>
      <c r="GM55" s="17" t="s">
        <v>870</v>
      </c>
      <c r="GN55" s="17" t="s">
        <v>870</v>
      </c>
      <c r="GO55" s="17" t="s">
        <v>870</v>
      </c>
      <c r="GP55" s="17" t="s">
        <v>870</v>
      </c>
      <c r="GQ55" s="17" t="s">
        <v>870</v>
      </c>
      <c r="GR55" s="17" t="s">
        <v>870</v>
      </c>
      <c r="GS55" s="17" t="s">
        <v>870</v>
      </c>
      <c r="GT55" s="17" t="s">
        <v>870</v>
      </c>
      <c r="GU55" s="17" t="s">
        <v>870</v>
      </c>
      <c r="GV55" s="17" t="s">
        <v>870</v>
      </c>
      <c r="GW55" s="17" t="s">
        <v>870</v>
      </c>
      <c r="GX55" s="17" t="s">
        <v>870</v>
      </c>
      <c r="GY55" s="17" t="s">
        <v>870</v>
      </c>
      <c r="GZ55" s="17" t="s">
        <v>870</v>
      </c>
      <c r="HA55" s="17" t="s">
        <v>870</v>
      </c>
      <c r="HB55" s="17" t="s">
        <v>870</v>
      </c>
      <c r="HC55" s="17" t="s">
        <v>870</v>
      </c>
      <c r="HD55" s="17" t="s">
        <v>870</v>
      </c>
      <c r="HE55" s="17" t="s">
        <v>870</v>
      </c>
      <c r="HF55" s="17" t="s">
        <v>870</v>
      </c>
      <c r="HG55" s="17" t="s">
        <v>870</v>
      </c>
      <c r="HH55" s="17" t="s">
        <v>870</v>
      </c>
      <c r="HI55" s="17" t="s">
        <v>870</v>
      </c>
      <c r="HJ55" s="17" t="s">
        <v>870</v>
      </c>
      <c r="HK55" s="17" t="s">
        <v>870</v>
      </c>
      <c r="HL55" s="17" t="s">
        <v>870</v>
      </c>
      <c r="HM55" s="17" t="s">
        <v>870</v>
      </c>
      <c r="HN55" s="17" t="s">
        <v>870</v>
      </c>
      <c r="HO55" s="17" t="s">
        <v>870</v>
      </c>
      <c r="HP55" s="17" t="s">
        <v>870</v>
      </c>
      <c r="HQ55" s="17" t="s">
        <v>870</v>
      </c>
      <c r="HR55" s="17" t="s">
        <v>870</v>
      </c>
      <c r="HS55" s="17" t="s">
        <v>870</v>
      </c>
      <c r="HT55" s="17" t="s">
        <v>870</v>
      </c>
      <c r="HU55" s="17" t="s">
        <v>870</v>
      </c>
      <c r="HV55" s="17" t="s">
        <v>870</v>
      </c>
      <c r="HW55" s="17" t="s">
        <v>870</v>
      </c>
      <c r="HX55" s="17" t="s">
        <v>870</v>
      </c>
      <c r="HY55" s="17" t="s">
        <v>870</v>
      </c>
      <c r="HZ55" s="17" t="s">
        <v>870</v>
      </c>
      <c r="IA55" s="17" t="s">
        <v>870</v>
      </c>
      <c r="IB55" s="17" t="s">
        <v>870</v>
      </c>
      <c r="IC55" s="17" t="s">
        <v>870</v>
      </c>
      <c r="ID55" s="17" t="s">
        <v>870</v>
      </c>
      <c r="IE55" s="17" t="s">
        <v>870</v>
      </c>
      <c r="IF55" s="17" t="s">
        <v>870</v>
      </c>
      <c r="IG55" s="17" t="s">
        <v>870</v>
      </c>
      <c r="IH55" s="17" t="s">
        <v>870</v>
      </c>
      <c r="II55" s="17" t="s">
        <v>870</v>
      </c>
      <c r="IJ55" s="17" t="s">
        <v>870</v>
      </c>
      <c r="IK55" s="17" t="s">
        <v>870</v>
      </c>
      <c r="IL55" s="17" t="s">
        <v>870</v>
      </c>
      <c r="IM55" s="17" t="s">
        <v>870</v>
      </c>
      <c r="IN55" s="17" t="s">
        <v>870</v>
      </c>
      <c r="IO55" s="17" t="s">
        <v>870</v>
      </c>
      <c r="IP55" s="63"/>
      <c r="IQ55" s="17" t="s">
        <v>870</v>
      </c>
      <c r="IR55" s="17" t="s">
        <v>870</v>
      </c>
      <c r="IS55" s="17" t="s">
        <v>870</v>
      </c>
      <c r="IT55" s="17" t="s">
        <v>870</v>
      </c>
      <c r="IU55" s="63"/>
      <c r="IV55" s="63"/>
      <c r="IW55" s="63"/>
      <c r="IX55" s="63"/>
      <c r="IY55" s="17" t="s">
        <v>870</v>
      </c>
      <c r="IZ55" s="17" t="s">
        <v>870</v>
      </c>
      <c r="JA55" s="61" t="s">
        <v>2</v>
      </c>
      <c r="JB55" s="63"/>
      <c r="JC55" s="63"/>
      <c r="JD55" s="63"/>
      <c r="JE55" s="17" t="s">
        <v>870</v>
      </c>
      <c r="JF55" s="17" t="s">
        <v>870</v>
      </c>
      <c r="JG55" s="63"/>
      <c r="JH55" s="62"/>
      <c r="JI55" s="17" t="s">
        <v>870</v>
      </c>
      <c r="JJ55" s="17" t="s">
        <v>870</v>
      </c>
      <c r="JK55" s="61" t="s">
        <v>2</v>
      </c>
      <c r="JL55" s="63"/>
      <c r="JM55" s="63"/>
      <c r="JN55" s="63"/>
      <c r="JO55" s="17" t="s">
        <v>870</v>
      </c>
      <c r="JP55" s="17" t="s">
        <v>870</v>
      </c>
      <c r="JQ55" s="63"/>
      <c r="JR55" s="63"/>
      <c r="JS55" s="63"/>
      <c r="JT55" s="61" t="s">
        <v>2</v>
      </c>
    </row>
    <row r="56" spans="1:280" x14ac:dyDescent="0.25">
      <c r="A56" t="s">
        <v>1473</v>
      </c>
      <c r="B56" s="17" t="s">
        <v>870</v>
      </c>
      <c r="C56" s="17" t="s">
        <v>870</v>
      </c>
      <c r="D56" s="17" t="s">
        <v>870</v>
      </c>
      <c r="E56" s="17" t="s">
        <v>870</v>
      </c>
      <c r="F56" s="17" t="s">
        <v>870</v>
      </c>
      <c r="G56" s="17" t="s">
        <v>870</v>
      </c>
      <c r="H56" s="17" t="s">
        <v>870</v>
      </c>
      <c r="I56" s="17" t="s">
        <v>870</v>
      </c>
      <c r="J56" s="17" t="s">
        <v>870</v>
      </c>
      <c r="K56" s="17" t="s">
        <v>870</v>
      </c>
      <c r="L56" s="17" t="s">
        <v>870</v>
      </c>
      <c r="M56" s="17" t="s">
        <v>870</v>
      </c>
      <c r="N56" s="17" t="s">
        <v>870</v>
      </c>
      <c r="O56" s="17" t="s">
        <v>870</v>
      </c>
      <c r="P56" s="17" t="s">
        <v>870</v>
      </c>
      <c r="Q56" s="17" t="s">
        <v>870</v>
      </c>
      <c r="R56" s="17" t="s">
        <v>870</v>
      </c>
      <c r="S56" s="17" t="s">
        <v>870</v>
      </c>
      <c r="T56" s="17" t="s">
        <v>870</v>
      </c>
      <c r="U56" s="17" t="s">
        <v>870</v>
      </c>
      <c r="V56" s="17" t="s">
        <v>870</v>
      </c>
      <c r="W56" s="17" t="s">
        <v>870</v>
      </c>
      <c r="X56" s="17" t="s">
        <v>870</v>
      </c>
      <c r="Y56" s="17" t="s">
        <v>870</v>
      </c>
      <c r="Z56" s="17" t="s">
        <v>870</v>
      </c>
      <c r="AA56" s="17" t="s">
        <v>870</v>
      </c>
      <c r="AB56" s="17" t="s">
        <v>870</v>
      </c>
      <c r="AC56" s="17" t="s">
        <v>870</v>
      </c>
      <c r="AD56" s="17" t="s">
        <v>870</v>
      </c>
      <c r="AE56" s="17" t="s">
        <v>870</v>
      </c>
      <c r="AF56" s="17" t="s">
        <v>870</v>
      </c>
      <c r="AG56" s="17" t="s">
        <v>870</v>
      </c>
      <c r="AH56" s="17" t="s">
        <v>870</v>
      </c>
      <c r="AI56" s="17" t="s">
        <v>870</v>
      </c>
      <c r="AJ56" s="17" t="s">
        <v>870</v>
      </c>
      <c r="AK56" s="17" t="s">
        <v>870</v>
      </c>
      <c r="AL56" s="17" t="s">
        <v>870</v>
      </c>
      <c r="AM56" s="17" t="s">
        <v>870</v>
      </c>
      <c r="AN56" s="17" t="s">
        <v>870</v>
      </c>
      <c r="AO56" s="17" t="s">
        <v>870</v>
      </c>
      <c r="AP56" s="17" t="s">
        <v>870</v>
      </c>
      <c r="AQ56" s="17" t="s">
        <v>870</v>
      </c>
      <c r="AR56" s="17" t="s">
        <v>870</v>
      </c>
      <c r="AS56" s="17" t="s">
        <v>870</v>
      </c>
      <c r="AT56" s="17" t="s">
        <v>870</v>
      </c>
      <c r="AU56" s="17" t="s">
        <v>870</v>
      </c>
      <c r="AV56" s="17" t="s">
        <v>870</v>
      </c>
      <c r="AW56" s="17" t="s">
        <v>870</v>
      </c>
      <c r="AX56" s="17" t="s">
        <v>870</v>
      </c>
      <c r="AY56" s="17" t="s">
        <v>870</v>
      </c>
      <c r="AZ56" s="17" t="s">
        <v>870</v>
      </c>
      <c r="BA56" s="17" t="s">
        <v>870</v>
      </c>
      <c r="BB56" s="17" t="s">
        <v>870</v>
      </c>
      <c r="BC56" s="17" t="s">
        <v>870</v>
      </c>
      <c r="BD56" s="17" t="s">
        <v>870</v>
      </c>
      <c r="BE56" s="17" t="s">
        <v>870</v>
      </c>
      <c r="BF56" s="17" t="s">
        <v>870</v>
      </c>
      <c r="BG56" s="17" t="s">
        <v>870</v>
      </c>
      <c r="BH56" s="17" t="s">
        <v>870</v>
      </c>
      <c r="BI56" s="17" t="s">
        <v>870</v>
      </c>
      <c r="BJ56" s="17" t="s">
        <v>870</v>
      </c>
      <c r="BK56" s="17" t="s">
        <v>870</v>
      </c>
      <c r="BL56" s="17" t="s">
        <v>870</v>
      </c>
      <c r="BM56" s="17" t="s">
        <v>870</v>
      </c>
      <c r="BN56" s="17" t="s">
        <v>870</v>
      </c>
      <c r="BO56" s="17" t="s">
        <v>870</v>
      </c>
      <c r="BP56" s="17" t="s">
        <v>870</v>
      </c>
      <c r="BQ56" s="17" t="s">
        <v>870</v>
      </c>
      <c r="BR56" s="17" t="s">
        <v>870</v>
      </c>
      <c r="BS56" s="17" t="s">
        <v>870</v>
      </c>
      <c r="BT56" s="17" t="s">
        <v>870</v>
      </c>
      <c r="BU56" s="17" t="s">
        <v>870</v>
      </c>
      <c r="BV56" s="17" t="s">
        <v>870</v>
      </c>
      <c r="BW56" s="17" t="s">
        <v>870</v>
      </c>
      <c r="BX56" s="17" t="s">
        <v>870</v>
      </c>
      <c r="BY56" s="17" t="s">
        <v>870</v>
      </c>
      <c r="BZ56" s="17" t="s">
        <v>870</v>
      </c>
      <c r="CA56" s="17" t="s">
        <v>870</v>
      </c>
      <c r="CB56" s="17" t="s">
        <v>870</v>
      </c>
      <c r="CC56" s="17" t="s">
        <v>870</v>
      </c>
      <c r="CD56" s="17" t="s">
        <v>870</v>
      </c>
      <c r="CE56" s="17" t="s">
        <v>870</v>
      </c>
      <c r="CF56" s="17" t="s">
        <v>870</v>
      </c>
      <c r="CG56" s="17" t="s">
        <v>870</v>
      </c>
      <c r="CH56" s="17" t="s">
        <v>870</v>
      </c>
      <c r="CI56" s="17" t="s">
        <v>870</v>
      </c>
      <c r="CJ56" s="17" t="s">
        <v>870</v>
      </c>
      <c r="CK56" s="17" t="s">
        <v>870</v>
      </c>
      <c r="CL56" s="17" t="s">
        <v>870</v>
      </c>
      <c r="CM56" s="17" t="s">
        <v>870</v>
      </c>
      <c r="CN56" s="17" t="s">
        <v>870</v>
      </c>
      <c r="CO56" s="17" t="s">
        <v>870</v>
      </c>
      <c r="CP56" s="17" t="s">
        <v>870</v>
      </c>
      <c r="CQ56" s="17" t="s">
        <v>870</v>
      </c>
      <c r="CR56" s="17" t="s">
        <v>870</v>
      </c>
      <c r="CS56" s="17" t="s">
        <v>870</v>
      </c>
      <c r="CT56" s="17" t="s">
        <v>870</v>
      </c>
      <c r="CU56" s="17" t="s">
        <v>870</v>
      </c>
      <c r="CV56" s="17" t="s">
        <v>870</v>
      </c>
      <c r="CW56" s="17" t="s">
        <v>870</v>
      </c>
      <c r="CX56" s="17" t="s">
        <v>870</v>
      </c>
      <c r="CY56" s="17" t="s">
        <v>870</v>
      </c>
      <c r="CZ56" s="17" t="s">
        <v>870</v>
      </c>
      <c r="DA56" s="17" t="s">
        <v>870</v>
      </c>
      <c r="DB56" s="17" t="s">
        <v>870</v>
      </c>
      <c r="DC56" s="17" t="s">
        <v>870</v>
      </c>
      <c r="DD56" s="17" t="s">
        <v>870</v>
      </c>
      <c r="DE56" s="17" t="s">
        <v>870</v>
      </c>
      <c r="DF56" s="17" t="s">
        <v>870</v>
      </c>
      <c r="DG56" s="17" t="s">
        <v>870</v>
      </c>
      <c r="DH56" s="17" t="s">
        <v>870</v>
      </c>
      <c r="DI56" s="17" t="s">
        <v>870</v>
      </c>
      <c r="DJ56" s="17" t="s">
        <v>870</v>
      </c>
      <c r="DK56" s="17" t="s">
        <v>870</v>
      </c>
      <c r="DL56" s="17" t="s">
        <v>870</v>
      </c>
      <c r="DM56" s="17" t="s">
        <v>870</v>
      </c>
      <c r="DN56" s="17" t="s">
        <v>870</v>
      </c>
      <c r="DO56" s="17" t="s">
        <v>870</v>
      </c>
      <c r="DP56" s="17" t="s">
        <v>870</v>
      </c>
      <c r="DQ56" s="17" t="s">
        <v>870</v>
      </c>
      <c r="DR56" s="17" t="s">
        <v>870</v>
      </c>
      <c r="DS56" s="17" t="s">
        <v>870</v>
      </c>
      <c r="DT56" s="17" t="s">
        <v>870</v>
      </c>
      <c r="DU56" s="17" t="s">
        <v>870</v>
      </c>
      <c r="DV56" s="17" t="s">
        <v>870</v>
      </c>
      <c r="DW56" s="17" t="s">
        <v>870</v>
      </c>
      <c r="DX56" s="17" t="s">
        <v>870</v>
      </c>
      <c r="DY56" s="17" t="s">
        <v>870</v>
      </c>
      <c r="DZ56" s="17" t="s">
        <v>870</v>
      </c>
      <c r="EA56" s="17" t="s">
        <v>870</v>
      </c>
      <c r="EB56" s="17" t="s">
        <v>870</v>
      </c>
      <c r="EC56" s="17" t="s">
        <v>870</v>
      </c>
      <c r="ED56" s="17" t="s">
        <v>870</v>
      </c>
      <c r="EE56" s="17" t="s">
        <v>870</v>
      </c>
      <c r="EF56" s="17" t="s">
        <v>870</v>
      </c>
      <c r="EG56" s="17" t="s">
        <v>870</v>
      </c>
      <c r="EH56" s="17" t="s">
        <v>870</v>
      </c>
      <c r="EI56" s="17" t="s">
        <v>870</v>
      </c>
      <c r="EJ56" s="17" t="s">
        <v>870</v>
      </c>
      <c r="EK56" s="17" t="s">
        <v>870</v>
      </c>
      <c r="EL56" s="17" t="s">
        <v>870</v>
      </c>
      <c r="EM56" s="17" t="s">
        <v>870</v>
      </c>
      <c r="EN56" s="17" t="s">
        <v>870</v>
      </c>
      <c r="EO56" s="17" t="s">
        <v>870</v>
      </c>
      <c r="EP56" s="17" t="s">
        <v>870</v>
      </c>
      <c r="EQ56" s="17" t="s">
        <v>870</v>
      </c>
      <c r="ER56" s="17" t="s">
        <v>870</v>
      </c>
      <c r="ES56" s="17" t="s">
        <v>870</v>
      </c>
      <c r="ET56" s="17" t="s">
        <v>870</v>
      </c>
      <c r="EU56" s="17" t="s">
        <v>870</v>
      </c>
      <c r="EV56" s="17" t="s">
        <v>870</v>
      </c>
      <c r="EW56" s="17" t="s">
        <v>870</v>
      </c>
      <c r="EX56" s="17" t="s">
        <v>870</v>
      </c>
      <c r="EY56" s="17" t="s">
        <v>870</v>
      </c>
      <c r="EZ56" s="17" t="s">
        <v>870</v>
      </c>
      <c r="FA56" s="17" t="s">
        <v>870</v>
      </c>
      <c r="FB56" s="17" t="s">
        <v>870</v>
      </c>
      <c r="FC56" s="17" t="s">
        <v>870</v>
      </c>
      <c r="FD56" s="17" t="s">
        <v>870</v>
      </c>
      <c r="FE56" s="17" t="s">
        <v>870</v>
      </c>
      <c r="FF56" s="17" t="s">
        <v>870</v>
      </c>
      <c r="FG56" s="17" t="s">
        <v>870</v>
      </c>
      <c r="FH56" s="17" t="s">
        <v>870</v>
      </c>
      <c r="FI56" s="17" t="s">
        <v>870</v>
      </c>
      <c r="FJ56" s="17" t="s">
        <v>870</v>
      </c>
      <c r="FK56" s="17" t="s">
        <v>870</v>
      </c>
      <c r="FL56" s="17" t="s">
        <v>870</v>
      </c>
      <c r="FM56" s="17" t="s">
        <v>870</v>
      </c>
      <c r="FN56" s="17" t="s">
        <v>870</v>
      </c>
      <c r="FO56" s="17" t="s">
        <v>870</v>
      </c>
      <c r="FP56" s="17" t="s">
        <v>870</v>
      </c>
      <c r="FQ56" s="17" t="s">
        <v>870</v>
      </c>
      <c r="FR56" s="17" t="s">
        <v>870</v>
      </c>
      <c r="FS56" s="17" t="s">
        <v>870</v>
      </c>
      <c r="FT56" s="17" t="s">
        <v>870</v>
      </c>
      <c r="FU56" s="17" t="s">
        <v>870</v>
      </c>
      <c r="FV56" s="17" t="s">
        <v>870</v>
      </c>
      <c r="FW56" s="17" t="s">
        <v>870</v>
      </c>
      <c r="FX56" s="17" t="s">
        <v>870</v>
      </c>
      <c r="FY56" s="17" t="s">
        <v>870</v>
      </c>
      <c r="FZ56" s="17" t="s">
        <v>870</v>
      </c>
      <c r="GA56" s="17" t="s">
        <v>870</v>
      </c>
      <c r="GB56" s="17" t="s">
        <v>870</v>
      </c>
      <c r="GC56" s="17" t="s">
        <v>870</v>
      </c>
      <c r="GD56" s="17" t="s">
        <v>870</v>
      </c>
      <c r="GE56" s="17" t="s">
        <v>870</v>
      </c>
      <c r="GF56" s="17" t="s">
        <v>870</v>
      </c>
      <c r="GG56" s="17" t="s">
        <v>870</v>
      </c>
      <c r="GH56" s="17" t="s">
        <v>870</v>
      </c>
      <c r="GI56" s="17" t="s">
        <v>870</v>
      </c>
      <c r="GJ56" s="17" t="s">
        <v>870</v>
      </c>
      <c r="GK56" s="17" t="s">
        <v>870</v>
      </c>
      <c r="GL56" s="17" t="s">
        <v>870</v>
      </c>
      <c r="GM56" s="17" t="s">
        <v>870</v>
      </c>
      <c r="GN56" s="17" t="s">
        <v>870</v>
      </c>
      <c r="GO56" s="17" t="s">
        <v>870</v>
      </c>
      <c r="GP56" s="17" t="s">
        <v>870</v>
      </c>
      <c r="GQ56" s="17" t="s">
        <v>870</v>
      </c>
      <c r="GR56" s="17" t="s">
        <v>870</v>
      </c>
      <c r="GS56" s="17" t="s">
        <v>870</v>
      </c>
      <c r="GT56" s="17" t="s">
        <v>870</v>
      </c>
      <c r="GU56" s="17" t="s">
        <v>870</v>
      </c>
      <c r="GV56" s="17" t="s">
        <v>870</v>
      </c>
      <c r="GW56" s="17" t="s">
        <v>870</v>
      </c>
      <c r="GX56" s="17" t="s">
        <v>870</v>
      </c>
      <c r="GY56" s="17" t="s">
        <v>870</v>
      </c>
      <c r="GZ56" s="17" t="s">
        <v>870</v>
      </c>
      <c r="HA56" s="17" t="s">
        <v>870</v>
      </c>
      <c r="HB56" s="17" t="s">
        <v>870</v>
      </c>
      <c r="HC56" s="17" t="s">
        <v>870</v>
      </c>
      <c r="HD56" s="17" t="s">
        <v>870</v>
      </c>
      <c r="HE56" s="17" t="s">
        <v>870</v>
      </c>
      <c r="HF56" s="17" t="s">
        <v>870</v>
      </c>
      <c r="HG56" s="17" t="s">
        <v>870</v>
      </c>
      <c r="HH56" s="17" t="s">
        <v>870</v>
      </c>
      <c r="HI56" s="17" t="s">
        <v>870</v>
      </c>
      <c r="HJ56" s="17" t="s">
        <v>870</v>
      </c>
      <c r="HK56" s="17" t="s">
        <v>870</v>
      </c>
      <c r="HL56" s="17" t="s">
        <v>870</v>
      </c>
      <c r="HM56" s="17" t="s">
        <v>870</v>
      </c>
      <c r="HN56" s="17" t="s">
        <v>870</v>
      </c>
      <c r="HO56" s="17" t="s">
        <v>870</v>
      </c>
      <c r="HP56" s="17" t="s">
        <v>870</v>
      </c>
      <c r="HQ56" s="17" t="s">
        <v>870</v>
      </c>
      <c r="HR56" s="17" t="s">
        <v>870</v>
      </c>
      <c r="HS56" s="17" t="s">
        <v>870</v>
      </c>
      <c r="HT56" s="17" t="s">
        <v>870</v>
      </c>
      <c r="HU56" s="17" t="s">
        <v>870</v>
      </c>
      <c r="HV56" s="17" t="s">
        <v>870</v>
      </c>
      <c r="HW56" s="17" t="s">
        <v>870</v>
      </c>
      <c r="HX56" s="17" t="s">
        <v>870</v>
      </c>
      <c r="HY56" s="17" t="s">
        <v>870</v>
      </c>
      <c r="HZ56" s="17" t="s">
        <v>870</v>
      </c>
      <c r="IA56" s="17" t="s">
        <v>870</v>
      </c>
      <c r="IB56" s="17" t="s">
        <v>870</v>
      </c>
      <c r="IC56" s="17" t="s">
        <v>870</v>
      </c>
      <c r="ID56" s="17" t="s">
        <v>870</v>
      </c>
      <c r="IE56" s="17" t="s">
        <v>870</v>
      </c>
      <c r="IF56" s="17" t="s">
        <v>870</v>
      </c>
      <c r="IG56" s="17" t="s">
        <v>870</v>
      </c>
      <c r="IH56" s="17" t="s">
        <v>870</v>
      </c>
      <c r="II56" s="17" t="s">
        <v>870</v>
      </c>
      <c r="IJ56" s="17" t="s">
        <v>870</v>
      </c>
      <c r="IK56" s="17" t="s">
        <v>870</v>
      </c>
      <c r="IL56" s="17" t="s">
        <v>870</v>
      </c>
      <c r="IM56" s="17" t="s">
        <v>870</v>
      </c>
      <c r="IN56" s="17" t="s">
        <v>870</v>
      </c>
      <c r="IO56" s="17" t="s">
        <v>870</v>
      </c>
      <c r="IP56" s="17" t="s">
        <v>870</v>
      </c>
      <c r="IQ56" s="61" t="s">
        <v>2</v>
      </c>
      <c r="IR56" s="63"/>
      <c r="IS56" s="61" t="s">
        <v>2</v>
      </c>
      <c r="IT56" s="62"/>
      <c r="IU56" s="17" t="s">
        <v>870</v>
      </c>
      <c r="IV56" s="17" t="s">
        <v>870</v>
      </c>
      <c r="IW56" s="62"/>
      <c r="IX56" s="61" t="s">
        <v>2</v>
      </c>
      <c r="IY56" s="61" t="s">
        <v>2</v>
      </c>
      <c r="IZ56" s="63"/>
      <c r="JA56" s="61" t="s">
        <v>2</v>
      </c>
      <c r="JB56" s="62"/>
      <c r="JC56" s="63"/>
      <c r="JD56" s="63"/>
      <c r="JE56" s="62"/>
      <c r="JF56" s="61" t="s">
        <v>2</v>
      </c>
      <c r="JG56" s="61" t="s">
        <v>2</v>
      </c>
      <c r="JH56" s="61" t="s">
        <v>2</v>
      </c>
      <c r="JI56" s="62"/>
      <c r="JJ56" s="62"/>
      <c r="JK56" s="61" t="s">
        <v>2</v>
      </c>
      <c r="JL56" s="62"/>
      <c r="JM56" s="63"/>
      <c r="JN56" s="62"/>
      <c r="JO56" s="17" t="s">
        <v>870</v>
      </c>
      <c r="JP56" s="17" t="s">
        <v>870</v>
      </c>
      <c r="JQ56" s="61" t="s">
        <v>2</v>
      </c>
      <c r="JR56" s="61" t="s">
        <v>2</v>
      </c>
      <c r="JS56" s="61" t="s">
        <v>2</v>
      </c>
      <c r="JT56" s="62"/>
    </row>
    <row r="57" spans="1:280" x14ac:dyDescent="0.25">
      <c r="A57" t="s">
        <v>1474</v>
      </c>
      <c r="B57" s="17" t="s">
        <v>870</v>
      </c>
      <c r="C57" s="17" t="s">
        <v>870</v>
      </c>
      <c r="D57" s="17" t="s">
        <v>870</v>
      </c>
      <c r="E57" s="17" t="s">
        <v>870</v>
      </c>
      <c r="F57" s="17" t="s">
        <v>870</v>
      </c>
      <c r="G57" s="17" t="s">
        <v>870</v>
      </c>
      <c r="H57" s="17" t="s">
        <v>870</v>
      </c>
      <c r="I57" s="17" t="s">
        <v>870</v>
      </c>
      <c r="J57" s="17" t="s">
        <v>870</v>
      </c>
      <c r="K57" s="17" t="s">
        <v>870</v>
      </c>
      <c r="L57" s="17" t="s">
        <v>870</v>
      </c>
      <c r="M57" s="17" t="s">
        <v>870</v>
      </c>
      <c r="N57" s="17" t="s">
        <v>870</v>
      </c>
      <c r="O57" s="17" t="s">
        <v>870</v>
      </c>
      <c r="P57" s="17" t="s">
        <v>870</v>
      </c>
      <c r="Q57" s="17" t="s">
        <v>870</v>
      </c>
      <c r="R57" s="17" t="s">
        <v>870</v>
      </c>
      <c r="S57" s="17" t="s">
        <v>870</v>
      </c>
      <c r="T57" s="17" t="s">
        <v>870</v>
      </c>
      <c r="U57" s="17" t="s">
        <v>870</v>
      </c>
      <c r="V57" s="17" t="s">
        <v>870</v>
      </c>
      <c r="W57" s="17" t="s">
        <v>870</v>
      </c>
      <c r="X57" s="17" t="s">
        <v>870</v>
      </c>
      <c r="Y57" s="17" t="s">
        <v>870</v>
      </c>
      <c r="Z57" s="17" t="s">
        <v>870</v>
      </c>
      <c r="AA57" s="17" t="s">
        <v>870</v>
      </c>
      <c r="AB57" s="17" t="s">
        <v>870</v>
      </c>
      <c r="AC57" s="17" t="s">
        <v>870</v>
      </c>
      <c r="AD57" s="17" t="s">
        <v>870</v>
      </c>
      <c r="AE57" s="17" t="s">
        <v>870</v>
      </c>
      <c r="AF57" s="17" t="s">
        <v>870</v>
      </c>
      <c r="AG57" s="17" t="s">
        <v>870</v>
      </c>
      <c r="AH57" s="17" t="s">
        <v>870</v>
      </c>
      <c r="AI57" s="17" t="s">
        <v>870</v>
      </c>
      <c r="AJ57" s="17" t="s">
        <v>870</v>
      </c>
      <c r="AK57" s="17" t="s">
        <v>870</v>
      </c>
      <c r="AL57" s="17" t="s">
        <v>870</v>
      </c>
      <c r="AM57" s="17" t="s">
        <v>870</v>
      </c>
      <c r="AN57" s="17" t="s">
        <v>870</v>
      </c>
      <c r="AO57" s="17" t="s">
        <v>870</v>
      </c>
      <c r="AP57" s="17" t="s">
        <v>870</v>
      </c>
      <c r="AQ57" s="17" t="s">
        <v>870</v>
      </c>
      <c r="AR57" s="17" t="s">
        <v>870</v>
      </c>
      <c r="AS57" s="17" t="s">
        <v>870</v>
      </c>
      <c r="AT57" s="17" t="s">
        <v>870</v>
      </c>
      <c r="AU57" s="17" t="s">
        <v>870</v>
      </c>
      <c r="AV57" s="17" t="s">
        <v>870</v>
      </c>
      <c r="AW57" s="17" t="s">
        <v>870</v>
      </c>
      <c r="AX57" s="17" t="s">
        <v>870</v>
      </c>
      <c r="AY57" s="17" t="s">
        <v>870</v>
      </c>
      <c r="AZ57" s="17" t="s">
        <v>870</v>
      </c>
      <c r="BA57" s="17" t="s">
        <v>870</v>
      </c>
      <c r="BB57" s="17" t="s">
        <v>870</v>
      </c>
      <c r="BC57" s="17" t="s">
        <v>870</v>
      </c>
      <c r="BD57" s="17" t="s">
        <v>870</v>
      </c>
      <c r="BE57" s="17" t="s">
        <v>870</v>
      </c>
      <c r="BF57" s="17" t="s">
        <v>870</v>
      </c>
      <c r="BG57" s="17" t="s">
        <v>870</v>
      </c>
      <c r="BH57" s="17" t="s">
        <v>870</v>
      </c>
      <c r="BI57" s="17" t="s">
        <v>870</v>
      </c>
      <c r="BJ57" s="17" t="s">
        <v>870</v>
      </c>
      <c r="BK57" s="17" t="s">
        <v>870</v>
      </c>
      <c r="BL57" s="17" t="s">
        <v>870</v>
      </c>
      <c r="BM57" s="17" t="s">
        <v>870</v>
      </c>
      <c r="BN57" s="17" t="s">
        <v>870</v>
      </c>
      <c r="BO57" s="17" t="s">
        <v>870</v>
      </c>
      <c r="BP57" s="17" t="s">
        <v>870</v>
      </c>
      <c r="BQ57" s="17" t="s">
        <v>870</v>
      </c>
      <c r="BR57" s="17" t="s">
        <v>870</v>
      </c>
      <c r="BS57" s="17" t="s">
        <v>870</v>
      </c>
      <c r="BT57" s="17" t="s">
        <v>870</v>
      </c>
      <c r="BU57" s="17" t="s">
        <v>870</v>
      </c>
      <c r="BV57" s="17" t="s">
        <v>870</v>
      </c>
      <c r="BW57" s="17" t="s">
        <v>870</v>
      </c>
      <c r="BX57" s="17" t="s">
        <v>870</v>
      </c>
      <c r="BY57" s="17" t="s">
        <v>870</v>
      </c>
      <c r="BZ57" s="17" t="s">
        <v>870</v>
      </c>
      <c r="CA57" s="17" t="s">
        <v>870</v>
      </c>
      <c r="CB57" s="17" t="s">
        <v>870</v>
      </c>
      <c r="CC57" s="17" t="s">
        <v>870</v>
      </c>
      <c r="CD57" s="17" t="s">
        <v>870</v>
      </c>
      <c r="CE57" s="17" t="s">
        <v>870</v>
      </c>
      <c r="CF57" s="17" t="s">
        <v>870</v>
      </c>
      <c r="CG57" s="17" t="s">
        <v>870</v>
      </c>
      <c r="CH57" s="17" t="s">
        <v>870</v>
      </c>
      <c r="CI57" s="17" t="s">
        <v>870</v>
      </c>
      <c r="CJ57" s="17" t="s">
        <v>870</v>
      </c>
      <c r="CK57" s="17" t="s">
        <v>870</v>
      </c>
      <c r="CL57" s="17" t="s">
        <v>870</v>
      </c>
      <c r="CM57" s="17" t="s">
        <v>870</v>
      </c>
      <c r="CN57" s="17" t="s">
        <v>870</v>
      </c>
      <c r="CO57" s="17" t="s">
        <v>870</v>
      </c>
      <c r="CP57" s="17" t="s">
        <v>870</v>
      </c>
      <c r="CQ57" s="17" t="s">
        <v>870</v>
      </c>
      <c r="CR57" s="17" t="s">
        <v>870</v>
      </c>
      <c r="CS57" s="17" t="s">
        <v>870</v>
      </c>
      <c r="CT57" s="17" t="s">
        <v>870</v>
      </c>
      <c r="CU57" s="17" t="s">
        <v>870</v>
      </c>
      <c r="CV57" s="17" t="s">
        <v>870</v>
      </c>
      <c r="CW57" s="17" t="s">
        <v>870</v>
      </c>
      <c r="CX57" s="17" t="s">
        <v>870</v>
      </c>
      <c r="CY57" s="17" t="s">
        <v>870</v>
      </c>
      <c r="CZ57" s="17" t="s">
        <v>870</v>
      </c>
      <c r="DA57" s="17" t="s">
        <v>870</v>
      </c>
      <c r="DB57" s="17" t="s">
        <v>870</v>
      </c>
      <c r="DC57" s="17" t="s">
        <v>870</v>
      </c>
      <c r="DD57" s="17" t="s">
        <v>870</v>
      </c>
      <c r="DE57" s="17" t="s">
        <v>870</v>
      </c>
      <c r="DF57" s="17" t="s">
        <v>870</v>
      </c>
      <c r="DG57" s="17" t="s">
        <v>870</v>
      </c>
      <c r="DH57" s="17" t="s">
        <v>870</v>
      </c>
      <c r="DI57" s="17" t="s">
        <v>870</v>
      </c>
      <c r="DJ57" s="17" t="s">
        <v>870</v>
      </c>
      <c r="DK57" s="17" t="s">
        <v>870</v>
      </c>
      <c r="DL57" s="17" t="s">
        <v>870</v>
      </c>
      <c r="DM57" s="17" t="s">
        <v>870</v>
      </c>
      <c r="DN57" s="17" t="s">
        <v>870</v>
      </c>
      <c r="DO57" s="17" t="s">
        <v>870</v>
      </c>
      <c r="DP57" s="17" t="s">
        <v>870</v>
      </c>
      <c r="DQ57" s="17" t="s">
        <v>870</v>
      </c>
      <c r="DR57" s="17" t="s">
        <v>870</v>
      </c>
      <c r="DS57" s="17" t="s">
        <v>870</v>
      </c>
      <c r="DT57" s="17" t="s">
        <v>870</v>
      </c>
      <c r="DU57" s="17" t="s">
        <v>870</v>
      </c>
      <c r="DV57" s="17" t="s">
        <v>870</v>
      </c>
      <c r="DW57" s="17" t="s">
        <v>870</v>
      </c>
      <c r="DX57" s="17" t="s">
        <v>870</v>
      </c>
      <c r="DY57" s="17" t="s">
        <v>870</v>
      </c>
      <c r="DZ57" s="17" t="s">
        <v>870</v>
      </c>
      <c r="EA57" s="17" t="s">
        <v>870</v>
      </c>
      <c r="EB57" s="17" t="s">
        <v>870</v>
      </c>
      <c r="EC57" s="17" t="s">
        <v>870</v>
      </c>
      <c r="ED57" s="17" t="s">
        <v>870</v>
      </c>
      <c r="EE57" s="17" t="s">
        <v>870</v>
      </c>
      <c r="EF57" s="17" t="s">
        <v>870</v>
      </c>
      <c r="EG57" s="17" t="s">
        <v>870</v>
      </c>
      <c r="EH57" s="17" t="s">
        <v>870</v>
      </c>
      <c r="EI57" s="17" t="s">
        <v>870</v>
      </c>
      <c r="EJ57" s="17" t="s">
        <v>870</v>
      </c>
      <c r="EK57" s="17" t="s">
        <v>870</v>
      </c>
      <c r="EL57" s="17" t="s">
        <v>870</v>
      </c>
      <c r="EM57" s="17" t="s">
        <v>870</v>
      </c>
      <c r="EN57" s="17" t="s">
        <v>870</v>
      </c>
      <c r="EO57" s="17" t="s">
        <v>870</v>
      </c>
      <c r="EP57" s="17" t="s">
        <v>870</v>
      </c>
      <c r="EQ57" s="17" t="s">
        <v>870</v>
      </c>
      <c r="ER57" s="17" t="s">
        <v>870</v>
      </c>
      <c r="ES57" s="17" t="s">
        <v>870</v>
      </c>
      <c r="ET57" s="17" t="s">
        <v>870</v>
      </c>
      <c r="EU57" s="17" t="s">
        <v>870</v>
      </c>
      <c r="EV57" s="17" t="s">
        <v>870</v>
      </c>
      <c r="EW57" s="17" t="s">
        <v>870</v>
      </c>
      <c r="EX57" s="17" t="s">
        <v>870</v>
      </c>
      <c r="EY57" s="17" t="s">
        <v>870</v>
      </c>
      <c r="EZ57" s="17" t="s">
        <v>870</v>
      </c>
      <c r="FA57" s="17" t="s">
        <v>870</v>
      </c>
      <c r="FB57" s="17" t="s">
        <v>870</v>
      </c>
      <c r="FC57" s="17" t="s">
        <v>870</v>
      </c>
      <c r="FD57" s="17" t="s">
        <v>870</v>
      </c>
      <c r="FE57" s="17" t="s">
        <v>870</v>
      </c>
      <c r="FF57" s="17" t="s">
        <v>870</v>
      </c>
      <c r="FG57" s="17" t="s">
        <v>870</v>
      </c>
      <c r="FH57" s="17" t="s">
        <v>870</v>
      </c>
      <c r="FI57" s="17" t="s">
        <v>870</v>
      </c>
      <c r="FJ57" s="17" t="s">
        <v>870</v>
      </c>
      <c r="FK57" s="17" t="s">
        <v>870</v>
      </c>
      <c r="FL57" s="17" t="s">
        <v>870</v>
      </c>
      <c r="FM57" s="17" t="s">
        <v>870</v>
      </c>
      <c r="FN57" s="17" t="s">
        <v>870</v>
      </c>
      <c r="FO57" s="17" t="s">
        <v>870</v>
      </c>
      <c r="FP57" s="17" t="s">
        <v>870</v>
      </c>
      <c r="FQ57" s="17" t="s">
        <v>870</v>
      </c>
      <c r="FR57" s="17" t="s">
        <v>870</v>
      </c>
      <c r="FS57" s="17" t="s">
        <v>870</v>
      </c>
      <c r="FT57" s="17" t="s">
        <v>870</v>
      </c>
      <c r="FU57" s="17" t="s">
        <v>870</v>
      </c>
      <c r="FV57" s="17" t="s">
        <v>870</v>
      </c>
      <c r="FW57" s="17" t="s">
        <v>870</v>
      </c>
      <c r="FX57" s="17" t="s">
        <v>870</v>
      </c>
      <c r="FY57" s="17" t="s">
        <v>870</v>
      </c>
      <c r="FZ57" s="17" t="s">
        <v>870</v>
      </c>
      <c r="GA57" s="17" t="s">
        <v>870</v>
      </c>
      <c r="GB57" s="17" t="s">
        <v>870</v>
      </c>
      <c r="GC57" s="17" t="s">
        <v>870</v>
      </c>
      <c r="GD57" s="17" t="s">
        <v>870</v>
      </c>
      <c r="GE57" s="17" t="s">
        <v>870</v>
      </c>
      <c r="GF57" s="17" t="s">
        <v>870</v>
      </c>
      <c r="GG57" s="17" t="s">
        <v>870</v>
      </c>
      <c r="GH57" s="17" t="s">
        <v>870</v>
      </c>
      <c r="GI57" s="17" t="s">
        <v>870</v>
      </c>
      <c r="GJ57" s="17" t="s">
        <v>870</v>
      </c>
      <c r="GK57" s="17" t="s">
        <v>870</v>
      </c>
      <c r="GL57" s="17" t="s">
        <v>870</v>
      </c>
      <c r="GM57" s="17" t="s">
        <v>870</v>
      </c>
      <c r="GN57" s="17" t="s">
        <v>870</v>
      </c>
      <c r="GO57" s="17" t="s">
        <v>870</v>
      </c>
      <c r="GP57" s="17" t="s">
        <v>870</v>
      </c>
      <c r="GQ57" s="17" t="s">
        <v>870</v>
      </c>
      <c r="GR57" s="17" t="s">
        <v>870</v>
      </c>
      <c r="GS57" s="17" t="s">
        <v>870</v>
      </c>
      <c r="GT57" s="17" t="s">
        <v>870</v>
      </c>
      <c r="GU57" s="17" t="s">
        <v>870</v>
      </c>
      <c r="GV57" s="17" t="s">
        <v>870</v>
      </c>
      <c r="GW57" s="17" t="s">
        <v>870</v>
      </c>
      <c r="GX57" s="17" t="s">
        <v>870</v>
      </c>
      <c r="GY57" s="17" t="s">
        <v>870</v>
      </c>
      <c r="GZ57" s="17" t="s">
        <v>870</v>
      </c>
      <c r="HA57" s="17" t="s">
        <v>870</v>
      </c>
      <c r="HB57" s="17" t="s">
        <v>870</v>
      </c>
      <c r="HC57" s="17" t="s">
        <v>870</v>
      </c>
      <c r="HD57" s="17" t="s">
        <v>870</v>
      </c>
      <c r="HE57" s="17" t="s">
        <v>870</v>
      </c>
      <c r="HF57" s="17" t="s">
        <v>870</v>
      </c>
      <c r="HG57" s="17" t="s">
        <v>870</v>
      </c>
      <c r="HH57" s="17" t="s">
        <v>870</v>
      </c>
      <c r="HI57" s="17" t="s">
        <v>870</v>
      </c>
      <c r="HJ57" s="17" t="s">
        <v>870</v>
      </c>
      <c r="HK57" s="17" t="s">
        <v>870</v>
      </c>
      <c r="HL57" s="17" t="s">
        <v>870</v>
      </c>
      <c r="HM57" s="17" t="s">
        <v>870</v>
      </c>
      <c r="HN57" s="17" t="s">
        <v>870</v>
      </c>
      <c r="HO57" s="17" t="s">
        <v>870</v>
      </c>
      <c r="HP57" s="17" t="s">
        <v>870</v>
      </c>
      <c r="HQ57" s="17" t="s">
        <v>870</v>
      </c>
      <c r="HR57" s="17" t="s">
        <v>870</v>
      </c>
      <c r="HS57" s="17" t="s">
        <v>870</v>
      </c>
      <c r="HT57" s="17" t="s">
        <v>870</v>
      </c>
      <c r="HU57" s="17" t="s">
        <v>870</v>
      </c>
      <c r="HV57" s="17" t="s">
        <v>870</v>
      </c>
      <c r="HW57" s="17" t="s">
        <v>870</v>
      </c>
      <c r="HX57" s="17" t="s">
        <v>870</v>
      </c>
      <c r="HY57" s="17" t="s">
        <v>870</v>
      </c>
      <c r="HZ57" s="17" t="s">
        <v>870</v>
      </c>
      <c r="IA57" s="17" t="s">
        <v>870</v>
      </c>
      <c r="IB57" s="17" t="s">
        <v>870</v>
      </c>
      <c r="IC57" s="17" t="s">
        <v>870</v>
      </c>
      <c r="ID57" s="17" t="s">
        <v>870</v>
      </c>
      <c r="IE57" s="17" t="s">
        <v>870</v>
      </c>
      <c r="IF57" s="17" t="s">
        <v>870</v>
      </c>
      <c r="IG57" s="17" t="s">
        <v>870</v>
      </c>
      <c r="IH57" s="17" t="s">
        <v>870</v>
      </c>
      <c r="II57" s="17" t="s">
        <v>870</v>
      </c>
      <c r="IJ57" s="17" t="s">
        <v>870</v>
      </c>
      <c r="IK57" s="17" t="s">
        <v>870</v>
      </c>
      <c r="IL57" s="17" t="s">
        <v>870</v>
      </c>
      <c r="IM57" s="17" t="s">
        <v>870</v>
      </c>
      <c r="IN57" s="17" t="s">
        <v>870</v>
      </c>
      <c r="IO57" s="17" t="s">
        <v>870</v>
      </c>
      <c r="IP57" s="17" t="s">
        <v>870</v>
      </c>
      <c r="IQ57" s="63"/>
      <c r="IR57" s="61" t="s">
        <v>2</v>
      </c>
      <c r="IS57" s="17" t="s">
        <v>870</v>
      </c>
      <c r="IT57" s="17" t="s">
        <v>870</v>
      </c>
      <c r="IU57" s="17" t="s">
        <v>870</v>
      </c>
      <c r="IV57" s="17" t="s">
        <v>870</v>
      </c>
      <c r="IW57" s="17" t="s">
        <v>870</v>
      </c>
      <c r="IX57" s="17" t="s">
        <v>870</v>
      </c>
      <c r="IY57" s="63"/>
      <c r="IZ57" s="61" t="s">
        <v>2</v>
      </c>
      <c r="JA57" s="17" t="s">
        <v>870</v>
      </c>
      <c r="JB57" s="17" t="s">
        <v>870</v>
      </c>
      <c r="JC57" s="17" t="s">
        <v>870</v>
      </c>
      <c r="JD57" s="17" t="s">
        <v>870</v>
      </c>
      <c r="JE57" s="17" t="s">
        <v>870</v>
      </c>
      <c r="JF57" s="17" t="s">
        <v>870</v>
      </c>
      <c r="JG57" s="17" t="s">
        <v>870</v>
      </c>
      <c r="JH57" s="17" t="s">
        <v>870</v>
      </c>
      <c r="JI57" s="17" t="s">
        <v>870</v>
      </c>
      <c r="JJ57" s="17" t="s">
        <v>870</v>
      </c>
      <c r="JK57" s="17" t="s">
        <v>870</v>
      </c>
      <c r="JL57" s="17" t="s">
        <v>870</v>
      </c>
      <c r="JM57" s="17" t="s">
        <v>870</v>
      </c>
      <c r="JN57" s="17" t="s">
        <v>870</v>
      </c>
      <c r="JO57" s="17" t="s">
        <v>870</v>
      </c>
      <c r="JP57" s="17" t="s">
        <v>870</v>
      </c>
      <c r="JQ57" s="17" t="s">
        <v>870</v>
      </c>
      <c r="JR57" s="17" t="s">
        <v>870</v>
      </c>
      <c r="JS57" s="17" t="s">
        <v>870</v>
      </c>
      <c r="JT57" s="17" t="s">
        <v>870</v>
      </c>
    </row>
    <row r="58" spans="1:280" x14ac:dyDescent="0.25">
      <c r="A58" t="s">
        <v>1369</v>
      </c>
      <c r="B58" s="17" t="s">
        <v>870</v>
      </c>
      <c r="C58" s="17" t="s">
        <v>870</v>
      </c>
      <c r="D58" s="17" t="s">
        <v>870</v>
      </c>
      <c r="E58" s="17" t="s">
        <v>870</v>
      </c>
      <c r="F58" s="17" t="s">
        <v>870</v>
      </c>
      <c r="G58" s="17" t="s">
        <v>870</v>
      </c>
      <c r="H58" s="17" t="s">
        <v>870</v>
      </c>
      <c r="I58" s="17" t="s">
        <v>870</v>
      </c>
      <c r="J58" s="17" t="s">
        <v>870</v>
      </c>
      <c r="K58" s="17" t="s">
        <v>870</v>
      </c>
      <c r="L58" s="17" t="s">
        <v>870</v>
      </c>
      <c r="M58" s="17" t="s">
        <v>870</v>
      </c>
      <c r="N58" s="17" t="s">
        <v>870</v>
      </c>
      <c r="O58" s="17" t="s">
        <v>870</v>
      </c>
      <c r="P58" s="17" t="s">
        <v>870</v>
      </c>
      <c r="Q58" s="17" t="s">
        <v>870</v>
      </c>
      <c r="R58" s="17" t="s">
        <v>870</v>
      </c>
      <c r="S58" s="17" t="s">
        <v>870</v>
      </c>
      <c r="T58" s="17" t="s">
        <v>870</v>
      </c>
      <c r="U58" s="17" t="s">
        <v>870</v>
      </c>
      <c r="V58" s="17" t="s">
        <v>870</v>
      </c>
      <c r="W58" s="17" t="s">
        <v>870</v>
      </c>
      <c r="X58" s="17" t="s">
        <v>870</v>
      </c>
      <c r="Y58" s="17" t="s">
        <v>870</v>
      </c>
      <c r="Z58" s="17" t="s">
        <v>870</v>
      </c>
      <c r="AA58" s="17" t="s">
        <v>870</v>
      </c>
      <c r="AB58" s="17" t="s">
        <v>870</v>
      </c>
      <c r="AC58" s="17" t="s">
        <v>870</v>
      </c>
      <c r="AD58" s="17" t="s">
        <v>870</v>
      </c>
      <c r="AE58" s="17" t="s">
        <v>870</v>
      </c>
      <c r="AF58" s="17" t="s">
        <v>870</v>
      </c>
      <c r="AG58" s="17" t="s">
        <v>870</v>
      </c>
      <c r="AH58" s="17" t="s">
        <v>870</v>
      </c>
      <c r="AI58" s="17" t="s">
        <v>870</v>
      </c>
      <c r="AJ58" s="17" t="s">
        <v>870</v>
      </c>
      <c r="AK58" s="17" t="s">
        <v>870</v>
      </c>
      <c r="AL58" s="17" t="s">
        <v>870</v>
      </c>
      <c r="AM58" s="17" t="s">
        <v>870</v>
      </c>
      <c r="AN58" s="17" t="s">
        <v>870</v>
      </c>
      <c r="AO58" s="17" t="s">
        <v>870</v>
      </c>
      <c r="AP58" s="17" t="s">
        <v>870</v>
      </c>
      <c r="AQ58" s="17" t="s">
        <v>870</v>
      </c>
      <c r="AR58" s="17" t="s">
        <v>870</v>
      </c>
      <c r="AS58" s="17" t="s">
        <v>870</v>
      </c>
      <c r="AT58" s="17" t="s">
        <v>870</v>
      </c>
      <c r="AU58" s="17" t="s">
        <v>870</v>
      </c>
      <c r="AV58" s="17" t="s">
        <v>870</v>
      </c>
      <c r="AW58" s="17" t="s">
        <v>870</v>
      </c>
      <c r="AX58" s="17" t="s">
        <v>870</v>
      </c>
      <c r="AY58" s="17" t="s">
        <v>870</v>
      </c>
      <c r="AZ58" s="17" t="s">
        <v>870</v>
      </c>
      <c r="BA58" s="17" t="s">
        <v>870</v>
      </c>
      <c r="BB58" s="17" t="s">
        <v>870</v>
      </c>
      <c r="BC58" s="17" t="s">
        <v>870</v>
      </c>
      <c r="BD58" s="17" t="s">
        <v>870</v>
      </c>
      <c r="BE58" s="17" t="s">
        <v>870</v>
      </c>
      <c r="BF58" s="17" t="s">
        <v>870</v>
      </c>
      <c r="BG58" s="17" t="s">
        <v>870</v>
      </c>
      <c r="BH58" s="17" t="s">
        <v>870</v>
      </c>
      <c r="BI58" s="17" t="s">
        <v>870</v>
      </c>
      <c r="BJ58" s="17" t="s">
        <v>870</v>
      </c>
      <c r="BK58" s="17" t="s">
        <v>870</v>
      </c>
      <c r="BL58" s="17" t="s">
        <v>870</v>
      </c>
      <c r="BM58" s="17" t="s">
        <v>870</v>
      </c>
      <c r="BN58" s="17" t="s">
        <v>870</v>
      </c>
      <c r="BO58" s="17" t="s">
        <v>870</v>
      </c>
      <c r="BP58" s="17" t="s">
        <v>870</v>
      </c>
      <c r="BQ58" s="17" t="s">
        <v>870</v>
      </c>
      <c r="BR58" s="17" t="s">
        <v>870</v>
      </c>
      <c r="BS58" s="17" t="s">
        <v>870</v>
      </c>
      <c r="BT58" s="17" t="s">
        <v>870</v>
      </c>
      <c r="BU58" s="17" t="s">
        <v>870</v>
      </c>
      <c r="BV58" s="17" t="s">
        <v>870</v>
      </c>
      <c r="BW58" s="17" t="s">
        <v>870</v>
      </c>
      <c r="BX58" s="17" t="s">
        <v>870</v>
      </c>
      <c r="BY58" s="17" t="s">
        <v>870</v>
      </c>
      <c r="BZ58" s="17" t="s">
        <v>870</v>
      </c>
      <c r="CA58" s="17" t="s">
        <v>870</v>
      </c>
      <c r="CB58" s="17" t="s">
        <v>870</v>
      </c>
      <c r="CC58" s="17" t="s">
        <v>870</v>
      </c>
      <c r="CD58" s="17" t="s">
        <v>870</v>
      </c>
      <c r="CE58" s="17" t="s">
        <v>870</v>
      </c>
      <c r="CF58" s="17" t="s">
        <v>870</v>
      </c>
      <c r="CG58" s="17" t="s">
        <v>870</v>
      </c>
      <c r="CH58" s="17" t="s">
        <v>870</v>
      </c>
      <c r="CI58" s="17" t="s">
        <v>870</v>
      </c>
      <c r="CJ58" s="17" t="s">
        <v>870</v>
      </c>
      <c r="CK58" s="17" t="s">
        <v>870</v>
      </c>
      <c r="CL58" s="17" t="s">
        <v>870</v>
      </c>
      <c r="CM58" s="17" t="s">
        <v>870</v>
      </c>
      <c r="CN58" s="17" t="s">
        <v>870</v>
      </c>
      <c r="CO58" s="17" t="s">
        <v>870</v>
      </c>
      <c r="CP58" s="17" t="s">
        <v>870</v>
      </c>
      <c r="CQ58" s="17" t="s">
        <v>870</v>
      </c>
      <c r="CR58" s="17" t="s">
        <v>870</v>
      </c>
      <c r="CS58" s="17" t="s">
        <v>870</v>
      </c>
      <c r="CT58" s="17" t="s">
        <v>870</v>
      </c>
      <c r="CU58" s="17" t="s">
        <v>870</v>
      </c>
      <c r="CV58" s="17" t="s">
        <v>870</v>
      </c>
      <c r="CW58" s="17" t="s">
        <v>870</v>
      </c>
      <c r="CX58" s="17" t="s">
        <v>870</v>
      </c>
      <c r="CY58" s="17" t="s">
        <v>870</v>
      </c>
      <c r="CZ58" s="17" t="s">
        <v>870</v>
      </c>
      <c r="DA58" s="17" t="s">
        <v>870</v>
      </c>
      <c r="DB58" s="17" t="s">
        <v>870</v>
      </c>
      <c r="DC58" s="17" t="s">
        <v>870</v>
      </c>
      <c r="DD58" s="17" t="s">
        <v>870</v>
      </c>
      <c r="DE58" s="17" t="s">
        <v>870</v>
      </c>
      <c r="DF58" s="17" t="s">
        <v>870</v>
      </c>
      <c r="DG58" s="17" t="s">
        <v>870</v>
      </c>
      <c r="DH58" s="17" t="s">
        <v>870</v>
      </c>
      <c r="DI58" s="17" t="s">
        <v>870</v>
      </c>
      <c r="DJ58" s="17" t="s">
        <v>870</v>
      </c>
      <c r="DK58" s="17" t="s">
        <v>870</v>
      </c>
      <c r="DL58" s="17" t="s">
        <v>870</v>
      </c>
      <c r="DM58" s="17" t="s">
        <v>870</v>
      </c>
      <c r="DN58" s="17" t="s">
        <v>870</v>
      </c>
      <c r="DO58" s="17" t="s">
        <v>870</v>
      </c>
      <c r="DP58" s="17" t="s">
        <v>870</v>
      </c>
      <c r="DQ58" s="17" t="s">
        <v>870</v>
      </c>
      <c r="DR58" s="17" t="s">
        <v>870</v>
      </c>
      <c r="DS58" s="17" t="s">
        <v>870</v>
      </c>
      <c r="DT58" s="17" t="s">
        <v>870</v>
      </c>
      <c r="DU58" s="17" t="s">
        <v>870</v>
      </c>
      <c r="DV58" s="17" t="s">
        <v>870</v>
      </c>
      <c r="DW58" s="17" t="s">
        <v>870</v>
      </c>
      <c r="DX58" s="17" t="s">
        <v>870</v>
      </c>
      <c r="DY58" s="17" t="s">
        <v>870</v>
      </c>
      <c r="DZ58" s="17" t="s">
        <v>870</v>
      </c>
      <c r="EA58" s="17" t="s">
        <v>870</v>
      </c>
      <c r="EB58" s="17" t="s">
        <v>870</v>
      </c>
      <c r="EC58" s="17" t="s">
        <v>870</v>
      </c>
      <c r="ED58" s="17" t="s">
        <v>870</v>
      </c>
      <c r="EE58" s="17" t="s">
        <v>870</v>
      </c>
      <c r="EF58" s="17" t="s">
        <v>870</v>
      </c>
      <c r="EG58" s="17" t="s">
        <v>870</v>
      </c>
      <c r="EH58" s="17" t="s">
        <v>870</v>
      </c>
      <c r="EI58" s="17" t="s">
        <v>870</v>
      </c>
      <c r="EJ58" s="17" t="s">
        <v>870</v>
      </c>
      <c r="EK58" s="17" t="s">
        <v>870</v>
      </c>
      <c r="EL58" s="17" t="s">
        <v>870</v>
      </c>
      <c r="EM58" s="17" t="s">
        <v>870</v>
      </c>
      <c r="EN58" s="17" t="s">
        <v>870</v>
      </c>
      <c r="EO58" s="17" t="s">
        <v>870</v>
      </c>
      <c r="EP58" s="17" t="s">
        <v>870</v>
      </c>
      <c r="EQ58" s="17" t="s">
        <v>870</v>
      </c>
      <c r="ER58" s="17" t="s">
        <v>870</v>
      </c>
      <c r="ES58" s="17" t="s">
        <v>870</v>
      </c>
      <c r="ET58" s="17" t="s">
        <v>870</v>
      </c>
      <c r="EU58" s="17" t="s">
        <v>870</v>
      </c>
      <c r="EV58" s="17" t="s">
        <v>870</v>
      </c>
      <c r="EW58" s="17" t="s">
        <v>870</v>
      </c>
      <c r="EX58" s="17" t="s">
        <v>870</v>
      </c>
      <c r="EY58" s="17" t="s">
        <v>870</v>
      </c>
      <c r="EZ58" s="17" t="s">
        <v>870</v>
      </c>
      <c r="FA58" s="17" t="s">
        <v>870</v>
      </c>
      <c r="FB58" s="17" t="s">
        <v>870</v>
      </c>
      <c r="FC58" s="17" t="s">
        <v>870</v>
      </c>
      <c r="FD58" s="17" t="s">
        <v>870</v>
      </c>
      <c r="FE58" s="17" t="s">
        <v>870</v>
      </c>
      <c r="FF58" s="17" t="s">
        <v>870</v>
      </c>
      <c r="FG58" s="17" t="s">
        <v>870</v>
      </c>
      <c r="FH58" s="17" t="s">
        <v>870</v>
      </c>
      <c r="FI58" s="17" t="s">
        <v>870</v>
      </c>
      <c r="FJ58" s="17" t="s">
        <v>870</v>
      </c>
      <c r="FK58" s="17" t="s">
        <v>870</v>
      </c>
      <c r="FL58" s="17" t="s">
        <v>870</v>
      </c>
      <c r="FM58" s="17" t="s">
        <v>870</v>
      </c>
      <c r="FN58" s="17" t="s">
        <v>870</v>
      </c>
      <c r="FO58" s="17" t="s">
        <v>870</v>
      </c>
      <c r="FP58" s="17" t="s">
        <v>870</v>
      </c>
      <c r="FQ58" s="17" t="s">
        <v>870</v>
      </c>
      <c r="FR58" s="17" t="s">
        <v>870</v>
      </c>
      <c r="FS58" s="17" t="s">
        <v>870</v>
      </c>
      <c r="FT58" s="17" t="s">
        <v>870</v>
      </c>
      <c r="FU58" s="17" t="s">
        <v>870</v>
      </c>
      <c r="FV58" s="17" t="s">
        <v>870</v>
      </c>
      <c r="FW58" s="17" t="s">
        <v>870</v>
      </c>
      <c r="FX58" s="17" t="s">
        <v>870</v>
      </c>
      <c r="FY58" s="17" t="s">
        <v>870</v>
      </c>
      <c r="FZ58" s="17" t="s">
        <v>870</v>
      </c>
      <c r="GA58" s="17" t="s">
        <v>870</v>
      </c>
      <c r="GB58" s="17" t="s">
        <v>870</v>
      </c>
      <c r="GC58" s="17" t="s">
        <v>870</v>
      </c>
      <c r="GD58" s="17" t="s">
        <v>870</v>
      </c>
      <c r="GE58" s="17" t="s">
        <v>870</v>
      </c>
      <c r="GF58" s="17" t="s">
        <v>870</v>
      </c>
      <c r="GG58" s="17" t="s">
        <v>870</v>
      </c>
      <c r="GH58" s="17" t="s">
        <v>870</v>
      </c>
      <c r="GI58" s="17" t="s">
        <v>870</v>
      </c>
      <c r="GJ58" s="17" t="s">
        <v>870</v>
      </c>
      <c r="GK58" s="17" t="s">
        <v>870</v>
      </c>
      <c r="GL58" s="17" t="s">
        <v>870</v>
      </c>
      <c r="GM58" s="17" t="s">
        <v>870</v>
      </c>
      <c r="GN58" s="17" t="s">
        <v>870</v>
      </c>
      <c r="GO58" s="17" t="s">
        <v>870</v>
      </c>
      <c r="GP58" s="17" t="s">
        <v>870</v>
      </c>
      <c r="GQ58" s="17" t="s">
        <v>870</v>
      </c>
      <c r="GR58" s="17" t="s">
        <v>870</v>
      </c>
      <c r="GS58" s="17" t="s">
        <v>870</v>
      </c>
      <c r="GT58" s="17" t="s">
        <v>870</v>
      </c>
      <c r="GU58" s="17" t="s">
        <v>870</v>
      </c>
      <c r="GV58" s="17" t="s">
        <v>870</v>
      </c>
      <c r="GW58" s="17" t="s">
        <v>870</v>
      </c>
      <c r="GX58" s="17" t="s">
        <v>870</v>
      </c>
      <c r="GY58" s="17" t="s">
        <v>870</v>
      </c>
      <c r="GZ58" s="17" t="s">
        <v>870</v>
      </c>
      <c r="HA58" s="17" t="s">
        <v>870</v>
      </c>
      <c r="HB58" s="17" t="s">
        <v>870</v>
      </c>
      <c r="HC58" s="17" t="s">
        <v>870</v>
      </c>
      <c r="HD58" s="17" t="s">
        <v>870</v>
      </c>
      <c r="HE58" s="17" t="s">
        <v>870</v>
      </c>
      <c r="HF58" s="17" t="s">
        <v>870</v>
      </c>
      <c r="HG58" s="17" t="s">
        <v>870</v>
      </c>
      <c r="HH58" s="17" t="s">
        <v>870</v>
      </c>
      <c r="HI58" s="17" t="s">
        <v>870</v>
      </c>
      <c r="HJ58" s="17" t="s">
        <v>870</v>
      </c>
      <c r="HK58" s="17" t="s">
        <v>870</v>
      </c>
      <c r="HL58" s="17" t="s">
        <v>870</v>
      </c>
      <c r="HM58" s="17" t="s">
        <v>870</v>
      </c>
      <c r="HN58" s="17" t="s">
        <v>870</v>
      </c>
      <c r="HO58" s="17" t="s">
        <v>870</v>
      </c>
      <c r="HP58" s="17" t="s">
        <v>870</v>
      </c>
      <c r="HQ58" s="17" t="s">
        <v>870</v>
      </c>
      <c r="HR58" s="17" t="s">
        <v>870</v>
      </c>
      <c r="HS58" s="17" t="s">
        <v>870</v>
      </c>
      <c r="HT58" s="17" t="s">
        <v>870</v>
      </c>
      <c r="HU58" s="17" t="s">
        <v>870</v>
      </c>
      <c r="HV58" s="17" t="s">
        <v>870</v>
      </c>
      <c r="HW58" s="17" t="s">
        <v>870</v>
      </c>
      <c r="HX58" s="17" t="s">
        <v>870</v>
      </c>
      <c r="HY58" s="17" t="s">
        <v>870</v>
      </c>
      <c r="HZ58" s="17" t="s">
        <v>870</v>
      </c>
      <c r="IA58" s="17" t="s">
        <v>870</v>
      </c>
      <c r="IB58" s="17" t="s">
        <v>870</v>
      </c>
      <c r="IC58" s="17" t="s">
        <v>870</v>
      </c>
      <c r="ID58" s="17" t="s">
        <v>870</v>
      </c>
      <c r="IE58" s="17" t="s">
        <v>870</v>
      </c>
      <c r="IF58" s="17" t="s">
        <v>870</v>
      </c>
      <c r="IG58" s="17" t="s">
        <v>870</v>
      </c>
      <c r="IH58" s="17" t="s">
        <v>870</v>
      </c>
      <c r="II58" s="17" t="s">
        <v>870</v>
      </c>
      <c r="IJ58" s="17" t="s">
        <v>870</v>
      </c>
      <c r="IK58" s="17" t="s">
        <v>870</v>
      </c>
      <c r="IL58" s="17" t="s">
        <v>870</v>
      </c>
      <c r="IM58" s="17" t="s">
        <v>870</v>
      </c>
      <c r="IN58" s="17" t="s">
        <v>870</v>
      </c>
      <c r="IO58" s="17" t="s">
        <v>870</v>
      </c>
      <c r="IP58" s="17" t="s">
        <v>870</v>
      </c>
      <c r="IQ58" s="17" t="s">
        <v>870</v>
      </c>
      <c r="IR58" s="17" t="s">
        <v>870</v>
      </c>
      <c r="IS58" s="17" t="s">
        <v>870</v>
      </c>
      <c r="IT58" s="17" t="s">
        <v>870</v>
      </c>
      <c r="IU58" s="63"/>
      <c r="IV58" s="63"/>
      <c r="IW58" s="17" t="s">
        <v>870</v>
      </c>
      <c r="IX58" s="17" t="s">
        <v>870</v>
      </c>
      <c r="IY58" s="17" t="s">
        <v>870</v>
      </c>
      <c r="IZ58" s="17" t="s">
        <v>870</v>
      </c>
      <c r="JA58" s="17" t="s">
        <v>870</v>
      </c>
      <c r="JB58" s="17" t="s">
        <v>870</v>
      </c>
      <c r="JC58" s="17" t="s">
        <v>870</v>
      </c>
      <c r="JD58" s="17" t="s">
        <v>870</v>
      </c>
      <c r="JE58" s="17" t="s">
        <v>870</v>
      </c>
      <c r="JF58" s="17" t="s">
        <v>870</v>
      </c>
      <c r="JG58" s="17" t="s">
        <v>870</v>
      </c>
      <c r="JH58" s="17" t="s">
        <v>870</v>
      </c>
      <c r="JI58" s="17" t="s">
        <v>870</v>
      </c>
      <c r="JJ58" s="17" t="s">
        <v>870</v>
      </c>
      <c r="JK58" s="17" t="s">
        <v>870</v>
      </c>
      <c r="JL58" s="17" t="s">
        <v>870</v>
      </c>
      <c r="JM58" s="17" t="s">
        <v>870</v>
      </c>
      <c r="JN58" s="17" t="s">
        <v>870</v>
      </c>
      <c r="JO58" s="17" t="s">
        <v>870</v>
      </c>
      <c r="JP58" s="17" t="s">
        <v>870</v>
      </c>
      <c r="JQ58" s="17" t="s">
        <v>870</v>
      </c>
      <c r="JR58" s="17" t="s">
        <v>870</v>
      </c>
      <c r="JS58" s="17" t="s">
        <v>870</v>
      </c>
      <c r="JT58" s="17" t="s">
        <v>870</v>
      </c>
    </row>
    <row r="59" spans="1:280" x14ac:dyDescent="0.25">
      <c r="A59" t="s">
        <v>1518</v>
      </c>
      <c r="B59" s="17" t="s">
        <v>870</v>
      </c>
      <c r="C59" s="17" t="s">
        <v>870</v>
      </c>
      <c r="D59" s="17" t="s">
        <v>870</v>
      </c>
      <c r="E59" s="17" t="s">
        <v>870</v>
      </c>
      <c r="F59" s="17" t="s">
        <v>870</v>
      </c>
      <c r="G59" s="17" t="s">
        <v>870</v>
      </c>
      <c r="H59" s="17" t="s">
        <v>870</v>
      </c>
      <c r="I59" s="17" t="s">
        <v>870</v>
      </c>
      <c r="J59" s="17" t="s">
        <v>870</v>
      </c>
      <c r="K59" s="17" t="s">
        <v>870</v>
      </c>
      <c r="L59" s="17" t="s">
        <v>870</v>
      </c>
      <c r="M59" s="17" t="s">
        <v>870</v>
      </c>
      <c r="N59" s="17" t="s">
        <v>870</v>
      </c>
      <c r="O59" s="17" t="s">
        <v>870</v>
      </c>
      <c r="P59" s="17" t="s">
        <v>870</v>
      </c>
      <c r="Q59" s="17" t="s">
        <v>870</v>
      </c>
      <c r="R59" s="17" t="s">
        <v>870</v>
      </c>
      <c r="S59" s="17" t="s">
        <v>870</v>
      </c>
      <c r="T59" s="17" t="s">
        <v>870</v>
      </c>
      <c r="U59" s="17" t="s">
        <v>870</v>
      </c>
      <c r="V59" s="17" t="s">
        <v>870</v>
      </c>
      <c r="W59" s="17" t="s">
        <v>870</v>
      </c>
      <c r="X59" s="17" t="s">
        <v>870</v>
      </c>
      <c r="Y59" s="17" t="s">
        <v>870</v>
      </c>
      <c r="Z59" s="17" t="s">
        <v>870</v>
      </c>
      <c r="AA59" s="17" t="s">
        <v>870</v>
      </c>
      <c r="AB59" s="17" t="s">
        <v>870</v>
      </c>
      <c r="AC59" s="17" t="s">
        <v>870</v>
      </c>
      <c r="AD59" s="17" t="s">
        <v>870</v>
      </c>
      <c r="AE59" s="17" t="s">
        <v>870</v>
      </c>
      <c r="AF59" s="17" t="s">
        <v>870</v>
      </c>
      <c r="AG59" s="17" t="s">
        <v>870</v>
      </c>
      <c r="AH59" s="17" t="s">
        <v>870</v>
      </c>
      <c r="AI59" s="17" t="s">
        <v>870</v>
      </c>
      <c r="AJ59" s="17" t="s">
        <v>870</v>
      </c>
      <c r="AK59" s="17" t="s">
        <v>870</v>
      </c>
      <c r="AL59" s="17" t="s">
        <v>870</v>
      </c>
      <c r="AM59" s="17" t="s">
        <v>870</v>
      </c>
      <c r="AN59" s="17" t="s">
        <v>870</v>
      </c>
      <c r="AO59" s="17" t="s">
        <v>870</v>
      </c>
      <c r="AP59" s="17" t="s">
        <v>870</v>
      </c>
      <c r="AQ59" s="17" t="s">
        <v>870</v>
      </c>
      <c r="AR59" s="17" t="s">
        <v>870</v>
      </c>
      <c r="AS59" s="17" t="s">
        <v>870</v>
      </c>
      <c r="AT59" s="17" t="s">
        <v>870</v>
      </c>
      <c r="AU59" s="17" t="s">
        <v>870</v>
      </c>
      <c r="AV59" s="17" t="s">
        <v>870</v>
      </c>
      <c r="AW59" s="17" t="s">
        <v>870</v>
      </c>
      <c r="AX59" s="17" t="s">
        <v>870</v>
      </c>
      <c r="AY59" s="17" t="s">
        <v>870</v>
      </c>
      <c r="AZ59" s="17" t="s">
        <v>870</v>
      </c>
      <c r="BA59" s="17" t="s">
        <v>870</v>
      </c>
      <c r="BB59" s="17" t="s">
        <v>870</v>
      </c>
      <c r="BC59" s="17" t="s">
        <v>870</v>
      </c>
      <c r="BD59" s="17" t="s">
        <v>870</v>
      </c>
      <c r="BE59" s="17" t="s">
        <v>870</v>
      </c>
      <c r="BF59" s="17" t="s">
        <v>870</v>
      </c>
      <c r="BG59" s="17" t="s">
        <v>870</v>
      </c>
      <c r="BH59" s="17" t="s">
        <v>870</v>
      </c>
      <c r="BI59" s="17" t="s">
        <v>870</v>
      </c>
      <c r="BJ59" s="17" t="s">
        <v>870</v>
      </c>
      <c r="BK59" s="17" t="s">
        <v>870</v>
      </c>
      <c r="BL59" s="17" t="s">
        <v>870</v>
      </c>
      <c r="BM59" s="17" t="s">
        <v>870</v>
      </c>
      <c r="BN59" s="17" t="s">
        <v>870</v>
      </c>
      <c r="BO59" s="17" t="s">
        <v>870</v>
      </c>
      <c r="BP59" s="17" t="s">
        <v>870</v>
      </c>
      <c r="BQ59" s="17" t="s">
        <v>870</v>
      </c>
      <c r="BR59" s="17" t="s">
        <v>870</v>
      </c>
      <c r="BS59" s="17" t="s">
        <v>870</v>
      </c>
      <c r="BT59" s="17" t="s">
        <v>870</v>
      </c>
      <c r="BU59" s="17" t="s">
        <v>870</v>
      </c>
      <c r="BV59" s="17" t="s">
        <v>870</v>
      </c>
      <c r="BW59" s="17" t="s">
        <v>870</v>
      </c>
      <c r="BX59" s="17" t="s">
        <v>870</v>
      </c>
      <c r="BY59" s="17" t="s">
        <v>870</v>
      </c>
      <c r="BZ59" s="17" t="s">
        <v>870</v>
      </c>
      <c r="CA59" s="17" t="s">
        <v>870</v>
      </c>
      <c r="CB59" s="17" t="s">
        <v>870</v>
      </c>
      <c r="CC59" s="17" t="s">
        <v>870</v>
      </c>
      <c r="CD59" s="17" t="s">
        <v>870</v>
      </c>
      <c r="CE59" s="17" t="s">
        <v>870</v>
      </c>
      <c r="CF59" s="17" t="s">
        <v>870</v>
      </c>
      <c r="CG59" s="17" t="s">
        <v>870</v>
      </c>
      <c r="CH59" s="17" t="s">
        <v>870</v>
      </c>
      <c r="CI59" s="17" t="s">
        <v>870</v>
      </c>
      <c r="CJ59" s="17" t="s">
        <v>870</v>
      </c>
      <c r="CK59" s="17" t="s">
        <v>870</v>
      </c>
      <c r="CL59" s="17" t="s">
        <v>870</v>
      </c>
      <c r="CM59" s="17" t="s">
        <v>870</v>
      </c>
      <c r="CN59" s="17" t="s">
        <v>870</v>
      </c>
      <c r="CO59" s="17" t="s">
        <v>870</v>
      </c>
      <c r="CP59" s="17" t="s">
        <v>870</v>
      </c>
      <c r="CQ59" s="17" t="s">
        <v>870</v>
      </c>
      <c r="CR59" s="17" t="s">
        <v>870</v>
      </c>
      <c r="CS59" s="17" t="s">
        <v>870</v>
      </c>
      <c r="CT59" s="17" t="s">
        <v>870</v>
      </c>
      <c r="CU59" s="17" t="s">
        <v>870</v>
      </c>
      <c r="CV59" s="17" t="s">
        <v>870</v>
      </c>
      <c r="CW59" s="17" t="s">
        <v>870</v>
      </c>
      <c r="CX59" s="17" t="s">
        <v>870</v>
      </c>
      <c r="CY59" s="17" t="s">
        <v>870</v>
      </c>
      <c r="CZ59" s="17" t="s">
        <v>870</v>
      </c>
      <c r="DA59" s="17" t="s">
        <v>870</v>
      </c>
      <c r="DB59" s="17" t="s">
        <v>870</v>
      </c>
      <c r="DC59" s="17" t="s">
        <v>870</v>
      </c>
      <c r="DD59" s="17" t="s">
        <v>870</v>
      </c>
      <c r="DE59" s="17" t="s">
        <v>870</v>
      </c>
      <c r="DF59" s="17" t="s">
        <v>870</v>
      </c>
      <c r="DG59" s="17" t="s">
        <v>870</v>
      </c>
      <c r="DH59" s="17" t="s">
        <v>870</v>
      </c>
      <c r="DI59" s="17" t="s">
        <v>870</v>
      </c>
      <c r="DJ59" s="17" t="s">
        <v>870</v>
      </c>
      <c r="DK59" s="17" t="s">
        <v>870</v>
      </c>
      <c r="DL59" s="17" t="s">
        <v>870</v>
      </c>
      <c r="DM59" s="17" t="s">
        <v>870</v>
      </c>
      <c r="DN59" s="17" t="s">
        <v>870</v>
      </c>
      <c r="DO59" s="17" t="s">
        <v>870</v>
      </c>
      <c r="DP59" s="17" t="s">
        <v>870</v>
      </c>
      <c r="DQ59" s="17" t="s">
        <v>870</v>
      </c>
      <c r="DR59" s="17" t="s">
        <v>870</v>
      </c>
      <c r="DS59" s="17" t="s">
        <v>870</v>
      </c>
      <c r="DT59" s="17" t="s">
        <v>870</v>
      </c>
      <c r="DU59" s="17" t="s">
        <v>870</v>
      </c>
      <c r="DV59" s="17" t="s">
        <v>870</v>
      </c>
      <c r="DW59" s="17" t="s">
        <v>870</v>
      </c>
      <c r="DX59" s="17" t="s">
        <v>870</v>
      </c>
      <c r="DY59" s="17" t="s">
        <v>870</v>
      </c>
      <c r="DZ59" s="17" t="s">
        <v>870</v>
      </c>
      <c r="EA59" s="17" t="s">
        <v>870</v>
      </c>
      <c r="EB59" s="17" t="s">
        <v>870</v>
      </c>
      <c r="EC59" s="17" t="s">
        <v>870</v>
      </c>
      <c r="ED59" s="17" t="s">
        <v>870</v>
      </c>
      <c r="EE59" s="17" t="s">
        <v>870</v>
      </c>
      <c r="EF59" s="17" t="s">
        <v>870</v>
      </c>
      <c r="EG59" s="17" t="s">
        <v>870</v>
      </c>
      <c r="EH59" s="17" t="s">
        <v>870</v>
      </c>
      <c r="EI59" s="17" t="s">
        <v>870</v>
      </c>
      <c r="EJ59" s="17" t="s">
        <v>870</v>
      </c>
      <c r="EK59" s="17" t="s">
        <v>870</v>
      </c>
      <c r="EL59" s="17" t="s">
        <v>870</v>
      </c>
      <c r="EM59" s="17" t="s">
        <v>870</v>
      </c>
      <c r="EN59" s="17" t="s">
        <v>870</v>
      </c>
      <c r="EO59" s="17" t="s">
        <v>870</v>
      </c>
      <c r="EP59" s="17" t="s">
        <v>870</v>
      </c>
      <c r="EQ59" s="17" t="s">
        <v>870</v>
      </c>
      <c r="ER59" s="17" t="s">
        <v>870</v>
      </c>
      <c r="ES59" s="17" t="s">
        <v>870</v>
      </c>
      <c r="ET59" s="17" t="s">
        <v>870</v>
      </c>
      <c r="EU59" s="17" t="s">
        <v>870</v>
      </c>
      <c r="EV59" s="17" t="s">
        <v>870</v>
      </c>
      <c r="EW59" s="17" t="s">
        <v>870</v>
      </c>
      <c r="EX59" s="17" t="s">
        <v>870</v>
      </c>
      <c r="EY59" s="17" t="s">
        <v>870</v>
      </c>
      <c r="EZ59" s="17" t="s">
        <v>870</v>
      </c>
      <c r="FA59" s="17" t="s">
        <v>870</v>
      </c>
      <c r="FB59" s="17" t="s">
        <v>870</v>
      </c>
      <c r="FC59" s="17" t="s">
        <v>870</v>
      </c>
      <c r="FD59" s="17" t="s">
        <v>870</v>
      </c>
      <c r="FE59" s="17" t="s">
        <v>870</v>
      </c>
      <c r="FF59" s="17" t="s">
        <v>870</v>
      </c>
      <c r="FG59" s="17" t="s">
        <v>870</v>
      </c>
      <c r="FH59" s="17" t="s">
        <v>870</v>
      </c>
      <c r="FI59" s="17" t="s">
        <v>870</v>
      </c>
      <c r="FJ59" s="17" t="s">
        <v>870</v>
      </c>
      <c r="FK59" s="17" t="s">
        <v>870</v>
      </c>
      <c r="FL59" s="17" t="s">
        <v>870</v>
      </c>
      <c r="FM59" s="17" t="s">
        <v>870</v>
      </c>
      <c r="FN59" s="17" t="s">
        <v>870</v>
      </c>
      <c r="FO59" s="17" t="s">
        <v>870</v>
      </c>
      <c r="FP59" s="17" t="s">
        <v>870</v>
      </c>
      <c r="FQ59" s="17" t="s">
        <v>870</v>
      </c>
      <c r="FR59" s="17" t="s">
        <v>870</v>
      </c>
      <c r="FS59" s="17" t="s">
        <v>870</v>
      </c>
      <c r="FT59" s="17" t="s">
        <v>870</v>
      </c>
      <c r="FU59" s="17" t="s">
        <v>870</v>
      </c>
      <c r="FV59" s="17" t="s">
        <v>870</v>
      </c>
      <c r="FW59" s="17" t="s">
        <v>870</v>
      </c>
      <c r="FX59" s="17" t="s">
        <v>870</v>
      </c>
      <c r="FY59" s="17" t="s">
        <v>870</v>
      </c>
      <c r="FZ59" s="17" t="s">
        <v>870</v>
      </c>
      <c r="GA59" s="17" t="s">
        <v>870</v>
      </c>
      <c r="GB59" s="17" t="s">
        <v>870</v>
      </c>
      <c r="GC59" s="17" t="s">
        <v>870</v>
      </c>
      <c r="GD59" s="17" t="s">
        <v>870</v>
      </c>
      <c r="GE59" s="17" t="s">
        <v>870</v>
      </c>
      <c r="GF59" s="17" t="s">
        <v>870</v>
      </c>
      <c r="GG59" s="17" t="s">
        <v>870</v>
      </c>
      <c r="GH59" s="17" t="s">
        <v>870</v>
      </c>
      <c r="GI59" s="17" t="s">
        <v>870</v>
      </c>
      <c r="GJ59" s="17" t="s">
        <v>870</v>
      </c>
      <c r="GK59" s="17" t="s">
        <v>870</v>
      </c>
      <c r="GL59" s="17" t="s">
        <v>870</v>
      </c>
      <c r="GM59" s="17" t="s">
        <v>870</v>
      </c>
      <c r="GN59" s="17" t="s">
        <v>870</v>
      </c>
      <c r="GO59" s="17" t="s">
        <v>870</v>
      </c>
      <c r="GP59" s="17" t="s">
        <v>870</v>
      </c>
      <c r="GQ59" s="17" t="s">
        <v>870</v>
      </c>
      <c r="GR59" s="17" t="s">
        <v>870</v>
      </c>
      <c r="GS59" s="17" t="s">
        <v>870</v>
      </c>
      <c r="GT59" s="17" t="s">
        <v>870</v>
      </c>
      <c r="GU59" s="17" t="s">
        <v>870</v>
      </c>
      <c r="GV59" s="17" t="s">
        <v>870</v>
      </c>
      <c r="GW59" s="17" t="s">
        <v>870</v>
      </c>
      <c r="GX59" s="17" t="s">
        <v>870</v>
      </c>
      <c r="GY59" s="17" t="s">
        <v>870</v>
      </c>
      <c r="GZ59" s="17" t="s">
        <v>870</v>
      </c>
      <c r="HA59" s="17" t="s">
        <v>870</v>
      </c>
      <c r="HB59" s="17" t="s">
        <v>870</v>
      </c>
      <c r="HC59" s="17" t="s">
        <v>870</v>
      </c>
      <c r="HD59" s="17" t="s">
        <v>870</v>
      </c>
      <c r="HE59" s="17" t="s">
        <v>870</v>
      </c>
      <c r="HF59" s="17" t="s">
        <v>870</v>
      </c>
      <c r="HG59" s="17" t="s">
        <v>870</v>
      </c>
      <c r="HH59" s="17" t="s">
        <v>870</v>
      </c>
      <c r="HI59" s="17" t="s">
        <v>870</v>
      </c>
      <c r="HJ59" s="17" t="s">
        <v>870</v>
      </c>
      <c r="HK59" s="17" t="s">
        <v>870</v>
      </c>
      <c r="HL59" s="17" t="s">
        <v>870</v>
      </c>
      <c r="HM59" s="17" t="s">
        <v>870</v>
      </c>
      <c r="HN59" s="17" t="s">
        <v>870</v>
      </c>
      <c r="HO59" s="17" t="s">
        <v>870</v>
      </c>
      <c r="HP59" s="17" t="s">
        <v>870</v>
      </c>
      <c r="HQ59" s="17" t="s">
        <v>870</v>
      </c>
      <c r="HR59" s="17" t="s">
        <v>870</v>
      </c>
      <c r="HS59" s="17" t="s">
        <v>870</v>
      </c>
      <c r="HT59" s="17" t="s">
        <v>870</v>
      </c>
      <c r="HU59" s="17" t="s">
        <v>870</v>
      </c>
      <c r="HV59" s="17" t="s">
        <v>870</v>
      </c>
      <c r="HW59" s="17" t="s">
        <v>870</v>
      </c>
      <c r="HX59" s="17" t="s">
        <v>870</v>
      </c>
      <c r="HY59" s="17" t="s">
        <v>870</v>
      </c>
      <c r="HZ59" s="17" t="s">
        <v>870</v>
      </c>
      <c r="IA59" s="17" t="s">
        <v>870</v>
      </c>
      <c r="IB59" s="17" t="s">
        <v>870</v>
      </c>
      <c r="IC59" s="17" t="s">
        <v>870</v>
      </c>
      <c r="ID59" s="17" t="s">
        <v>870</v>
      </c>
      <c r="IE59" s="17" t="s">
        <v>870</v>
      </c>
      <c r="IF59" s="17" t="s">
        <v>870</v>
      </c>
      <c r="IG59" s="17" t="s">
        <v>870</v>
      </c>
      <c r="IH59" s="17" t="s">
        <v>870</v>
      </c>
      <c r="II59" s="17" t="s">
        <v>870</v>
      </c>
      <c r="IJ59" s="17" t="s">
        <v>870</v>
      </c>
      <c r="IK59" s="17" t="s">
        <v>870</v>
      </c>
      <c r="IL59" s="17" t="s">
        <v>870</v>
      </c>
      <c r="IM59" s="17" t="s">
        <v>870</v>
      </c>
      <c r="IN59" s="17" t="s">
        <v>870</v>
      </c>
      <c r="IO59" s="17" t="s">
        <v>870</v>
      </c>
      <c r="IP59" s="17" t="s">
        <v>870</v>
      </c>
      <c r="IQ59" s="17" t="s">
        <v>870</v>
      </c>
      <c r="IR59" s="17" t="s">
        <v>870</v>
      </c>
      <c r="IS59" s="17" t="s">
        <v>870</v>
      </c>
      <c r="IT59" s="17" t="s">
        <v>870</v>
      </c>
      <c r="IU59" s="17" t="s">
        <v>870</v>
      </c>
      <c r="IV59" s="17" t="s">
        <v>870</v>
      </c>
      <c r="IW59" s="17" t="s">
        <v>870</v>
      </c>
      <c r="IX59" s="17" t="s">
        <v>870</v>
      </c>
      <c r="IY59" s="17" t="s">
        <v>870</v>
      </c>
      <c r="IZ59" s="17" t="s">
        <v>870</v>
      </c>
      <c r="JA59" s="17" t="s">
        <v>870</v>
      </c>
      <c r="JB59" s="17" t="s">
        <v>870</v>
      </c>
      <c r="JC59" s="17" t="s">
        <v>870</v>
      </c>
      <c r="JD59" s="17" t="s">
        <v>870</v>
      </c>
      <c r="JE59" s="17" t="s">
        <v>870</v>
      </c>
      <c r="JF59" s="17" t="s">
        <v>870</v>
      </c>
      <c r="JG59" s="63"/>
      <c r="JH59" s="61" t="s">
        <v>2</v>
      </c>
      <c r="JI59" s="63"/>
      <c r="JJ59" s="63"/>
      <c r="JK59" s="62"/>
      <c r="JL59" s="63"/>
      <c r="JM59" s="63"/>
      <c r="JN59" s="63"/>
      <c r="JO59" s="63"/>
      <c r="JP59" s="63"/>
      <c r="JQ59" s="17" t="s">
        <v>870</v>
      </c>
      <c r="JR59" s="17" t="s">
        <v>870</v>
      </c>
      <c r="JS59" s="63"/>
      <c r="JT59" s="63"/>
    </row>
    <row r="60" spans="1:280" x14ac:dyDescent="0.25">
      <c r="A60" t="s">
        <v>1672</v>
      </c>
      <c r="B60" s="17" t="s">
        <v>870</v>
      </c>
      <c r="C60" s="17" t="s">
        <v>870</v>
      </c>
      <c r="D60" s="17" t="s">
        <v>870</v>
      </c>
      <c r="E60" s="17" t="s">
        <v>870</v>
      </c>
      <c r="F60" s="17" t="s">
        <v>870</v>
      </c>
      <c r="G60" s="17" t="s">
        <v>870</v>
      </c>
      <c r="H60" s="17" t="s">
        <v>870</v>
      </c>
      <c r="I60" s="17" t="s">
        <v>870</v>
      </c>
      <c r="J60" s="17" t="s">
        <v>870</v>
      </c>
      <c r="K60" s="17" t="s">
        <v>870</v>
      </c>
      <c r="L60" s="17" t="s">
        <v>870</v>
      </c>
      <c r="M60" s="17" t="s">
        <v>870</v>
      </c>
      <c r="N60" s="17" t="s">
        <v>870</v>
      </c>
      <c r="O60" s="17" t="s">
        <v>870</v>
      </c>
      <c r="P60" s="17" t="s">
        <v>870</v>
      </c>
      <c r="Q60" s="17" t="s">
        <v>870</v>
      </c>
      <c r="R60" s="17" t="s">
        <v>870</v>
      </c>
      <c r="S60" s="17" t="s">
        <v>870</v>
      </c>
      <c r="T60" s="17" t="s">
        <v>870</v>
      </c>
      <c r="U60" s="17" t="s">
        <v>870</v>
      </c>
      <c r="V60" s="17" t="s">
        <v>870</v>
      </c>
      <c r="W60" s="17" t="s">
        <v>870</v>
      </c>
      <c r="X60" s="17" t="s">
        <v>870</v>
      </c>
      <c r="Y60" s="17" t="s">
        <v>870</v>
      </c>
      <c r="Z60" s="17" t="s">
        <v>870</v>
      </c>
      <c r="AA60" s="17" t="s">
        <v>870</v>
      </c>
      <c r="AB60" s="17" t="s">
        <v>870</v>
      </c>
      <c r="AC60" s="17" t="s">
        <v>870</v>
      </c>
      <c r="AD60" s="17" t="s">
        <v>870</v>
      </c>
      <c r="AE60" s="17" t="s">
        <v>870</v>
      </c>
      <c r="AF60" s="17" t="s">
        <v>870</v>
      </c>
      <c r="AG60" s="17" t="s">
        <v>870</v>
      </c>
      <c r="AH60" s="17" t="s">
        <v>870</v>
      </c>
      <c r="AI60" s="17" t="s">
        <v>870</v>
      </c>
      <c r="AJ60" s="17" t="s">
        <v>870</v>
      </c>
      <c r="AK60" s="17" t="s">
        <v>870</v>
      </c>
      <c r="AL60" s="17" t="s">
        <v>870</v>
      </c>
      <c r="AM60" s="17" t="s">
        <v>870</v>
      </c>
      <c r="AN60" s="17" t="s">
        <v>870</v>
      </c>
      <c r="AO60" s="17" t="s">
        <v>870</v>
      </c>
      <c r="AP60" s="17" t="s">
        <v>870</v>
      </c>
      <c r="AQ60" s="17" t="s">
        <v>870</v>
      </c>
      <c r="AR60" s="17" t="s">
        <v>870</v>
      </c>
      <c r="AS60" s="17" t="s">
        <v>870</v>
      </c>
      <c r="AT60" s="17" t="s">
        <v>870</v>
      </c>
      <c r="AU60" s="17" t="s">
        <v>870</v>
      </c>
      <c r="AV60" s="17" t="s">
        <v>870</v>
      </c>
      <c r="AW60" s="17" t="s">
        <v>870</v>
      </c>
      <c r="AX60" s="17" t="s">
        <v>870</v>
      </c>
      <c r="AY60" s="17" t="s">
        <v>870</v>
      </c>
      <c r="AZ60" s="17" t="s">
        <v>870</v>
      </c>
      <c r="BA60" s="17" t="s">
        <v>870</v>
      </c>
      <c r="BB60" s="17" t="s">
        <v>870</v>
      </c>
      <c r="BC60" s="17" t="s">
        <v>870</v>
      </c>
      <c r="BD60" s="17" t="s">
        <v>870</v>
      </c>
      <c r="BE60" s="17" t="s">
        <v>870</v>
      </c>
      <c r="BF60" s="17" t="s">
        <v>870</v>
      </c>
      <c r="BG60" s="17" t="s">
        <v>870</v>
      </c>
      <c r="BH60" s="17" t="s">
        <v>870</v>
      </c>
      <c r="BI60" s="17" t="s">
        <v>870</v>
      </c>
      <c r="BJ60" s="17" t="s">
        <v>870</v>
      </c>
      <c r="BK60" s="17" t="s">
        <v>870</v>
      </c>
      <c r="BL60" s="17" t="s">
        <v>870</v>
      </c>
      <c r="BM60" s="17" t="s">
        <v>870</v>
      </c>
      <c r="BN60" s="17" t="s">
        <v>870</v>
      </c>
      <c r="BO60" s="17" t="s">
        <v>870</v>
      </c>
      <c r="BP60" s="17" t="s">
        <v>870</v>
      </c>
      <c r="BQ60" s="17" t="s">
        <v>870</v>
      </c>
      <c r="BR60" s="17" t="s">
        <v>870</v>
      </c>
      <c r="BS60" s="17" t="s">
        <v>870</v>
      </c>
      <c r="BT60" s="17" t="s">
        <v>870</v>
      </c>
      <c r="BU60" s="17" t="s">
        <v>870</v>
      </c>
      <c r="BV60" s="17" t="s">
        <v>870</v>
      </c>
      <c r="BW60" s="17" t="s">
        <v>870</v>
      </c>
      <c r="BX60" s="17" t="s">
        <v>870</v>
      </c>
      <c r="BY60" s="17" t="s">
        <v>870</v>
      </c>
      <c r="BZ60" s="17" t="s">
        <v>870</v>
      </c>
      <c r="CA60" s="17" t="s">
        <v>870</v>
      </c>
      <c r="CB60" s="17" t="s">
        <v>870</v>
      </c>
      <c r="CC60" s="17" t="s">
        <v>870</v>
      </c>
      <c r="CD60" s="17" t="s">
        <v>870</v>
      </c>
      <c r="CE60" s="17" t="s">
        <v>870</v>
      </c>
      <c r="CF60" s="17" t="s">
        <v>870</v>
      </c>
      <c r="CG60" s="17" t="s">
        <v>870</v>
      </c>
      <c r="CH60" s="17" t="s">
        <v>870</v>
      </c>
      <c r="CI60" s="17" t="s">
        <v>870</v>
      </c>
      <c r="CJ60" s="17" t="s">
        <v>870</v>
      </c>
      <c r="CK60" s="17" t="s">
        <v>870</v>
      </c>
      <c r="CL60" s="17" t="s">
        <v>870</v>
      </c>
      <c r="CM60" s="17" t="s">
        <v>870</v>
      </c>
      <c r="CN60" s="17" t="s">
        <v>870</v>
      </c>
      <c r="CO60" s="17" t="s">
        <v>870</v>
      </c>
      <c r="CP60" s="17" t="s">
        <v>870</v>
      </c>
      <c r="CQ60" s="17" t="s">
        <v>870</v>
      </c>
      <c r="CR60" s="17" t="s">
        <v>870</v>
      </c>
      <c r="CS60" s="17" t="s">
        <v>870</v>
      </c>
      <c r="CT60" s="17" t="s">
        <v>870</v>
      </c>
      <c r="CU60" s="17" t="s">
        <v>870</v>
      </c>
      <c r="CV60" s="17" t="s">
        <v>870</v>
      </c>
      <c r="CW60" s="17" t="s">
        <v>870</v>
      </c>
      <c r="CX60" s="17" t="s">
        <v>870</v>
      </c>
      <c r="CY60" s="17" t="s">
        <v>870</v>
      </c>
      <c r="CZ60" s="17" t="s">
        <v>870</v>
      </c>
      <c r="DA60" s="17" t="s">
        <v>870</v>
      </c>
      <c r="DB60" s="17" t="s">
        <v>870</v>
      </c>
      <c r="DC60" s="17" t="s">
        <v>870</v>
      </c>
      <c r="DD60" s="17" t="s">
        <v>870</v>
      </c>
      <c r="DE60" s="17" t="s">
        <v>870</v>
      </c>
      <c r="DF60" s="17" t="s">
        <v>870</v>
      </c>
      <c r="DG60" s="17" t="s">
        <v>870</v>
      </c>
      <c r="DH60" s="17" t="s">
        <v>870</v>
      </c>
      <c r="DI60" s="17" t="s">
        <v>870</v>
      </c>
      <c r="DJ60" s="17" t="s">
        <v>870</v>
      </c>
      <c r="DK60" s="17" t="s">
        <v>870</v>
      </c>
      <c r="DL60" s="17" t="s">
        <v>870</v>
      </c>
      <c r="DM60" s="17" t="s">
        <v>870</v>
      </c>
      <c r="DN60" s="17" t="s">
        <v>870</v>
      </c>
      <c r="DO60" s="17" t="s">
        <v>870</v>
      </c>
      <c r="DP60" s="17" t="s">
        <v>870</v>
      </c>
      <c r="DQ60" s="17" t="s">
        <v>870</v>
      </c>
      <c r="DR60" s="17" t="s">
        <v>870</v>
      </c>
      <c r="DS60" s="17" t="s">
        <v>870</v>
      </c>
      <c r="DT60" s="17" t="s">
        <v>870</v>
      </c>
      <c r="DU60" s="17" t="s">
        <v>870</v>
      </c>
      <c r="DV60" s="17" t="s">
        <v>870</v>
      </c>
      <c r="DW60" s="17" t="s">
        <v>870</v>
      </c>
      <c r="DX60" s="17" t="s">
        <v>870</v>
      </c>
      <c r="DY60" s="17" t="s">
        <v>870</v>
      </c>
      <c r="DZ60" s="17" t="s">
        <v>870</v>
      </c>
      <c r="EA60" s="17" t="s">
        <v>870</v>
      </c>
      <c r="EB60" s="17" t="s">
        <v>870</v>
      </c>
      <c r="EC60" s="17" t="s">
        <v>870</v>
      </c>
      <c r="ED60" s="17" t="s">
        <v>870</v>
      </c>
      <c r="EE60" s="17" t="s">
        <v>870</v>
      </c>
      <c r="EF60" s="17" t="s">
        <v>870</v>
      </c>
      <c r="EG60" s="17" t="s">
        <v>870</v>
      </c>
      <c r="EH60" s="17" t="s">
        <v>870</v>
      </c>
      <c r="EI60" s="17" t="s">
        <v>870</v>
      </c>
      <c r="EJ60" s="17" t="s">
        <v>870</v>
      </c>
      <c r="EK60" s="17" t="s">
        <v>870</v>
      </c>
      <c r="EL60" s="17" t="s">
        <v>870</v>
      </c>
      <c r="EM60" s="17" t="s">
        <v>870</v>
      </c>
      <c r="EN60" s="17" t="s">
        <v>870</v>
      </c>
      <c r="EO60" s="17" t="s">
        <v>870</v>
      </c>
      <c r="EP60" s="17" t="s">
        <v>870</v>
      </c>
      <c r="EQ60" s="17" t="s">
        <v>870</v>
      </c>
      <c r="ER60" s="17" t="s">
        <v>870</v>
      </c>
      <c r="ES60" s="17" t="s">
        <v>870</v>
      </c>
      <c r="ET60" s="17" t="s">
        <v>870</v>
      </c>
      <c r="EU60" s="17" t="s">
        <v>870</v>
      </c>
      <c r="EV60" s="17" t="s">
        <v>870</v>
      </c>
      <c r="EW60" s="17" t="s">
        <v>870</v>
      </c>
      <c r="EX60" s="17" t="s">
        <v>870</v>
      </c>
      <c r="EY60" s="17" t="s">
        <v>870</v>
      </c>
      <c r="EZ60" s="17" t="s">
        <v>870</v>
      </c>
      <c r="FA60" s="17" t="s">
        <v>870</v>
      </c>
      <c r="FB60" s="17" t="s">
        <v>870</v>
      </c>
      <c r="FC60" s="17" t="s">
        <v>870</v>
      </c>
      <c r="FD60" s="17" t="s">
        <v>870</v>
      </c>
      <c r="FE60" s="17" t="s">
        <v>870</v>
      </c>
      <c r="FF60" s="17" t="s">
        <v>870</v>
      </c>
      <c r="FG60" s="17" t="s">
        <v>870</v>
      </c>
      <c r="FH60" s="17" t="s">
        <v>870</v>
      </c>
      <c r="FI60" s="17" t="s">
        <v>870</v>
      </c>
      <c r="FJ60" s="17" t="s">
        <v>870</v>
      </c>
      <c r="FK60" s="17" t="s">
        <v>870</v>
      </c>
      <c r="FL60" s="17" t="s">
        <v>870</v>
      </c>
      <c r="FM60" s="17" t="s">
        <v>870</v>
      </c>
      <c r="FN60" s="17" t="s">
        <v>870</v>
      </c>
      <c r="FO60" s="17" t="s">
        <v>870</v>
      </c>
      <c r="FP60" s="17" t="s">
        <v>870</v>
      </c>
      <c r="FQ60" s="17" t="s">
        <v>870</v>
      </c>
      <c r="FR60" s="17" t="s">
        <v>870</v>
      </c>
      <c r="FS60" s="17" t="s">
        <v>870</v>
      </c>
      <c r="FT60" s="17" t="s">
        <v>870</v>
      </c>
      <c r="FU60" s="17" t="s">
        <v>870</v>
      </c>
      <c r="FV60" s="17" t="s">
        <v>870</v>
      </c>
      <c r="FW60" s="17" t="s">
        <v>870</v>
      </c>
      <c r="FX60" s="17" t="s">
        <v>870</v>
      </c>
      <c r="FY60" s="17" t="s">
        <v>870</v>
      </c>
      <c r="FZ60" s="17" t="s">
        <v>870</v>
      </c>
      <c r="GA60" s="17" t="s">
        <v>870</v>
      </c>
      <c r="GB60" s="17" t="s">
        <v>870</v>
      </c>
      <c r="GC60" s="17" t="s">
        <v>870</v>
      </c>
      <c r="GD60" s="17" t="s">
        <v>870</v>
      </c>
      <c r="GE60" s="17" t="s">
        <v>870</v>
      </c>
      <c r="GF60" s="17" t="s">
        <v>870</v>
      </c>
      <c r="GG60" s="17" t="s">
        <v>870</v>
      </c>
      <c r="GH60" s="17" t="s">
        <v>870</v>
      </c>
      <c r="GI60" s="17" t="s">
        <v>870</v>
      </c>
      <c r="GJ60" s="17" t="s">
        <v>870</v>
      </c>
      <c r="GK60" s="17" t="s">
        <v>870</v>
      </c>
      <c r="GL60" s="17" t="s">
        <v>870</v>
      </c>
      <c r="GM60" s="17" t="s">
        <v>870</v>
      </c>
      <c r="GN60" s="17" t="s">
        <v>870</v>
      </c>
      <c r="GO60" s="17" t="s">
        <v>870</v>
      </c>
      <c r="GP60" s="17" t="s">
        <v>870</v>
      </c>
      <c r="GQ60" s="17" t="s">
        <v>870</v>
      </c>
      <c r="GR60" s="17" t="s">
        <v>870</v>
      </c>
      <c r="GS60" s="17" t="s">
        <v>870</v>
      </c>
      <c r="GT60" s="17" t="s">
        <v>870</v>
      </c>
      <c r="GU60" s="17" t="s">
        <v>870</v>
      </c>
      <c r="GV60" s="17" t="s">
        <v>870</v>
      </c>
      <c r="GW60" s="17" t="s">
        <v>870</v>
      </c>
      <c r="GX60" s="17" t="s">
        <v>870</v>
      </c>
      <c r="GY60" s="17" t="s">
        <v>870</v>
      </c>
      <c r="GZ60" s="17" t="s">
        <v>870</v>
      </c>
      <c r="HA60" s="17" t="s">
        <v>870</v>
      </c>
      <c r="HB60" s="17" t="s">
        <v>870</v>
      </c>
      <c r="HC60" s="17" t="s">
        <v>870</v>
      </c>
      <c r="HD60" s="17" t="s">
        <v>870</v>
      </c>
      <c r="HE60" s="17" t="s">
        <v>870</v>
      </c>
      <c r="HF60" s="17" t="s">
        <v>870</v>
      </c>
      <c r="HG60" s="17" t="s">
        <v>870</v>
      </c>
      <c r="HH60" s="17" t="s">
        <v>870</v>
      </c>
      <c r="HI60" s="17" t="s">
        <v>870</v>
      </c>
      <c r="HJ60" s="17" t="s">
        <v>870</v>
      </c>
      <c r="HK60" s="17" t="s">
        <v>870</v>
      </c>
      <c r="HL60" s="17" t="s">
        <v>870</v>
      </c>
      <c r="HM60" s="17" t="s">
        <v>870</v>
      </c>
      <c r="HN60" s="17" t="s">
        <v>870</v>
      </c>
      <c r="HO60" s="17" t="s">
        <v>870</v>
      </c>
      <c r="HP60" s="17" t="s">
        <v>870</v>
      </c>
      <c r="HQ60" s="17" t="s">
        <v>870</v>
      </c>
      <c r="HR60" s="17" t="s">
        <v>870</v>
      </c>
      <c r="HS60" s="17" t="s">
        <v>870</v>
      </c>
      <c r="HT60" s="17" t="s">
        <v>870</v>
      </c>
      <c r="HU60" s="17" t="s">
        <v>870</v>
      </c>
      <c r="HV60" s="17" t="s">
        <v>870</v>
      </c>
      <c r="HW60" s="17" t="s">
        <v>870</v>
      </c>
      <c r="HX60" s="17" t="s">
        <v>870</v>
      </c>
      <c r="HY60" s="17" t="s">
        <v>870</v>
      </c>
      <c r="HZ60" s="17" t="s">
        <v>870</v>
      </c>
      <c r="IA60" s="17" t="s">
        <v>870</v>
      </c>
      <c r="IB60" s="17" t="s">
        <v>870</v>
      </c>
      <c r="IC60" s="17" t="s">
        <v>870</v>
      </c>
      <c r="ID60" s="17" t="s">
        <v>870</v>
      </c>
      <c r="IE60" s="17" t="s">
        <v>870</v>
      </c>
      <c r="IF60" s="17" t="s">
        <v>870</v>
      </c>
      <c r="IG60" s="17" t="s">
        <v>870</v>
      </c>
      <c r="IH60" s="17" t="s">
        <v>870</v>
      </c>
      <c r="II60" s="17" t="s">
        <v>870</v>
      </c>
      <c r="IJ60" s="17" t="s">
        <v>870</v>
      </c>
      <c r="IK60" s="17" t="s">
        <v>870</v>
      </c>
      <c r="IL60" s="17" t="s">
        <v>870</v>
      </c>
      <c r="IM60" s="17" t="s">
        <v>870</v>
      </c>
      <c r="IN60" s="17" t="s">
        <v>870</v>
      </c>
      <c r="IO60" s="17" t="s">
        <v>870</v>
      </c>
      <c r="IP60" s="17" t="s">
        <v>870</v>
      </c>
      <c r="IQ60" s="17" t="s">
        <v>870</v>
      </c>
      <c r="IR60" s="17" t="s">
        <v>870</v>
      </c>
      <c r="IS60" s="17" t="s">
        <v>870</v>
      </c>
      <c r="IT60" s="17" t="s">
        <v>870</v>
      </c>
      <c r="IU60" s="17" t="s">
        <v>870</v>
      </c>
      <c r="IV60" s="17" t="s">
        <v>870</v>
      </c>
      <c r="IW60" s="17" t="s">
        <v>870</v>
      </c>
      <c r="IX60" s="17" t="s">
        <v>870</v>
      </c>
      <c r="IY60" s="17" t="s">
        <v>870</v>
      </c>
      <c r="IZ60" s="17" t="s">
        <v>870</v>
      </c>
      <c r="JA60" s="17" t="s">
        <v>870</v>
      </c>
      <c r="JB60" s="17" t="s">
        <v>870</v>
      </c>
      <c r="JC60" s="17" t="s">
        <v>870</v>
      </c>
      <c r="JD60" s="17" t="s">
        <v>870</v>
      </c>
      <c r="JE60" s="17" t="s">
        <v>870</v>
      </c>
      <c r="JF60" s="17" t="s">
        <v>870</v>
      </c>
      <c r="JG60" s="17" t="s">
        <v>870</v>
      </c>
      <c r="JH60" s="17" t="s">
        <v>870</v>
      </c>
      <c r="JI60" s="17" t="s">
        <v>870</v>
      </c>
      <c r="JJ60" s="17" t="s">
        <v>870</v>
      </c>
      <c r="JK60" s="17" t="s">
        <v>870</v>
      </c>
      <c r="JL60" s="17" t="s">
        <v>870</v>
      </c>
      <c r="JM60" s="17" t="s">
        <v>870</v>
      </c>
      <c r="JN60" s="17" t="s">
        <v>870</v>
      </c>
      <c r="JO60" s="63"/>
      <c r="JP60" s="63"/>
      <c r="JQ60" s="63"/>
      <c r="JR60" s="63"/>
      <c r="JS60" s="17" t="s">
        <v>870</v>
      </c>
      <c r="JT60" s="17" t="s">
        <v>870</v>
      </c>
    </row>
    <row r="63" spans="1:280" x14ac:dyDescent="0.25">
      <c r="B63" s="101" t="s">
        <v>928</v>
      </c>
      <c r="C63" s="101"/>
      <c r="D63" s="101"/>
    </row>
    <row r="64" spans="1:280" x14ac:dyDescent="0.25">
      <c r="B64" s="18" t="s">
        <v>2</v>
      </c>
      <c r="C64" s="18" t="s">
        <v>4</v>
      </c>
      <c r="D64" s="18" t="s">
        <v>1</v>
      </c>
    </row>
    <row r="65" spans="1:4" x14ac:dyDescent="0.25">
      <c r="A65" t="s">
        <v>13</v>
      </c>
      <c r="B65" s="17">
        <v>14</v>
      </c>
      <c r="C65" s="17">
        <v>41</v>
      </c>
      <c r="D65" s="17">
        <v>66</v>
      </c>
    </row>
    <row r="66" spans="1:4" x14ac:dyDescent="0.25">
      <c r="A66" t="s">
        <v>8</v>
      </c>
      <c r="B66" s="17">
        <v>6</v>
      </c>
      <c r="C66" s="17">
        <v>31</v>
      </c>
      <c r="D66" s="17">
        <v>45</v>
      </c>
    </row>
    <row r="67" spans="1:4" x14ac:dyDescent="0.25">
      <c r="A67" t="s">
        <v>7</v>
      </c>
      <c r="B67" s="17">
        <v>23</v>
      </c>
      <c r="C67" s="17">
        <v>40</v>
      </c>
      <c r="D67" s="17">
        <v>31</v>
      </c>
    </row>
    <row r="68" spans="1:4" x14ac:dyDescent="0.25">
      <c r="A68" t="s">
        <v>10</v>
      </c>
      <c r="B68" s="17">
        <v>5</v>
      </c>
      <c r="C68" s="17">
        <v>12</v>
      </c>
      <c r="D68" s="17">
        <v>45</v>
      </c>
    </row>
    <row r="69" spans="1:4" x14ac:dyDescent="0.25">
      <c r="A69" t="s">
        <v>30</v>
      </c>
      <c r="B69" s="17">
        <v>5</v>
      </c>
      <c r="C69" s="17">
        <v>22</v>
      </c>
      <c r="D69" s="17">
        <v>51</v>
      </c>
    </row>
    <row r="70" spans="1:4" x14ac:dyDescent="0.25">
      <c r="A70" t="s">
        <v>39</v>
      </c>
      <c r="B70" s="17">
        <v>5</v>
      </c>
      <c r="C70" s="17">
        <v>9</v>
      </c>
      <c r="D70" s="17">
        <v>36</v>
      </c>
    </row>
    <row r="71" spans="1:4" x14ac:dyDescent="0.25">
      <c r="A71" t="s">
        <v>9</v>
      </c>
      <c r="B71" s="17">
        <v>5</v>
      </c>
      <c r="C71" s="17">
        <v>7</v>
      </c>
      <c r="D71" s="17">
        <v>29</v>
      </c>
    </row>
    <row r="72" spans="1:4" x14ac:dyDescent="0.25">
      <c r="A72" t="s">
        <v>14</v>
      </c>
      <c r="B72" s="17">
        <v>4</v>
      </c>
      <c r="C72" s="17">
        <v>7</v>
      </c>
      <c r="D72" s="17">
        <v>32</v>
      </c>
    </row>
    <row r="73" spans="1:4" x14ac:dyDescent="0.25">
      <c r="A73" t="s">
        <v>12</v>
      </c>
      <c r="B73" s="17">
        <v>5</v>
      </c>
      <c r="C73" s="17">
        <v>5</v>
      </c>
      <c r="D73" s="17">
        <v>66</v>
      </c>
    </row>
    <row r="74" spans="1:4" x14ac:dyDescent="0.25">
      <c r="A74" t="s">
        <v>6</v>
      </c>
      <c r="B74" s="17">
        <v>7</v>
      </c>
      <c r="C74" s="17">
        <v>19</v>
      </c>
      <c r="D74" s="17">
        <v>42</v>
      </c>
    </row>
    <row r="75" spans="1:4" x14ac:dyDescent="0.25">
      <c r="A75" t="s">
        <v>356</v>
      </c>
      <c r="B75" s="17">
        <v>11</v>
      </c>
      <c r="C75" s="17">
        <v>14</v>
      </c>
      <c r="D75" s="17">
        <v>16</v>
      </c>
    </row>
    <row r="76" spans="1:4" x14ac:dyDescent="0.25">
      <c r="A76" t="s">
        <v>16</v>
      </c>
      <c r="B76" s="17">
        <v>3</v>
      </c>
      <c r="C76" s="17">
        <v>10</v>
      </c>
      <c r="D76" s="17">
        <v>29</v>
      </c>
    </row>
    <row r="77" spans="1:4" x14ac:dyDescent="0.25">
      <c r="A77" t="s">
        <v>11</v>
      </c>
      <c r="B77" s="17">
        <v>6</v>
      </c>
      <c r="C77" s="17">
        <v>7</v>
      </c>
      <c r="D77" s="17">
        <v>59</v>
      </c>
    </row>
    <row r="78" spans="1:4" x14ac:dyDescent="0.25">
      <c r="A78" t="s">
        <v>225</v>
      </c>
      <c r="B78" s="17">
        <v>2</v>
      </c>
      <c r="C78" s="17">
        <v>4</v>
      </c>
      <c r="D78" s="17">
        <v>25</v>
      </c>
    </row>
    <row r="79" spans="1:4" x14ac:dyDescent="0.25">
      <c r="A79" t="s">
        <v>77</v>
      </c>
      <c r="B79" s="17">
        <v>4</v>
      </c>
      <c r="C79" s="17">
        <v>10</v>
      </c>
      <c r="D79" s="17">
        <v>13</v>
      </c>
    </row>
    <row r="80" spans="1:4" x14ac:dyDescent="0.25">
      <c r="A80" t="s">
        <v>15</v>
      </c>
      <c r="B80" s="17">
        <v>1</v>
      </c>
      <c r="C80" s="17">
        <v>6</v>
      </c>
      <c r="D80" s="17">
        <v>30</v>
      </c>
    </row>
    <row r="81" spans="1:4" x14ac:dyDescent="0.25">
      <c r="A81" t="s">
        <v>17</v>
      </c>
      <c r="B81" s="17">
        <v>3</v>
      </c>
      <c r="C81" s="17">
        <v>3</v>
      </c>
      <c r="D81" s="17">
        <v>18</v>
      </c>
    </row>
    <row r="82" spans="1:4" x14ac:dyDescent="0.25">
      <c r="A82" t="s">
        <v>290</v>
      </c>
      <c r="B82" s="17">
        <v>3</v>
      </c>
      <c r="C82" s="17">
        <v>5</v>
      </c>
      <c r="D82" s="17">
        <v>8</v>
      </c>
    </row>
    <row r="83" spans="1:4" x14ac:dyDescent="0.25">
      <c r="A83" t="s">
        <v>324</v>
      </c>
      <c r="B83" s="17">
        <v>10</v>
      </c>
      <c r="C83" s="17">
        <v>45</v>
      </c>
      <c r="D83" s="17">
        <v>38</v>
      </c>
    </row>
    <row r="84" spans="1:4" x14ac:dyDescent="0.25">
      <c r="A84" t="s">
        <v>23</v>
      </c>
      <c r="B84" s="17">
        <v>2</v>
      </c>
      <c r="C84" s="17">
        <v>2</v>
      </c>
      <c r="D84" s="17">
        <v>15</v>
      </c>
    </row>
    <row r="85" spans="1:4" x14ac:dyDescent="0.25">
      <c r="A85" t="s">
        <v>238</v>
      </c>
      <c r="B85" s="17">
        <v>2</v>
      </c>
      <c r="C85" s="17">
        <v>2</v>
      </c>
      <c r="D85" s="17">
        <v>2</v>
      </c>
    </row>
    <row r="86" spans="1:4" x14ac:dyDescent="0.25">
      <c r="A86" t="s">
        <v>75</v>
      </c>
      <c r="B86" s="17" t="s">
        <v>929</v>
      </c>
      <c r="C86" s="17">
        <v>1</v>
      </c>
      <c r="D86" s="17">
        <v>76</v>
      </c>
    </row>
    <row r="87" spans="1:4" x14ac:dyDescent="0.25">
      <c r="A87" t="s">
        <v>20</v>
      </c>
      <c r="B87" s="17">
        <v>1</v>
      </c>
      <c r="C87" s="17">
        <v>2</v>
      </c>
      <c r="D87" s="17">
        <v>4</v>
      </c>
    </row>
    <row r="88" spans="1:4" x14ac:dyDescent="0.25">
      <c r="A88" t="s">
        <v>24</v>
      </c>
      <c r="B88" s="17">
        <v>1</v>
      </c>
      <c r="C88" s="17">
        <v>2</v>
      </c>
      <c r="D88" s="17">
        <v>11</v>
      </c>
    </row>
    <row r="89" spans="1:4" x14ac:dyDescent="0.25">
      <c r="A89" t="s">
        <v>25</v>
      </c>
      <c r="B89" s="17">
        <v>1</v>
      </c>
      <c r="C89" s="17">
        <v>3</v>
      </c>
      <c r="D89" s="17">
        <v>7</v>
      </c>
    </row>
    <row r="90" spans="1:4" x14ac:dyDescent="0.25">
      <c r="A90" t="s">
        <v>19</v>
      </c>
      <c r="B90" s="17">
        <v>2</v>
      </c>
      <c r="C90" s="17">
        <v>2</v>
      </c>
      <c r="D90" s="17">
        <v>2</v>
      </c>
    </row>
    <row r="91" spans="1:4" x14ac:dyDescent="0.25">
      <c r="A91" t="s">
        <v>400</v>
      </c>
      <c r="B91" s="17">
        <v>1</v>
      </c>
      <c r="C91" s="17">
        <v>1</v>
      </c>
      <c r="D91" s="17">
        <v>2</v>
      </c>
    </row>
    <row r="92" spans="1:4" x14ac:dyDescent="0.25">
      <c r="A92" t="s">
        <v>18</v>
      </c>
      <c r="B92" s="17">
        <v>2</v>
      </c>
      <c r="C92" s="17">
        <v>2</v>
      </c>
      <c r="D92" s="17">
        <v>1</v>
      </c>
    </row>
    <row r="93" spans="1:4" x14ac:dyDescent="0.25">
      <c r="A93" t="s">
        <v>82</v>
      </c>
      <c r="B93" s="17">
        <v>1</v>
      </c>
      <c r="C93" s="17">
        <v>1</v>
      </c>
      <c r="D93" s="17">
        <v>4</v>
      </c>
    </row>
    <row r="94" spans="1:4" x14ac:dyDescent="0.25">
      <c r="A94" t="s">
        <v>26</v>
      </c>
      <c r="B94" s="17">
        <v>0</v>
      </c>
      <c r="C94" s="17">
        <v>2</v>
      </c>
      <c r="D94" s="17">
        <v>2</v>
      </c>
    </row>
    <row r="95" spans="1:4" x14ac:dyDescent="0.25">
      <c r="A95" t="s">
        <v>358</v>
      </c>
      <c r="B95" s="17">
        <v>3</v>
      </c>
      <c r="C95" s="17">
        <v>5</v>
      </c>
      <c r="D95" s="17">
        <v>24</v>
      </c>
    </row>
    <row r="96" spans="1:4" x14ac:dyDescent="0.25">
      <c r="A96" t="s">
        <v>255</v>
      </c>
      <c r="B96" s="17">
        <v>1</v>
      </c>
      <c r="C96" s="17">
        <v>2</v>
      </c>
      <c r="D96" s="17">
        <v>2</v>
      </c>
    </row>
    <row r="97" spans="1:4" x14ac:dyDescent="0.25">
      <c r="A97" t="s">
        <v>402</v>
      </c>
      <c r="B97" s="17">
        <v>0</v>
      </c>
      <c r="C97" s="17">
        <v>1</v>
      </c>
      <c r="D97" s="17">
        <v>2</v>
      </c>
    </row>
    <row r="98" spans="1:4" x14ac:dyDescent="0.25">
      <c r="A98" t="s">
        <v>22</v>
      </c>
      <c r="B98" s="17">
        <v>0</v>
      </c>
      <c r="C98" s="17">
        <v>1</v>
      </c>
      <c r="D98" s="17">
        <v>8</v>
      </c>
    </row>
    <row r="99" spans="1:4" x14ac:dyDescent="0.25">
      <c r="A99" t="s">
        <v>27</v>
      </c>
      <c r="B99" s="17">
        <v>1</v>
      </c>
      <c r="C99" s="17">
        <v>1</v>
      </c>
      <c r="D99" s="17">
        <v>3</v>
      </c>
    </row>
    <row r="100" spans="1:4" x14ac:dyDescent="0.25">
      <c r="A100" t="s">
        <v>91</v>
      </c>
      <c r="B100" s="17" t="s">
        <v>929</v>
      </c>
      <c r="C100" s="17">
        <v>0</v>
      </c>
      <c r="D100" s="17">
        <v>2</v>
      </c>
    </row>
    <row r="101" spans="1:4" x14ac:dyDescent="0.25">
      <c r="A101" t="s">
        <v>254</v>
      </c>
      <c r="B101" s="17">
        <v>0</v>
      </c>
      <c r="C101" s="17">
        <v>1</v>
      </c>
      <c r="D101" s="17">
        <v>4</v>
      </c>
    </row>
    <row r="102" spans="1:4" x14ac:dyDescent="0.25">
      <c r="A102" t="s">
        <v>28</v>
      </c>
      <c r="B102" s="17">
        <v>0</v>
      </c>
      <c r="C102" s="17">
        <v>0</v>
      </c>
      <c r="D102" s="17">
        <v>13</v>
      </c>
    </row>
    <row r="103" spans="1:4" x14ac:dyDescent="0.25">
      <c r="A103" t="s">
        <v>29</v>
      </c>
      <c r="B103" s="17">
        <v>0</v>
      </c>
      <c r="C103" s="17">
        <v>0</v>
      </c>
      <c r="D103" s="17">
        <v>5</v>
      </c>
    </row>
    <row r="104" spans="1:4" x14ac:dyDescent="0.25">
      <c r="A104" t="s">
        <v>21</v>
      </c>
      <c r="B104" s="17">
        <v>0</v>
      </c>
      <c r="C104" s="17">
        <v>0</v>
      </c>
      <c r="D104" s="17">
        <v>2</v>
      </c>
    </row>
    <row r="105" spans="1:4" x14ac:dyDescent="0.25">
      <c r="A105" t="s">
        <v>231</v>
      </c>
      <c r="B105" s="17" t="s">
        <v>929</v>
      </c>
      <c r="C105" s="17">
        <v>0</v>
      </c>
      <c r="D105" s="17">
        <v>4</v>
      </c>
    </row>
    <row r="106" spans="1:4" x14ac:dyDescent="0.25">
      <c r="A106" t="s">
        <v>35</v>
      </c>
      <c r="B106" s="17">
        <v>0</v>
      </c>
      <c r="C106" s="17">
        <v>0</v>
      </c>
      <c r="D106" s="17">
        <v>2</v>
      </c>
    </row>
    <row r="107" spans="1:4" x14ac:dyDescent="0.25">
      <c r="A107" t="s">
        <v>294</v>
      </c>
      <c r="B107" s="17" t="s">
        <v>929</v>
      </c>
      <c r="C107" s="17">
        <v>0</v>
      </c>
      <c r="D107" s="17">
        <v>4</v>
      </c>
    </row>
    <row r="108" spans="1:4" x14ac:dyDescent="0.25">
      <c r="A108" t="s">
        <v>34</v>
      </c>
      <c r="B108" s="17">
        <v>0</v>
      </c>
      <c r="C108" s="17">
        <v>0</v>
      </c>
      <c r="D108" s="17">
        <v>1</v>
      </c>
    </row>
    <row r="109" spans="1:4" x14ac:dyDescent="0.25">
      <c r="A109" t="s">
        <v>435</v>
      </c>
      <c r="B109" s="17" t="s">
        <v>929</v>
      </c>
      <c r="C109" s="17">
        <v>0</v>
      </c>
      <c r="D109" s="17">
        <v>4</v>
      </c>
    </row>
    <row r="110" spans="1:4" x14ac:dyDescent="0.25">
      <c r="A110" t="s">
        <v>36</v>
      </c>
      <c r="B110" s="17">
        <v>0</v>
      </c>
      <c r="C110" s="17">
        <v>0</v>
      </c>
      <c r="D110" s="17">
        <v>1</v>
      </c>
    </row>
    <row r="111" spans="1:4" x14ac:dyDescent="0.25">
      <c r="A111" t="s">
        <v>434</v>
      </c>
      <c r="B111" s="17">
        <v>1</v>
      </c>
      <c r="C111" s="17">
        <v>4</v>
      </c>
      <c r="D111" s="17">
        <v>6</v>
      </c>
    </row>
    <row r="112" spans="1:4" x14ac:dyDescent="0.25">
      <c r="A112" t="s">
        <v>438</v>
      </c>
      <c r="B112" s="17">
        <v>3</v>
      </c>
      <c r="C112" s="17">
        <v>5</v>
      </c>
      <c r="D112" s="17">
        <v>10</v>
      </c>
    </row>
    <row r="113" spans="1:4" x14ac:dyDescent="0.25">
      <c r="A113" t="s">
        <v>1178</v>
      </c>
      <c r="B113" s="17">
        <v>5</v>
      </c>
      <c r="C113" s="17">
        <v>12</v>
      </c>
      <c r="D113" s="17">
        <v>18</v>
      </c>
    </row>
    <row r="114" spans="1:4" x14ac:dyDescent="0.25">
      <c r="A114" t="s">
        <v>1188</v>
      </c>
      <c r="B114" s="17">
        <v>1</v>
      </c>
      <c r="C114" s="17">
        <v>4</v>
      </c>
      <c r="D114" s="17">
        <v>9</v>
      </c>
    </row>
    <row r="115" spans="1:4" x14ac:dyDescent="0.25">
      <c r="A115" t="s">
        <v>1193</v>
      </c>
      <c r="B115" s="17">
        <v>0</v>
      </c>
      <c r="C115" s="17">
        <v>0</v>
      </c>
      <c r="D115" s="17">
        <v>2</v>
      </c>
    </row>
    <row r="116" spans="1:4" x14ac:dyDescent="0.25">
      <c r="A116" t="s">
        <v>1191</v>
      </c>
      <c r="B116" s="17">
        <v>0</v>
      </c>
      <c r="C116" s="17">
        <v>0</v>
      </c>
      <c r="D116" s="17">
        <v>1</v>
      </c>
    </row>
    <row r="117" spans="1:4" x14ac:dyDescent="0.25">
      <c r="A117" t="s">
        <v>1182</v>
      </c>
      <c r="B117" s="17">
        <v>1</v>
      </c>
      <c r="C117" s="17">
        <v>2</v>
      </c>
      <c r="D117" s="17">
        <v>4</v>
      </c>
    </row>
    <row r="118" spans="1:4" x14ac:dyDescent="0.25">
      <c r="A118" t="s">
        <v>1473</v>
      </c>
      <c r="B118" s="17">
        <v>3</v>
      </c>
      <c r="C118" s="17">
        <v>8</v>
      </c>
      <c r="D118" s="17">
        <v>18</v>
      </c>
    </row>
    <row r="119" spans="1:4" x14ac:dyDescent="0.25">
      <c r="A119" t="s">
        <v>1474</v>
      </c>
      <c r="B119" s="17">
        <v>1</v>
      </c>
      <c r="C119" s="17">
        <v>1</v>
      </c>
      <c r="D119" s="17">
        <v>2</v>
      </c>
    </row>
    <row r="120" spans="1:4" x14ac:dyDescent="0.25">
      <c r="A120" t="s">
        <v>1369</v>
      </c>
      <c r="B120" s="17" t="s">
        <v>929</v>
      </c>
      <c r="C120" s="17">
        <v>0</v>
      </c>
      <c r="D120" s="17">
        <v>2</v>
      </c>
    </row>
    <row r="121" spans="1:4" x14ac:dyDescent="0.25">
      <c r="A121" t="s">
        <v>1518</v>
      </c>
      <c r="B121" s="17">
        <v>1</v>
      </c>
      <c r="C121" s="17">
        <v>1</v>
      </c>
      <c r="D121" s="17">
        <v>10</v>
      </c>
    </row>
    <row r="122" spans="1:4" x14ac:dyDescent="0.25">
      <c r="A122" t="s">
        <v>1672</v>
      </c>
      <c r="B122" s="17" t="s">
        <v>929</v>
      </c>
      <c r="C122" s="17">
        <v>0</v>
      </c>
      <c r="D122" s="17">
        <v>4</v>
      </c>
    </row>
  </sheetData>
  <mergeCells count="16">
    <mergeCell ref="JO1:KL1"/>
    <mergeCell ref="IQ1:JN1"/>
    <mergeCell ref="HS1:IP1"/>
    <mergeCell ref="GV1:HR1"/>
    <mergeCell ref="B63:D63"/>
    <mergeCell ref="EP1:FI1"/>
    <mergeCell ref="FJ1:FW1"/>
    <mergeCell ref="FX1:GA1"/>
    <mergeCell ref="GB1:GU1"/>
    <mergeCell ref="DR1:EO1"/>
    <mergeCell ref="B1:S1"/>
    <mergeCell ref="T1:AM1"/>
    <mergeCell ref="AN1:BE1"/>
    <mergeCell ref="BF1:BY1"/>
    <mergeCell ref="BZ1:CS1"/>
    <mergeCell ref="CT1:DQ1"/>
  </mergeCells>
  <phoneticPr fontId="10" type="noConversion"/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3:AI163"/>
  <sheetViews>
    <sheetView zoomScale="80" zoomScaleNormal="80" workbookViewId="0">
      <selection activeCell="AD107" sqref="AD107"/>
    </sheetView>
  </sheetViews>
  <sheetFormatPr defaultRowHeight="15" x14ac:dyDescent="0.25"/>
  <cols>
    <col min="2" max="2" width="3.28515625" bestFit="1" customWidth="1"/>
    <col min="3" max="3" width="4.42578125" customWidth="1"/>
    <col min="4" max="4" width="20" customWidth="1"/>
    <col min="5" max="5" width="6.5703125" customWidth="1"/>
    <col min="6" max="6" width="5.85546875" customWidth="1"/>
    <col min="7" max="7" width="6.140625" customWidth="1"/>
    <col min="8" max="8" width="10.7109375" customWidth="1"/>
    <col min="9" max="9" width="3.28515625" bestFit="1" customWidth="1"/>
    <col min="10" max="10" width="4.28515625" customWidth="1"/>
    <col min="11" max="11" width="23" customWidth="1"/>
    <col min="12" max="12" width="6.28515625" customWidth="1"/>
    <col min="13" max="13" width="5.42578125" customWidth="1"/>
    <col min="14" max="14" width="6.28515625" customWidth="1"/>
    <col min="15" max="15" width="6" customWidth="1"/>
    <col min="16" max="16" width="3.28515625" bestFit="1" customWidth="1"/>
    <col min="17" max="17" width="3.42578125" customWidth="1"/>
    <col min="18" max="18" width="17.28515625" customWidth="1"/>
    <col min="19" max="19" width="6" bestFit="1" customWidth="1"/>
    <col min="20" max="20" width="6.28515625" customWidth="1"/>
    <col min="21" max="21" width="6.7109375" customWidth="1"/>
    <col min="22" max="22" width="6.140625" customWidth="1"/>
    <col min="23" max="23" width="11.42578125" customWidth="1"/>
    <col min="24" max="24" width="11.5703125" customWidth="1"/>
    <col min="25" max="25" width="7.7109375" customWidth="1"/>
    <col min="26" max="26" width="11.28515625" customWidth="1"/>
  </cols>
  <sheetData>
    <row r="3" spans="2:19" x14ac:dyDescent="0.25">
      <c r="D3" s="11" t="s">
        <v>74</v>
      </c>
      <c r="K3" s="11" t="s">
        <v>76</v>
      </c>
      <c r="R3" s="11" t="s">
        <v>97</v>
      </c>
    </row>
    <row r="4" spans="2:19" x14ac:dyDescent="0.25">
      <c r="D4" s="18" t="s">
        <v>0</v>
      </c>
      <c r="E4" s="11" t="s">
        <v>2</v>
      </c>
      <c r="F4" s="11" t="s">
        <v>3</v>
      </c>
      <c r="G4" s="51" t="s">
        <v>4</v>
      </c>
      <c r="K4" s="18" t="s">
        <v>0</v>
      </c>
      <c r="L4" s="11" t="s">
        <v>2</v>
      </c>
      <c r="M4" s="11" t="s">
        <v>3</v>
      </c>
      <c r="N4" s="51" t="s">
        <v>4</v>
      </c>
      <c r="R4" s="18" t="s">
        <v>0</v>
      </c>
      <c r="S4" s="51" t="s">
        <v>98</v>
      </c>
    </row>
    <row r="5" spans="2:19" x14ac:dyDescent="0.25">
      <c r="B5" s="12">
        <v>1</v>
      </c>
      <c r="D5" t="s">
        <v>22</v>
      </c>
      <c r="E5" s="22">
        <v>7</v>
      </c>
      <c r="F5" s="22">
        <v>8</v>
      </c>
      <c r="G5" s="52">
        <f t="shared" ref="G5:G41" si="0">E5+F5</f>
        <v>15</v>
      </c>
      <c r="I5" s="9">
        <v>1</v>
      </c>
      <c r="K5" t="s">
        <v>13</v>
      </c>
      <c r="L5" s="22">
        <v>5</v>
      </c>
      <c r="M5" s="22">
        <v>5</v>
      </c>
      <c r="N5" s="52">
        <f t="shared" ref="N5:N28" si="1">L5+M5</f>
        <v>10</v>
      </c>
      <c r="P5" s="9">
        <v>1</v>
      </c>
      <c r="R5" t="s">
        <v>13</v>
      </c>
      <c r="S5" s="52">
        <v>16</v>
      </c>
    </row>
    <row r="6" spans="2:19" x14ac:dyDescent="0.25">
      <c r="B6" s="12">
        <v>2</v>
      </c>
      <c r="D6" t="s">
        <v>13</v>
      </c>
      <c r="E6" s="22">
        <v>10</v>
      </c>
      <c r="F6" s="22">
        <v>4</v>
      </c>
      <c r="G6" s="52">
        <f t="shared" si="0"/>
        <v>14</v>
      </c>
      <c r="I6" s="9">
        <v>2</v>
      </c>
      <c r="K6" t="s">
        <v>7</v>
      </c>
      <c r="L6" s="22">
        <v>5</v>
      </c>
      <c r="M6" s="22">
        <v>1</v>
      </c>
      <c r="N6" s="52">
        <f t="shared" si="1"/>
        <v>6</v>
      </c>
      <c r="P6" s="9">
        <v>2</v>
      </c>
      <c r="R6" t="s">
        <v>7</v>
      </c>
      <c r="S6" s="52">
        <v>14</v>
      </c>
    </row>
    <row r="7" spans="2:19" x14ac:dyDescent="0.25">
      <c r="B7" s="12">
        <v>3</v>
      </c>
      <c r="D7" t="s">
        <v>7</v>
      </c>
      <c r="E7" s="22">
        <v>7</v>
      </c>
      <c r="F7" s="22">
        <v>4</v>
      </c>
      <c r="G7" s="52">
        <f t="shared" si="0"/>
        <v>11</v>
      </c>
      <c r="I7" s="9">
        <v>3</v>
      </c>
      <c r="K7" t="s">
        <v>30</v>
      </c>
      <c r="L7" s="22">
        <v>1</v>
      </c>
      <c r="M7" s="22">
        <v>2</v>
      </c>
      <c r="N7" s="52">
        <f t="shared" si="1"/>
        <v>3</v>
      </c>
      <c r="P7" s="9">
        <v>3</v>
      </c>
      <c r="R7" t="s">
        <v>34</v>
      </c>
      <c r="S7" s="52">
        <v>4</v>
      </c>
    </row>
    <row r="8" spans="2:19" x14ac:dyDescent="0.25">
      <c r="B8" s="12">
        <v>4</v>
      </c>
      <c r="D8" t="s">
        <v>324</v>
      </c>
      <c r="E8" s="22">
        <v>2</v>
      </c>
      <c r="F8" s="22">
        <v>8</v>
      </c>
      <c r="G8" s="52">
        <f t="shared" si="0"/>
        <v>10</v>
      </c>
      <c r="I8" s="9">
        <v>4</v>
      </c>
      <c r="K8" t="s">
        <v>34</v>
      </c>
      <c r="L8" s="22">
        <v>2</v>
      </c>
      <c r="M8" s="22">
        <v>0</v>
      </c>
      <c r="N8" s="52">
        <f t="shared" si="1"/>
        <v>2</v>
      </c>
      <c r="P8" s="9">
        <v>4</v>
      </c>
      <c r="R8" t="s">
        <v>434</v>
      </c>
      <c r="S8" s="52">
        <v>4</v>
      </c>
    </row>
    <row r="9" spans="2:19" x14ac:dyDescent="0.25">
      <c r="B9" s="12">
        <v>5</v>
      </c>
      <c r="D9" t="s">
        <v>30</v>
      </c>
      <c r="E9" s="22">
        <v>3</v>
      </c>
      <c r="F9" s="22">
        <v>5</v>
      </c>
      <c r="G9" s="52">
        <f t="shared" si="0"/>
        <v>8</v>
      </c>
      <c r="I9" s="9">
        <v>5</v>
      </c>
      <c r="K9" t="s">
        <v>358</v>
      </c>
      <c r="L9" s="22">
        <v>2</v>
      </c>
      <c r="M9" s="22">
        <v>0</v>
      </c>
      <c r="N9" s="52">
        <f t="shared" si="1"/>
        <v>2</v>
      </c>
      <c r="P9" s="9">
        <v>5</v>
      </c>
      <c r="R9" t="s">
        <v>324</v>
      </c>
      <c r="S9" s="52">
        <v>3</v>
      </c>
    </row>
    <row r="10" spans="2:19" x14ac:dyDescent="0.25">
      <c r="B10" s="12">
        <v>6</v>
      </c>
      <c r="D10" t="s">
        <v>434</v>
      </c>
      <c r="E10" s="22">
        <v>5</v>
      </c>
      <c r="F10" s="22">
        <v>0</v>
      </c>
      <c r="G10" s="52">
        <f t="shared" si="0"/>
        <v>5</v>
      </c>
      <c r="I10" s="9">
        <v>6</v>
      </c>
      <c r="K10" t="s">
        <v>324</v>
      </c>
      <c r="L10" s="22">
        <v>1</v>
      </c>
      <c r="M10" s="22">
        <v>1</v>
      </c>
      <c r="N10" s="52">
        <f t="shared" si="1"/>
        <v>2</v>
      </c>
      <c r="P10" s="9">
        <v>6</v>
      </c>
      <c r="R10" t="s">
        <v>358</v>
      </c>
      <c r="S10" s="52">
        <v>3</v>
      </c>
    </row>
    <row r="11" spans="2:19" x14ac:dyDescent="0.25">
      <c r="B11" s="12">
        <v>7</v>
      </c>
      <c r="D11" t="s">
        <v>226</v>
      </c>
      <c r="E11" s="22">
        <v>1</v>
      </c>
      <c r="F11" s="22">
        <v>4</v>
      </c>
      <c r="G11" s="52">
        <f t="shared" si="0"/>
        <v>5</v>
      </c>
      <c r="I11" s="9">
        <v>7</v>
      </c>
      <c r="K11" t="s">
        <v>18</v>
      </c>
      <c r="L11" s="22">
        <v>0</v>
      </c>
      <c r="M11" s="22">
        <v>2</v>
      </c>
      <c r="N11" s="52">
        <f t="shared" si="1"/>
        <v>2</v>
      </c>
      <c r="P11" s="9">
        <v>7</v>
      </c>
      <c r="R11" t="s">
        <v>31</v>
      </c>
      <c r="S11" s="52">
        <v>2</v>
      </c>
    </row>
    <row r="12" spans="2:19" x14ac:dyDescent="0.25">
      <c r="B12" s="12">
        <v>8</v>
      </c>
      <c r="D12" t="s">
        <v>35</v>
      </c>
      <c r="E12" s="22">
        <v>3</v>
      </c>
      <c r="F12" s="22">
        <v>1</v>
      </c>
      <c r="G12" s="52">
        <f t="shared" si="0"/>
        <v>4</v>
      </c>
      <c r="I12" s="9">
        <v>8</v>
      </c>
      <c r="K12" t="s">
        <v>15</v>
      </c>
      <c r="L12" s="22">
        <v>0</v>
      </c>
      <c r="M12" s="22">
        <v>2</v>
      </c>
      <c r="N12" s="52">
        <f t="shared" si="1"/>
        <v>2</v>
      </c>
      <c r="P12" s="9">
        <v>8</v>
      </c>
      <c r="R12" t="s">
        <v>19</v>
      </c>
      <c r="S12" s="52">
        <v>2</v>
      </c>
    </row>
    <row r="13" spans="2:19" x14ac:dyDescent="0.25">
      <c r="B13" s="12">
        <v>9</v>
      </c>
      <c r="D13" t="s">
        <v>12</v>
      </c>
      <c r="E13" s="22">
        <v>3</v>
      </c>
      <c r="F13" s="22">
        <v>1</v>
      </c>
      <c r="G13" s="52">
        <f t="shared" si="0"/>
        <v>4</v>
      </c>
      <c r="I13" s="9">
        <v>9</v>
      </c>
      <c r="K13" t="s">
        <v>19</v>
      </c>
      <c r="L13" s="22">
        <v>1</v>
      </c>
      <c r="M13" s="22">
        <v>0</v>
      </c>
      <c r="N13" s="52">
        <f t="shared" si="1"/>
        <v>1</v>
      </c>
      <c r="P13" s="9">
        <v>9</v>
      </c>
      <c r="R13" t="s">
        <v>77</v>
      </c>
      <c r="S13" s="52">
        <v>2</v>
      </c>
    </row>
    <row r="14" spans="2:19" x14ac:dyDescent="0.25">
      <c r="B14" s="12">
        <v>10</v>
      </c>
      <c r="D14" t="s">
        <v>39</v>
      </c>
      <c r="E14" s="22">
        <v>2</v>
      </c>
      <c r="F14" s="22">
        <v>2</v>
      </c>
      <c r="G14" s="52">
        <f t="shared" si="0"/>
        <v>4</v>
      </c>
      <c r="I14" s="9">
        <v>10</v>
      </c>
      <c r="K14" t="s">
        <v>16</v>
      </c>
      <c r="L14" s="22">
        <v>1</v>
      </c>
      <c r="M14" s="22">
        <v>0</v>
      </c>
      <c r="N14" s="52">
        <f t="shared" si="1"/>
        <v>1</v>
      </c>
      <c r="P14" s="9">
        <v>10</v>
      </c>
      <c r="R14" t="s">
        <v>82</v>
      </c>
      <c r="S14" s="52">
        <v>2</v>
      </c>
    </row>
    <row r="15" spans="2:19" x14ac:dyDescent="0.25">
      <c r="B15" s="12">
        <v>11</v>
      </c>
      <c r="D15" t="s">
        <v>225</v>
      </c>
      <c r="E15" s="22">
        <v>2</v>
      </c>
      <c r="F15" s="22">
        <v>2</v>
      </c>
      <c r="G15" s="52">
        <f t="shared" si="0"/>
        <v>4</v>
      </c>
      <c r="I15" s="9">
        <v>11</v>
      </c>
      <c r="K15" t="s">
        <v>37</v>
      </c>
      <c r="L15" s="22">
        <v>1</v>
      </c>
      <c r="M15" s="22">
        <v>0</v>
      </c>
      <c r="N15" s="52">
        <f t="shared" si="1"/>
        <v>1</v>
      </c>
      <c r="P15" s="9">
        <v>11</v>
      </c>
      <c r="R15" t="s">
        <v>30</v>
      </c>
      <c r="S15" s="52">
        <v>2</v>
      </c>
    </row>
    <row r="16" spans="2:19" x14ac:dyDescent="0.25">
      <c r="B16" s="12">
        <v>12</v>
      </c>
      <c r="D16" t="s">
        <v>9</v>
      </c>
      <c r="E16" s="22">
        <v>2</v>
      </c>
      <c r="F16" s="22">
        <v>2</v>
      </c>
      <c r="G16" s="52">
        <f t="shared" si="0"/>
        <v>4</v>
      </c>
      <c r="I16" s="9">
        <v>12</v>
      </c>
      <c r="K16" t="s">
        <v>77</v>
      </c>
      <c r="L16" s="22">
        <v>1</v>
      </c>
      <c r="M16" s="22">
        <v>0</v>
      </c>
      <c r="N16" s="52">
        <f t="shared" si="1"/>
        <v>1</v>
      </c>
      <c r="P16" s="9">
        <v>12</v>
      </c>
      <c r="R16" t="s">
        <v>203</v>
      </c>
      <c r="S16" s="52">
        <v>2</v>
      </c>
    </row>
    <row r="17" spans="2:19" x14ac:dyDescent="0.25">
      <c r="B17" s="12">
        <v>13</v>
      </c>
      <c r="D17" t="s">
        <v>20</v>
      </c>
      <c r="E17" s="22">
        <v>1</v>
      </c>
      <c r="F17" s="22">
        <v>3</v>
      </c>
      <c r="G17" s="52">
        <f t="shared" si="0"/>
        <v>4</v>
      </c>
      <c r="I17" s="9">
        <v>13</v>
      </c>
      <c r="K17" t="s">
        <v>225</v>
      </c>
      <c r="L17" s="22">
        <v>1</v>
      </c>
      <c r="M17" s="22">
        <v>0</v>
      </c>
      <c r="N17" s="52">
        <f t="shared" si="1"/>
        <v>1</v>
      </c>
      <c r="P17" s="9">
        <v>13</v>
      </c>
      <c r="R17" t="s">
        <v>8</v>
      </c>
      <c r="S17" s="52">
        <v>2</v>
      </c>
    </row>
    <row r="18" spans="2:19" x14ac:dyDescent="0.25">
      <c r="B18" s="12">
        <v>14</v>
      </c>
      <c r="D18" t="s">
        <v>36</v>
      </c>
      <c r="E18" s="22">
        <v>1</v>
      </c>
      <c r="F18" s="22">
        <v>3</v>
      </c>
      <c r="G18" s="52">
        <f t="shared" si="0"/>
        <v>4</v>
      </c>
      <c r="I18" s="9">
        <v>14</v>
      </c>
      <c r="K18" t="s">
        <v>1178</v>
      </c>
      <c r="L18" s="22">
        <v>1</v>
      </c>
      <c r="M18" s="22">
        <v>0</v>
      </c>
      <c r="N18" s="52">
        <f t="shared" si="1"/>
        <v>1</v>
      </c>
      <c r="P18" s="9">
        <v>14</v>
      </c>
      <c r="R18" t="s">
        <v>1178</v>
      </c>
      <c r="S18" s="52">
        <v>2</v>
      </c>
    </row>
    <row r="19" spans="2:19" x14ac:dyDescent="0.25">
      <c r="B19" s="12">
        <v>15</v>
      </c>
      <c r="D19" t="s">
        <v>232</v>
      </c>
      <c r="E19" s="22">
        <v>1</v>
      </c>
      <c r="F19" s="22">
        <v>3</v>
      </c>
      <c r="G19" s="52">
        <f t="shared" si="0"/>
        <v>4</v>
      </c>
      <c r="I19" s="9">
        <v>15</v>
      </c>
      <c r="K19" t="s">
        <v>434</v>
      </c>
      <c r="L19" s="22">
        <v>1</v>
      </c>
      <c r="M19" s="22">
        <v>0</v>
      </c>
      <c r="N19" s="52">
        <f t="shared" si="1"/>
        <v>1</v>
      </c>
      <c r="P19" s="9">
        <v>15</v>
      </c>
      <c r="R19" t="s">
        <v>37</v>
      </c>
      <c r="S19" s="52">
        <v>1</v>
      </c>
    </row>
    <row r="20" spans="2:19" x14ac:dyDescent="0.25">
      <c r="B20" s="12">
        <v>16</v>
      </c>
      <c r="D20" t="s">
        <v>17</v>
      </c>
      <c r="E20" s="22">
        <v>2</v>
      </c>
      <c r="F20" s="22">
        <v>1</v>
      </c>
      <c r="G20" s="52">
        <f t="shared" si="0"/>
        <v>3</v>
      </c>
      <c r="I20" s="9">
        <v>16</v>
      </c>
      <c r="K20" t="s">
        <v>1182</v>
      </c>
      <c r="L20" s="22">
        <v>1</v>
      </c>
      <c r="M20" s="22">
        <v>0</v>
      </c>
      <c r="N20" s="52">
        <f t="shared" si="1"/>
        <v>1</v>
      </c>
      <c r="P20" s="9">
        <v>16</v>
      </c>
      <c r="R20" t="s">
        <v>18</v>
      </c>
      <c r="S20" s="52">
        <v>1</v>
      </c>
    </row>
    <row r="21" spans="2:19" x14ac:dyDescent="0.25">
      <c r="B21" s="12">
        <v>17</v>
      </c>
      <c r="D21" t="s">
        <v>8</v>
      </c>
      <c r="E21" s="22">
        <v>2</v>
      </c>
      <c r="F21" s="22">
        <v>1</v>
      </c>
      <c r="G21" s="52">
        <f t="shared" si="0"/>
        <v>3</v>
      </c>
      <c r="I21" s="9">
        <v>17</v>
      </c>
      <c r="K21" t="s">
        <v>1696</v>
      </c>
      <c r="L21" s="22">
        <v>1</v>
      </c>
      <c r="M21" s="22">
        <v>0</v>
      </c>
      <c r="N21" s="52">
        <f t="shared" si="1"/>
        <v>1</v>
      </c>
      <c r="P21" s="9">
        <v>17</v>
      </c>
      <c r="R21" t="s">
        <v>16</v>
      </c>
      <c r="S21" s="52">
        <v>1</v>
      </c>
    </row>
    <row r="22" spans="2:19" x14ac:dyDescent="0.25">
      <c r="B22" s="12">
        <v>18</v>
      </c>
      <c r="D22" t="s">
        <v>358</v>
      </c>
      <c r="E22" s="22">
        <v>2</v>
      </c>
      <c r="F22" s="22">
        <v>1</v>
      </c>
      <c r="G22" s="52">
        <f t="shared" si="0"/>
        <v>3</v>
      </c>
      <c r="I22" s="9">
        <v>18</v>
      </c>
      <c r="K22" t="s">
        <v>12</v>
      </c>
      <c r="L22" s="22">
        <v>0</v>
      </c>
      <c r="M22" s="22">
        <v>1</v>
      </c>
      <c r="N22" s="52">
        <f t="shared" si="1"/>
        <v>1</v>
      </c>
      <c r="P22" s="9">
        <v>18</v>
      </c>
      <c r="R22" t="s">
        <v>225</v>
      </c>
      <c r="S22" s="52">
        <v>1</v>
      </c>
    </row>
    <row r="23" spans="2:19" x14ac:dyDescent="0.25">
      <c r="B23" s="12">
        <v>19</v>
      </c>
      <c r="D23" t="s">
        <v>34</v>
      </c>
      <c r="E23" s="22">
        <v>1</v>
      </c>
      <c r="F23" s="22">
        <v>2</v>
      </c>
      <c r="G23" s="52">
        <f t="shared" si="0"/>
        <v>3</v>
      </c>
      <c r="I23" s="9">
        <v>19</v>
      </c>
      <c r="K23" t="s">
        <v>11</v>
      </c>
      <c r="L23" s="22">
        <v>0</v>
      </c>
      <c r="M23" s="22">
        <v>1</v>
      </c>
      <c r="N23" s="52">
        <f t="shared" si="1"/>
        <v>1</v>
      </c>
      <c r="P23" s="9">
        <v>19</v>
      </c>
      <c r="R23" t="s">
        <v>20</v>
      </c>
      <c r="S23" s="52">
        <v>1</v>
      </c>
    </row>
    <row r="24" spans="2:19" x14ac:dyDescent="0.25">
      <c r="B24" s="12">
        <v>20</v>
      </c>
      <c r="D24" t="s">
        <v>255</v>
      </c>
      <c r="E24" s="22">
        <v>2</v>
      </c>
      <c r="F24" s="22">
        <v>0</v>
      </c>
      <c r="G24" s="52">
        <f t="shared" si="0"/>
        <v>2</v>
      </c>
      <c r="I24" s="9">
        <v>20</v>
      </c>
      <c r="K24" t="s">
        <v>226</v>
      </c>
      <c r="L24" s="22">
        <v>0</v>
      </c>
      <c r="M24" s="22">
        <v>1</v>
      </c>
      <c r="N24" s="52">
        <f t="shared" si="1"/>
        <v>1</v>
      </c>
      <c r="P24" s="9">
        <v>20</v>
      </c>
      <c r="R24" t="s">
        <v>356</v>
      </c>
      <c r="S24" s="52">
        <v>1</v>
      </c>
    </row>
    <row r="25" spans="2:19" x14ac:dyDescent="0.25">
      <c r="B25" s="12">
        <v>21</v>
      </c>
      <c r="D25" t="s">
        <v>18</v>
      </c>
      <c r="E25" s="22">
        <v>1</v>
      </c>
      <c r="F25" s="22">
        <v>1</v>
      </c>
      <c r="G25" s="52">
        <f t="shared" si="0"/>
        <v>2</v>
      </c>
      <c r="I25" s="9">
        <v>21</v>
      </c>
      <c r="K25" t="s">
        <v>294</v>
      </c>
      <c r="L25" s="22">
        <v>0</v>
      </c>
      <c r="M25" s="22">
        <v>1</v>
      </c>
      <c r="N25" s="52">
        <f t="shared" si="1"/>
        <v>1</v>
      </c>
      <c r="P25" s="9">
        <v>21</v>
      </c>
      <c r="R25" t="s">
        <v>14</v>
      </c>
      <c r="S25" s="52">
        <v>1</v>
      </c>
    </row>
    <row r="26" spans="2:19" x14ac:dyDescent="0.25">
      <c r="B26" s="12">
        <v>22</v>
      </c>
      <c r="D26" t="s">
        <v>203</v>
      </c>
      <c r="E26" s="22">
        <v>1</v>
      </c>
      <c r="F26" s="22">
        <v>1</v>
      </c>
      <c r="G26" s="52">
        <f t="shared" si="0"/>
        <v>2</v>
      </c>
      <c r="I26" s="9">
        <v>22</v>
      </c>
      <c r="K26" t="s">
        <v>17</v>
      </c>
      <c r="L26" s="22">
        <v>0</v>
      </c>
      <c r="M26" s="22">
        <v>1</v>
      </c>
      <c r="N26" s="52">
        <f t="shared" si="1"/>
        <v>1</v>
      </c>
      <c r="P26" s="9">
        <v>22</v>
      </c>
      <c r="R26" t="s">
        <v>36</v>
      </c>
      <c r="S26" s="52">
        <v>1</v>
      </c>
    </row>
    <row r="27" spans="2:19" x14ac:dyDescent="0.25">
      <c r="B27" s="12">
        <v>23</v>
      </c>
      <c r="D27" t="s">
        <v>1188</v>
      </c>
      <c r="E27" s="22">
        <v>1</v>
      </c>
      <c r="F27" s="22">
        <v>1</v>
      </c>
      <c r="G27" s="52">
        <f t="shared" si="0"/>
        <v>2</v>
      </c>
      <c r="I27" s="9">
        <v>23</v>
      </c>
      <c r="K27" t="s">
        <v>22</v>
      </c>
      <c r="L27" s="22">
        <v>0</v>
      </c>
      <c r="M27" s="22">
        <v>1</v>
      </c>
      <c r="N27" s="52">
        <f t="shared" si="1"/>
        <v>1</v>
      </c>
      <c r="P27" s="9">
        <v>23</v>
      </c>
      <c r="R27" t="s">
        <v>438</v>
      </c>
      <c r="S27" s="52">
        <v>1</v>
      </c>
    </row>
    <row r="28" spans="2:19" x14ac:dyDescent="0.25">
      <c r="B28" s="12">
        <v>24</v>
      </c>
      <c r="D28" t="s">
        <v>16</v>
      </c>
      <c r="E28" s="22">
        <v>0</v>
      </c>
      <c r="F28" s="22">
        <v>2</v>
      </c>
      <c r="G28" s="52">
        <f t="shared" si="0"/>
        <v>2</v>
      </c>
      <c r="I28" s="9">
        <v>24</v>
      </c>
      <c r="K28" t="s">
        <v>39</v>
      </c>
      <c r="L28" s="22">
        <v>0</v>
      </c>
      <c r="M28" s="22">
        <v>1</v>
      </c>
      <c r="N28" s="52">
        <f t="shared" si="1"/>
        <v>1</v>
      </c>
    </row>
    <row r="29" spans="2:19" x14ac:dyDescent="0.25">
      <c r="B29" s="12">
        <v>25</v>
      </c>
      <c r="D29" t="s">
        <v>31</v>
      </c>
      <c r="E29" s="22">
        <v>1</v>
      </c>
      <c r="F29" s="22">
        <v>0</v>
      </c>
      <c r="G29" s="52">
        <f t="shared" si="0"/>
        <v>1</v>
      </c>
    </row>
    <row r="30" spans="2:19" x14ac:dyDescent="0.25">
      <c r="B30" s="12">
        <v>26</v>
      </c>
      <c r="D30" t="s">
        <v>21</v>
      </c>
      <c r="E30" s="22">
        <v>1</v>
      </c>
      <c r="F30" s="22">
        <v>0</v>
      </c>
      <c r="G30" s="52">
        <f t="shared" si="0"/>
        <v>1</v>
      </c>
    </row>
    <row r="31" spans="2:19" x14ac:dyDescent="0.25">
      <c r="B31" s="12">
        <v>27</v>
      </c>
      <c r="D31" t="s">
        <v>77</v>
      </c>
      <c r="E31" s="22">
        <v>1</v>
      </c>
      <c r="F31" s="22">
        <v>0</v>
      </c>
      <c r="G31" s="52">
        <f t="shared" si="0"/>
        <v>1</v>
      </c>
    </row>
    <row r="32" spans="2:19" x14ac:dyDescent="0.25">
      <c r="B32" s="12">
        <v>28</v>
      </c>
      <c r="D32" t="s">
        <v>15</v>
      </c>
      <c r="E32" s="22">
        <v>1</v>
      </c>
      <c r="F32" s="22">
        <v>0</v>
      </c>
      <c r="G32" s="52">
        <f t="shared" si="0"/>
        <v>1</v>
      </c>
    </row>
    <row r="33" spans="2:12" x14ac:dyDescent="0.25">
      <c r="B33" s="12">
        <v>29</v>
      </c>
      <c r="D33" t="s">
        <v>10</v>
      </c>
      <c r="E33" s="22">
        <v>1</v>
      </c>
      <c r="F33" s="22">
        <v>0</v>
      </c>
      <c r="G33" s="52">
        <f t="shared" si="0"/>
        <v>1</v>
      </c>
    </row>
    <row r="34" spans="2:12" x14ac:dyDescent="0.25">
      <c r="B34" s="12">
        <v>30</v>
      </c>
      <c r="D34" t="s">
        <v>356</v>
      </c>
      <c r="E34" s="22">
        <v>1</v>
      </c>
      <c r="F34" s="22">
        <v>0</v>
      </c>
      <c r="G34" s="52">
        <f t="shared" si="0"/>
        <v>1</v>
      </c>
    </row>
    <row r="35" spans="2:12" x14ac:dyDescent="0.25">
      <c r="B35" s="12">
        <v>31</v>
      </c>
      <c r="D35" t="s">
        <v>438</v>
      </c>
      <c r="E35" s="22">
        <v>1</v>
      </c>
      <c r="F35" s="22">
        <v>0</v>
      </c>
      <c r="G35" s="52">
        <f t="shared" si="0"/>
        <v>1</v>
      </c>
    </row>
    <row r="36" spans="2:12" x14ac:dyDescent="0.25">
      <c r="B36" s="12">
        <v>32</v>
      </c>
      <c r="D36" t="s">
        <v>1178</v>
      </c>
      <c r="E36" s="22">
        <v>1</v>
      </c>
      <c r="F36" s="22">
        <v>0</v>
      </c>
      <c r="G36" s="52">
        <f t="shared" si="0"/>
        <v>1</v>
      </c>
    </row>
    <row r="37" spans="2:12" x14ac:dyDescent="0.25">
      <c r="B37" s="12">
        <v>33</v>
      </c>
      <c r="D37" t="s">
        <v>1191</v>
      </c>
      <c r="E37" s="22">
        <v>1</v>
      </c>
      <c r="F37" s="22">
        <v>0</v>
      </c>
      <c r="G37" s="52">
        <f t="shared" si="0"/>
        <v>1</v>
      </c>
    </row>
    <row r="38" spans="2:12" x14ac:dyDescent="0.25">
      <c r="B38" s="12">
        <v>34</v>
      </c>
      <c r="D38" t="s">
        <v>37</v>
      </c>
      <c r="E38" s="22">
        <v>0</v>
      </c>
      <c r="F38" s="22">
        <v>1</v>
      </c>
      <c r="G38" s="52">
        <f t="shared" si="0"/>
        <v>1</v>
      </c>
    </row>
    <row r="39" spans="2:12" x14ac:dyDescent="0.25">
      <c r="B39" s="12">
        <v>35</v>
      </c>
      <c r="D39" t="s">
        <v>14</v>
      </c>
      <c r="E39" s="22">
        <v>0</v>
      </c>
      <c r="F39" s="22">
        <v>1</v>
      </c>
      <c r="G39" s="52">
        <f t="shared" si="0"/>
        <v>1</v>
      </c>
    </row>
    <row r="40" spans="2:12" x14ac:dyDescent="0.25">
      <c r="B40" s="12">
        <v>36</v>
      </c>
      <c r="D40" t="s">
        <v>320</v>
      </c>
      <c r="E40" s="22">
        <v>0</v>
      </c>
      <c r="F40" s="22">
        <v>1</v>
      </c>
      <c r="G40" s="52">
        <f t="shared" si="0"/>
        <v>1</v>
      </c>
    </row>
    <row r="41" spans="2:12" x14ac:dyDescent="0.25">
      <c r="B41" s="12">
        <v>37</v>
      </c>
      <c r="D41" t="s">
        <v>1182</v>
      </c>
      <c r="E41" s="22">
        <v>0</v>
      </c>
      <c r="F41" s="22">
        <v>1</v>
      </c>
      <c r="G41" s="52">
        <f t="shared" si="0"/>
        <v>1</v>
      </c>
    </row>
    <row r="44" spans="2:12" x14ac:dyDescent="0.25">
      <c r="D44" s="11" t="s">
        <v>99</v>
      </c>
      <c r="K44" s="11" t="s">
        <v>100</v>
      </c>
    </row>
    <row r="45" spans="2:12" x14ac:dyDescent="0.25">
      <c r="D45" s="18" t="s">
        <v>0</v>
      </c>
      <c r="E45" s="51" t="s">
        <v>98</v>
      </c>
      <c r="K45" s="18" t="s">
        <v>0</v>
      </c>
      <c r="L45" s="51" t="s">
        <v>98</v>
      </c>
    </row>
    <row r="46" spans="2:12" x14ac:dyDescent="0.25">
      <c r="B46" s="9">
        <v>1</v>
      </c>
      <c r="D46" t="s">
        <v>13</v>
      </c>
      <c r="E46" s="52">
        <v>12</v>
      </c>
      <c r="I46" s="9">
        <v>1</v>
      </c>
      <c r="K46" t="s">
        <v>13</v>
      </c>
      <c r="L46" s="52">
        <v>3</v>
      </c>
    </row>
    <row r="47" spans="2:12" x14ac:dyDescent="0.25">
      <c r="B47" s="9">
        <v>2</v>
      </c>
      <c r="D47" t="s">
        <v>7</v>
      </c>
      <c r="E47" s="52">
        <v>2</v>
      </c>
      <c r="I47" s="9">
        <v>2</v>
      </c>
      <c r="K47" t="s">
        <v>7</v>
      </c>
      <c r="L47" s="52">
        <v>1</v>
      </c>
    </row>
    <row r="48" spans="2:12" x14ac:dyDescent="0.25">
      <c r="B48" s="9">
        <v>3</v>
      </c>
      <c r="D48" t="s">
        <v>434</v>
      </c>
      <c r="E48" s="52">
        <v>2</v>
      </c>
      <c r="I48" s="9">
        <v>3</v>
      </c>
      <c r="K48" t="s">
        <v>434</v>
      </c>
      <c r="L48" s="31">
        <v>1</v>
      </c>
    </row>
    <row r="49" spans="2:23" x14ac:dyDescent="0.25">
      <c r="B49" s="9">
        <v>4</v>
      </c>
      <c r="D49" t="s">
        <v>77</v>
      </c>
      <c r="E49" s="52">
        <v>1</v>
      </c>
    </row>
    <row r="50" spans="2:23" x14ac:dyDescent="0.25">
      <c r="B50" s="9">
        <v>5</v>
      </c>
      <c r="D50" t="s">
        <v>16</v>
      </c>
      <c r="E50" s="52">
        <v>1</v>
      </c>
    </row>
    <row r="51" spans="2:23" x14ac:dyDescent="0.25">
      <c r="B51" s="9">
        <v>6</v>
      </c>
      <c r="D51" t="s">
        <v>82</v>
      </c>
      <c r="E51" s="52">
        <v>1</v>
      </c>
    </row>
    <row r="52" spans="2:23" x14ac:dyDescent="0.25">
      <c r="B52" s="9">
        <v>7</v>
      </c>
      <c r="D52" t="s">
        <v>8</v>
      </c>
      <c r="E52" s="52">
        <v>1</v>
      </c>
    </row>
    <row r="53" spans="2:23" x14ac:dyDescent="0.25">
      <c r="B53" s="9">
        <v>8</v>
      </c>
      <c r="D53" t="s">
        <v>324</v>
      </c>
      <c r="E53" s="52">
        <v>1</v>
      </c>
    </row>
    <row r="56" spans="2:23" x14ac:dyDescent="0.25">
      <c r="D56" s="10" t="s">
        <v>205</v>
      </c>
      <c r="R56" s="89" t="s">
        <v>207</v>
      </c>
    </row>
    <row r="57" spans="2:23" x14ac:dyDescent="0.25">
      <c r="D57" s="18" t="s">
        <v>0</v>
      </c>
      <c r="E57" s="18" t="s">
        <v>2</v>
      </c>
      <c r="F57" s="18" t="s">
        <v>3</v>
      </c>
      <c r="G57" s="32" t="s">
        <v>4</v>
      </c>
      <c r="H57" s="18" t="s">
        <v>206</v>
      </c>
      <c r="I57" s="120" t="s">
        <v>165</v>
      </c>
      <c r="J57" s="120"/>
      <c r="K57" s="120"/>
      <c r="R57" s="18" t="s">
        <v>0</v>
      </c>
      <c r="S57" s="18" t="s">
        <v>1</v>
      </c>
      <c r="T57" s="18" t="s">
        <v>2</v>
      </c>
      <c r="U57" s="18" t="s">
        <v>3</v>
      </c>
      <c r="V57" s="32" t="s">
        <v>4</v>
      </c>
      <c r="W57" s="18" t="s">
        <v>206</v>
      </c>
    </row>
    <row r="58" spans="2:23" x14ac:dyDescent="0.25">
      <c r="B58" s="9">
        <v>1</v>
      </c>
      <c r="D58" t="s">
        <v>13</v>
      </c>
      <c r="E58" s="17">
        <v>5</v>
      </c>
      <c r="F58" s="17">
        <v>4</v>
      </c>
      <c r="G58" s="31">
        <f t="shared" ref="G58:G63" si="2">E58+F58</f>
        <v>9</v>
      </c>
      <c r="H58" s="17" t="s">
        <v>80</v>
      </c>
      <c r="I58" s="111" t="s">
        <v>334</v>
      </c>
      <c r="J58" s="111"/>
      <c r="K58" s="111"/>
      <c r="P58" s="9">
        <v>1</v>
      </c>
      <c r="R58" s="38" t="s">
        <v>324</v>
      </c>
      <c r="S58" s="17">
        <v>19</v>
      </c>
      <c r="T58" s="17">
        <v>18</v>
      </c>
      <c r="U58" s="17">
        <v>29</v>
      </c>
      <c r="V58" s="31">
        <f>T58+U58</f>
        <v>47</v>
      </c>
      <c r="W58" s="17" t="s">
        <v>473</v>
      </c>
    </row>
    <row r="59" spans="2:23" x14ac:dyDescent="0.25">
      <c r="B59" s="9">
        <v>2</v>
      </c>
      <c r="D59" t="s">
        <v>324</v>
      </c>
      <c r="E59" s="17">
        <v>4</v>
      </c>
      <c r="F59" s="17">
        <v>4</v>
      </c>
      <c r="G59" s="31">
        <f t="shared" si="2"/>
        <v>8</v>
      </c>
      <c r="H59" s="17" t="s">
        <v>473</v>
      </c>
      <c r="I59" s="108" t="s">
        <v>1091</v>
      </c>
      <c r="J59" s="108"/>
      <c r="K59" s="108"/>
      <c r="P59" s="9">
        <v>2</v>
      </c>
      <c r="R59" s="38" t="s">
        <v>13</v>
      </c>
      <c r="S59" s="17">
        <v>10</v>
      </c>
      <c r="T59" s="17">
        <v>26</v>
      </c>
      <c r="U59" s="17">
        <v>17</v>
      </c>
      <c r="V59" s="31">
        <f t="shared" ref="V59:V67" si="3">T59+U59</f>
        <v>43</v>
      </c>
      <c r="W59" s="17" t="s">
        <v>319</v>
      </c>
    </row>
    <row r="60" spans="2:23" x14ac:dyDescent="0.25">
      <c r="B60" s="9">
        <v>3</v>
      </c>
      <c r="D60" t="s">
        <v>30</v>
      </c>
      <c r="E60" s="17">
        <v>3</v>
      </c>
      <c r="F60" s="17">
        <v>5</v>
      </c>
      <c r="G60" s="31">
        <f t="shared" si="2"/>
        <v>8</v>
      </c>
      <c r="H60" s="17" t="s">
        <v>80</v>
      </c>
      <c r="I60" s="103" t="s">
        <v>334</v>
      </c>
      <c r="J60" s="103"/>
      <c r="K60" s="103"/>
      <c r="P60" s="9">
        <v>3</v>
      </c>
      <c r="R60" s="38" t="s">
        <v>13</v>
      </c>
      <c r="S60" s="17">
        <v>9</v>
      </c>
      <c r="T60" s="17">
        <v>21</v>
      </c>
      <c r="U60" s="17">
        <v>13</v>
      </c>
      <c r="V60" s="31">
        <f t="shared" si="3"/>
        <v>34</v>
      </c>
      <c r="W60" s="17" t="s">
        <v>80</v>
      </c>
    </row>
    <row r="61" spans="2:23" x14ac:dyDescent="0.25">
      <c r="B61" s="9">
        <v>4</v>
      </c>
      <c r="D61" t="s">
        <v>77</v>
      </c>
      <c r="E61" s="17">
        <v>4</v>
      </c>
      <c r="F61" s="17">
        <v>3</v>
      </c>
      <c r="G61" s="31">
        <f t="shared" si="2"/>
        <v>7</v>
      </c>
      <c r="H61" s="17" t="s">
        <v>40</v>
      </c>
      <c r="I61" s="103" t="s">
        <v>335</v>
      </c>
      <c r="J61" s="103"/>
      <c r="K61" s="103"/>
      <c r="P61" s="9">
        <v>4</v>
      </c>
      <c r="R61" s="38" t="s">
        <v>13</v>
      </c>
      <c r="S61" s="17">
        <v>16</v>
      </c>
      <c r="T61" s="17">
        <v>19</v>
      </c>
      <c r="U61" s="17">
        <v>14</v>
      </c>
      <c r="V61" s="31">
        <f t="shared" si="3"/>
        <v>33</v>
      </c>
      <c r="W61" s="17" t="s">
        <v>60</v>
      </c>
    </row>
    <row r="62" spans="2:23" x14ac:dyDescent="0.25">
      <c r="B62" s="9">
        <v>5</v>
      </c>
      <c r="D62" t="s">
        <v>13</v>
      </c>
      <c r="E62" s="17">
        <v>4</v>
      </c>
      <c r="F62" s="17">
        <v>3</v>
      </c>
      <c r="G62" s="31">
        <f t="shared" si="2"/>
        <v>7</v>
      </c>
      <c r="H62" s="17" t="s">
        <v>319</v>
      </c>
      <c r="I62" s="103" t="s">
        <v>336</v>
      </c>
      <c r="J62" s="103"/>
      <c r="K62" s="103"/>
      <c r="P62" s="9">
        <v>5</v>
      </c>
      <c r="R62" s="38" t="s">
        <v>30</v>
      </c>
      <c r="S62" s="17">
        <v>18</v>
      </c>
      <c r="T62" s="17">
        <v>13</v>
      </c>
      <c r="U62" s="17">
        <v>18</v>
      </c>
      <c r="V62" s="31">
        <f t="shared" si="3"/>
        <v>31</v>
      </c>
      <c r="W62" s="17" t="s">
        <v>80</v>
      </c>
    </row>
    <row r="63" spans="2:23" x14ac:dyDescent="0.25">
      <c r="B63" s="9">
        <v>6</v>
      </c>
      <c r="D63" t="s">
        <v>324</v>
      </c>
      <c r="E63" s="17">
        <v>2</v>
      </c>
      <c r="F63" s="17">
        <v>5</v>
      </c>
      <c r="G63" s="31">
        <f t="shared" si="2"/>
        <v>7</v>
      </c>
      <c r="H63" s="17" t="s">
        <v>473</v>
      </c>
      <c r="I63" s="108" t="s">
        <v>768</v>
      </c>
      <c r="J63" s="108"/>
      <c r="K63" s="108"/>
      <c r="P63" s="9">
        <v>6</v>
      </c>
      <c r="R63" s="38" t="s">
        <v>7</v>
      </c>
      <c r="S63" s="17">
        <v>10</v>
      </c>
      <c r="T63" s="17">
        <v>14</v>
      </c>
      <c r="U63" s="17">
        <v>14</v>
      </c>
      <c r="V63" s="31">
        <f t="shared" si="3"/>
        <v>28</v>
      </c>
      <c r="W63" s="17" t="s">
        <v>81</v>
      </c>
    </row>
    <row r="64" spans="2:23" x14ac:dyDescent="0.25">
      <c r="B64" s="9">
        <v>7</v>
      </c>
      <c r="D64" t="s">
        <v>7</v>
      </c>
      <c r="E64" s="17">
        <v>5</v>
      </c>
      <c r="F64" s="17">
        <v>1</v>
      </c>
      <c r="G64" s="31">
        <f t="shared" ref="G64:G70" si="4">E64+F64</f>
        <v>6</v>
      </c>
      <c r="H64" s="17" t="s">
        <v>80</v>
      </c>
      <c r="I64" s="103" t="s">
        <v>334</v>
      </c>
      <c r="J64" s="103"/>
      <c r="K64" s="103"/>
      <c r="P64" s="9">
        <v>7</v>
      </c>
      <c r="R64" s="38" t="s">
        <v>30</v>
      </c>
      <c r="S64" s="17">
        <v>19</v>
      </c>
      <c r="T64" s="17">
        <v>10</v>
      </c>
      <c r="U64" s="17">
        <v>18</v>
      </c>
      <c r="V64" s="31">
        <f t="shared" si="3"/>
        <v>28</v>
      </c>
      <c r="W64" s="17" t="s">
        <v>40</v>
      </c>
    </row>
    <row r="65" spans="2:23" x14ac:dyDescent="0.25">
      <c r="B65" s="9">
        <v>8</v>
      </c>
      <c r="D65" t="s">
        <v>13</v>
      </c>
      <c r="E65" s="17">
        <v>5</v>
      </c>
      <c r="F65" s="17">
        <v>1</v>
      </c>
      <c r="G65" s="31">
        <f t="shared" si="4"/>
        <v>6</v>
      </c>
      <c r="H65" s="17" t="s">
        <v>81</v>
      </c>
      <c r="I65" s="103" t="s">
        <v>337</v>
      </c>
      <c r="J65" s="103"/>
      <c r="K65" s="103"/>
      <c r="P65" s="9">
        <v>8</v>
      </c>
      <c r="R65" s="38" t="s">
        <v>7</v>
      </c>
      <c r="S65" s="17">
        <v>12</v>
      </c>
      <c r="T65" s="17">
        <v>18</v>
      </c>
      <c r="U65" s="17">
        <v>8</v>
      </c>
      <c r="V65" s="31">
        <f t="shared" si="3"/>
        <v>26</v>
      </c>
      <c r="W65" s="17" t="s">
        <v>80</v>
      </c>
    </row>
    <row r="66" spans="2:23" x14ac:dyDescent="0.25">
      <c r="B66" s="9">
        <v>9</v>
      </c>
      <c r="D66" t="s">
        <v>8</v>
      </c>
      <c r="E66" s="17">
        <v>4</v>
      </c>
      <c r="F66" s="17">
        <v>2</v>
      </c>
      <c r="G66" s="31">
        <f t="shared" si="4"/>
        <v>6</v>
      </c>
      <c r="H66" s="17" t="s">
        <v>319</v>
      </c>
      <c r="I66" s="103" t="s">
        <v>333</v>
      </c>
      <c r="J66" s="103"/>
      <c r="K66" s="103"/>
      <c r="P66" s="9">
        <v>9</v>
      </c>
      <c r="R66" s="38" t="s">
        <v>13</v>
      </c>
      <c r="S66" s="17">
        <v>12</v>
      </c>
      <c r="T66" s="17">
        <v>15</v>
      </c>
      <c r="U66" s="17">
        <v>11</v>
      </c>
      <c r="V66" s="31">
        <f t="shared" si="3"/>
        <v>26</v>
      </c>
      <c r="W66" s="17" t="s">
        <v>59</v>
      </c>
    </row>
    <row r="67" spans="2:23" x14ac:dyDescent="0.25">
      <c r="B67" s="9">
        <v>10</v>
      </c>
      <c r="D67" t="s">
        <v>7</v>
      </c>
      <c r="E67" s="17">
        <v>3</v>
      </c>
      <c r="F67" s="17">
        <v>3</v>
      </c>
      <c r="G67" s="31">
        <f t="shared" si="4"/>
        <v>6</v>
      </c>
      <c r="H67" s="17" t="s">
        <v>80</v>
      </c>
      <c r="I67" s="103" t="s">
        <v>338</v>
      </c>
      <c r="J67" s="103"/>
      <c r="K67" s="103"/>
      <c r="P67" s="9">
        <v>10</v>
      </c>
      <c r="R67" s="38" t="s">
        <v>77</v>
      </c>
      <c r="S67" s="17">
        <v>12</v>
      </c>
      <c r="T67" s="17">
        <v>13</v>
      </c>
      <c r="U67" s="17">
        <v>11</v>
      </c>
      <c r="V67" s="31">
        <f t="shared" si="3"/>
        <v>24</v>
      </c>
      <c r="W67" s="17" t="s">
        <v>40</v>
      </c>
    </row>
    <row r="68" spans="2:23" x14ac:dyDescent="0.25">
      <c r="D68" t="s">
        <v>13</v>
      </c>
      <c r="E68" s="17">
        <v>2</v>
      </c>
      <c r="F68" s="17">
        <v>4</v>
      </c>
      <c r="G68" s="31">
        <f t="shared" si="4"/>
        <v>6</v>
      </c>
      <c r="H68" s="17" t="s">
        <v>319</v>
      </c>
      <c r="I68" s="103" t="s">
        <v>333</v>
      </c>
      <c r="J68" s="103"/>
      <c r="K68" s="103"/>
      <c r="R68" s="38"/>
      <c r="S68" s="17"/>
      <c r="T68" s="17"/>
      <c r="U68" s="17"/>
      <c r="V68" s="31"/>
      <c r="W68" s="17"/>
    </row>
    <row r="69" spans="2:23" x14ac:dyDescent="0.25">
      <c r="D69" t="s">
        <v>7</v>
      </c>
      <c r="E69" s="17">
        <v>2</v>
      </c>
      <c r="F69" s="17">
        <v>4</v>
      </c>
      <c r="G69" s="31">
        <f t="shared" si="4"/>
        <v>6</v>
      </c>
      <c r="H69" s="17" t="s">
        <v>319</v>
      </c>
      <c r="I69" s="103" t="s">
        <v>348</v>
      </c>
      <c r="J69" s="103"/>
      <c r="K69" s="103"/>
    </row>
    <row r="70" spans="2:23" x14ac:dyDescent="0.25">
      <c r="D70" t="s">
        <v>226</v>
      </c>
      <c r="E70" s="17">
        <v>2</v>
      </c>
      <c r="F70" s="17">
        <v>4</v>
      </c>
      <c r="G70" s="31">
        <f t="shared" si="4"/>
        <v>6</v>
      </c>
      <c r="H70" s="17" t="s">
        <v>349</v>
      </c>
      <c r="I70" s="103" t="s">
        <v>386</v>
      </c>
      <c r="J70" s="103"/>
      <c r="K70" s="103"/>
      <c r="R70" s="120" t="s">
        <v>1345</v>
      </c>
      <c r="S70" s="120"/>
    </row>
    <row r="71" spans="2:23" x14ac:dyDescent="0.25">
      <c r="D71" t="s">
        <v>13</v>
      </c>
      <c r="E71" s="17">
        <v>1</v>
      </c>
      <c r="F71" s="17">
        <v>5</v>
      </c>
      <c r="G71" s="31">
        <f>E71+F71</f>
        <v>6</v>
      </c>
      <c r="H71" s="17" t="s">
        <v>80</v>
      </c>
      <c r="I71" s="103" t="s">
        <v>339</v>
      </c>
      <c r="J71" s="103"/>
      <c r="K71" s="103"/>
      <c r="R71" s="18" t="s">
        <v>0</v>
      </c>
      <c r="S71" s="18" t="s">
        <v>1</v>
      </c>
      <c r="T71" s="71" t="s">
        <v>3</v>
      </c>
      <c r="U71" s="120" t="s">
        <v>206</v>
      </c>
      <c r="V71" s="120"/>
    </row>
    <row r="72" spans="2:23" x14ac:dyDescent="0.25">
      <c r="D72" t="s">
        <v>7</v>
      </c>
      <c r="E72" s="17">
        <v>1</v>
      </c>
      <c r="F72" s="17">
        <v>5</v>
      </c>
      <c r="G72" s="31">
        <f>E72+F72</f>
        <v>6</v>
      </c>
      <c r="H72" s="17" t="s">
        <v>81</v>
      </c>
      <c r="I72" s="103" t="s">
        <v>337</v>
      </c>
      <c r="J72" s="103"/>
      <c r="K72" s="103"/>
      <c r="P72" s="9">
        <v>1</v>
      </c>
      <c r="R72" t="s">
        <v>324</v>
      </c>
      <c r="S72" s="17">
        <v>19</v>
      </c>
      <c r="T72" s="72">
        <v>29</v>
      </c>
      <c r="U72" s="103" t="s">
        <v>473</v>
      </c>
      <c r="V72" s="103"/>
    </row>
    <row r="73" spans="2:23" x14ac:dyDescent="0.25">
      <c r="P73" s="9">
        <v>2</v>
      </c>
      <c r="R73" t="s">
        <v>30</v>
      </c>
      <c r="S73" s="17">
        <v>18</v>
      </c>
      <c r="T73" s="72">
        <v>18</v>
      </c>
      <c r="U73" s="103" t="s">
        <v>80</v>
      </c>
      <c r="V73" s="103"/>
    </row>
    <row r="74" spans="2:23" x14ac:dyDescent="0.25">
      <c r="P74" s="9">
        <v>3</v>
      </c>
      <c r="R74" t="s">
        <v>30</v>
      </c>
      <c r="S74" s="17">
        <v>19</v>
      </c>
      <c r="T74" s="72">
        <v>18</v>
      </c>
      <c r="U74" s="103" t="s">
        <v>40</v>
      </c>
      <c r="V74" s="103"/>
    </row>
    <row r="75" spans="2:23" x14ac:dyDescent="0.25">
      <c r="D75" s="30" t="s">
        <v>1346</v>
      </c>
      <c r="E75" s="41"/>
      <c r="P75" s="9">
        <v>4</v>
      </c>
      <c r="R75" t="s">
        <v>13</v>
      </c>
      <c r="S75" s="17">
        <v>10</v>
      </c>
      <c r="T75" s="72">
        <v>17</v>
      </c>
      <c r="U75" s="103" t="s">
        <v>319</v>
      </c>
      <c r="V75" s="103"/>
    </row>
    <row r="76" spans="2:23" x14ac:dyDescent="0.25">
      <c r="D76" s="18" t="s">
        <v>0</v>
      </c>
      <c r="E76" s="18" t="s">
        <v>1</v>
      </c>
      <c r="F76" s="71" t="s">
        <v>2</v>
      </c>
      <c r="G76" s="120" t="s">
        <v>206</v>
      </c>
      <c r="H76" s="120"/>
      <c r="P76" s="9">
        <v>5</v>
      </c>
      <c r="R76" t="s">
        <v>7</v>
      </c>
      <c r="S76" s="17">
        <v>10</v>
      </c>
      <c r="T76" s="72">
        <v>14</v>
      </c>
      <c r="U76" s="103" t="s">
        <v>81</v>
      </c>
      <c r="V76" s="103"/>
    </row>
    <row r="77" spans="2:23" x14ac:dyDescent="0.25">
      <c r="B77" s="9">
        <v>1</v>
      </c>
      <c r="D77" t="s">
        <v>13</v>
      </c>
      <c r="E77" s="17">
        <v>10</v>
      </c>
      <c r="F77" s="72">
        <v>26</v>
      </c>
      <c r="G77" s="103" t="s">
        <v>319</v>
      </c>
      <c r="H77" s="103"/>
      <c r="P77" s="9">
        <v>6</v>
      </c>
      <c r="R77" t="s">
        <v>13</v>
      </c>
      <c r="S77" s="17">
        <v>16</v>
      </c>
      <c r="T77" s="72">
        <v>14</v>
      </c>
      <c r="U77" s="103" t="s">
        <v>60</v>
      </c>
      <c r="V77" s="103"/>
    </row>
    <row r="78" spans="2:23" x14ac:dyDescent="0.25">
      <c r="B78" s="9">
        <v>2</v>
      </c>
      <c r="D78" t="s">
        <v>13</v>
      </c>
      <c r="E78" s="17">
        <v>9</v>
      </c>
      <c r="F78" s="72">
        <v>21</v>
      </c>
      <c r="G78" s="103" t="s">
        <v>80</v>
      </c>
      <c r="H78" s="103"/>
      <c r="P78" s="9">
        <v>7</v>
      </c>
      <c r="R78" t="s">
        <v>13</v>
      </c>
      <c r="S78" s="17">
        <v>9</v>
      </c>
      <c r="T78" s="72">
        <v>13</v>
      </c>
      <c r="U78" s="103" t="s">
        <v>80</v>
      </c>
      <c r="V78" s="103"/>
    </row>
    <row r="79" spans="2:23" x14ac:dyDescent="0.25">
      <c r="B79" s="9">
        <v>3</v>
      </c>
      <c r="D79" t="s">
        <v>13</v>
      </c>
      <c r="E79" s="17">
        <v>16</v>
      </c>
      <c r="F79" s="72">
        <v>19</v>
      </c>
      <c r="G79" s="103" t="s">
        <v>60</v>
      </c>
      <c r="H79" s="103"/>
      <c r="P79" s="9">
        <v>8</v>
      </c>
      <c r="R79" t="s">
        <v>22</v>
      </c>
      <c r="S79" s="17">
        <v>20</v>
      </c>
      <c r="T79" s="72">
        <v>13</v>
      </c>
      <c r="U79" s="103" t="s">
        <v>473</v>
      </c>
      <c r="V79" s="103"/>
    </row>
    <row r="80" spans="2:23" x14ac:dyDescent="0.25">
      <c r="B80" s="9">
        <v>4</v>
      </c>
      <c r="D80" t="s">
        <v>7</v>
      </c>
      <c r="E80" s="17">
        <v>12</v>
      </c>
      <c r="F80" s="72">
        <v>18</v>
      </c>
      <c r="G80" s="103" t="s">
        <v>80</v>
      </c>
      <c r="H80" s="103"/>
      <c r="P80" s="9">
        <v>9</v>
      </c>
      <c r="R80" t="s">
        <v>324</v>
      </c>
      <c r="S80" s="17">
        <v>10</v>
      </c>
      <c r="T80" s="72">
        <v>11</v>
      </c>
      <c r="U80" s="103" t="s">
        <v>1154</v>
      </c>
      <c r="V80" s="103"/>
    </row>
    <row r="81" spans="2:25" x14ac:dyDescent="0.25">
      <c r="B81" s="9">
        <v>5</v>
      </c>
      <c r="D81" t="s">
        <v>434</v>
      </c>
      <c r="E81" s="17">
        <v>18</v>
      </c>
      <c r="F81" s="72">
        <v>18</v>
      </c>
      <c r="G81" s="103" t="s">
        <v>473</v>
      </c>
      <c r="H81" s="103"/>
      <c r="P81" s="9">
        <v>10</v>
      </c>
      <c r="R81" t="s">
        <v>13</v>
      </c>
      <c r="S81" s="17">
        <v>12</v>
      </c>
      <c r="T81" s="72">
        <v>11</v>
      </c>
      <c r="U81" s="103" t="s">
        <v>59</v>
      </c>
      <c r="V81" s="103"/>
    </row>
    <row r="82" spans="2:25" x14ac:dyDescent="0.25">
      <c r="B82" s="9">
        <v>6</v>
      </c>
      <c r="D82" t="s">
        <v>324</v>
      </c>
      <c r="E82" s="17">
        <v>19</v>
      </c>
      <c r="F82" s="72">
        <v>18</v>
      </c>
      <c r="G82" s="103" t="s">
        <v>473</v>
      </c>
      <c r="H82" s="103"/>
      <c r="R82" t="s">
        <v>77</v>
      </c>
      <c r="S82" s="17">
        <v>12</v>
      </c>
      <c r="T82" s="72">
        <v>11</v>
      </c>
      <c r="U82" s="103" t="s">
        <v>40</v>
      </c>
      <c r="V82" s="103"/>
    </row>
    <row r="83" spans="2:25" x14ac:dyDescent="0.25">
      <c r="B83" s="9">
        <v>7</v>
      </c>
      <c r="D83" t="s">
        <v>13</v>
      </c>
      <c r="E83" s="17">
        <v>7</v>
      </c>
      <c r="F83" s="72">
        <v>17</v>
      </c>
      <c r="G83" s="103" t="s">
        <v>473</v>
      </c>
      <c r="H83" s="103"/>
    </row>
    <row r="84" spans="2:25" x14ac:dyDescent="0.25">
      <c r="B84" s="9">
        <v>8</v>
      </c>
      <c r="D84" t="s">
        <v>7</v>
      </c>
      <c r="E84" s="17">
        <v>12</v>
      </c>
      <c r="F84" s="72">
        <v>16</v>
      </c>
      <c r="G84" s="103" t="s">
        <v>349</v>
      </c>
      <c r="H84" s="103"/>
    </row>
    <row r="85" spans="2:25" x14ac:dyDescent="0.25">
      <c r="B85" s="9">
        <v>9</v>
      </c>
      <c r="D85" t="s">
        <v>434</v>
      </c>
      <c r="E85" s="17">
        <v>20</v>
      </c>
      <c r="F85" s="72">
        <v>16</v>
      </c>
      <c r="G85" s="103" t="s">
        <v>403</v>
      </c>
      <c r="H85" s="103"/>
      <c r="R85" s="132" t="s">
        <v>461</v>
      </c>
      <c r="S85" s="132"/>
    </row>
    <row r="86" spans="2:25" x14ac:dyDescent="0.25">
      <c r="B86" s="9">
        <v>10</v>
      </c>
      <c r="D86" t="s">
        <v>7</v>
      </c>
      <c r="E86" s="17">
        <v>9</v>
      </c>
      <c r="F86" s="72">
        <v>15</v>
      </c>
      <c r="G86" s="103" t="s">
        <v>40</v>
      </c>
      <c r="H86" s="103"/>
      <c r="R86" s="18" t="s">
        <v>0</v>
      </c>
      <c r="S86" s="127" t="s">
        <v>266</v>
      </c>
      <c r="T86" s="127"/>
      <c r="U86" s="120" t="s">
        <v>267</v>
      </c>
      <c r="V86" s="120"/>
      <c r="W86" s="120" t="s">
        <v>165</v>
      </c>
      <c r="X86" s="120"/>
      <c r="Y86" s="120"/>
    </row>
    <row r="87" spans="2:25" x14ac:dyDescent="0.25">
      <c r="D87" t="s">
        <v>13</v>
      </c>
      <c r="E87" s="17">
        <v>12</v>
      </c>
      <c r="F87" s="72">
        <v>15</v>
      </c>
      <c r="G87" s="103" t="s">
        <v>59</v>
      </c>
      <c r="H87" s="103"/>
      <c r="P87" s="9">
        <v>1</v>
      </c>
      <c r="R87" s="38" t="s">
        <v>358</v>
      </c>
      <c r="S87" s="110" t="s">
        <v>1050</v>
      </c>
      <c r="T87" s="110"/>
      <c r="U87" s="118">
        <v>44933</v>
      </c>
      <c r="V87" s="118"/>
      <c r="W87" s="103" t="s">
        <v>1051</v>
      </c>
      <c r="X87" s="103"/>
      <c r="Y87" s="103"/>
    </row>
    <row r="88" spans="2:25" x14ac:dyDescent="0.25">
      <c r="D88" t="s">
        <v>20</v>
      </c>
      <c r="E88" s="17">
        <v>20</v>
      </c>
      <c r="F88" s="72">
        <v>15</v>
      </c>
      <c r="G88" s="103" t="s">
        <v>59</v>
      </c>
      <c r="H88" s="103"/>
      <c r="P88" s="9">
        <v>2</v>
      </c>
      <c r="R88" s="38" t="s">
        <v>7</v>
      </c>
      <c r="S88" s="110" t="s">
        <v>503</v>
      </c>
      <c r="T88" s="110"/>
      <c r="U88" s="118">
        <v>42658</v>
      </c>
      <c r="V88" s="118"/>
      <c r="W88" s="103" t="s">
        <v>504</v>
      </c>
      <c r="X88" s="103"/>
      <c r="Y88" s="103"/>
    </row>
    <row r="89" spans="2:25" x14ac:dyDescent="0.25">
      <c r="P89" s="9">
        <v>3</v>
      </c>
      <c r="R89" s="38" t="s">
        <v>13</v>
      </c>
      <c r="S89" s="110" t="s">
        <v>502</v>
      </c>
      <c r="T89" s="110"/>
      <c r="U89" s="118">
        <v>42434</v>
      </c>
      <c r="V89" s="118"/>
      <c r="W89" s="103" t="s">
        <v>334</v>
      </c>
      <c r="X89" s="103"/>
      <c r="Y89" s="103"/>
    </row>
    <row r="90" spans="2:25" x14ac:dyDescent="0.25">
      <c r="P90" s="9">
        <v>4</v>
      </c>
      <c r="R90" s="38" t="s">
        <v>13</v>
      </c>
      <c r="S90" s="110" t="s">
        <v>508</v>
      </c>
      <c r="T90" s="110"/>
      <c r="U90" s="118">
        <v>43498</v>
      </c>
      <c r="V90" s="118"/>
      <c r="W90" s="103" t="s">
        <v>509</v>
      </c>
      <c r="X90" s="103"/>
      <c r="Y90" s="103"/>
    </row>
    <row r="91" spans="2:25" x14ac:dyDescent="0.25">
      <c r="D91" s="101" t="s">
        <v>618</v>
      </c>
      <c r="E91" s="101"/>
      <c r="F91" s="101"/>
      <c r="G91" s="101"/>
      <c r="P91" s="9">
        <v>5</v>
      </c>
      <c r="R91" s="38" t="s">
        <v>7</v>
      </c>
      <c r="S91" s="110" t="s">
        <v>494</v>
      </c>
      <c r="T91" s="110"/>
      <c r="U91" s="118">
        <v>41574</v>
      </c>
      <c r="V91" s="118"/>
      <c r="W91" s="103" t="s">
        <v>495</v>
      </c>
      <c r="X91" s="103"/>
      <c r="Y91" s="103"/>
    </row>
    <row r="92" spans="2:25" x14ac:dyDescent="0.25">
      <c r="D92" s="11" t="s">
        <v>0</v>
      </c>
      <c r="E92" s="51" t="s">
        <v>266</v>
      </c>
      <c r="F92" s="101" t="s">
        <v>267</v>
      </c>
      <c r="G92" s="101"/>
      <c r="H92" s="101" t="s">
        <v>165</v>
      </c>
      <c r="I92" s="101"/>
      <c r="J92" s="101"/>
      <c r="K92" s="101"/>
      <c r="P92" s="9">
        <v>6</v>
      </c>
      <c r="R92" s="38" t="s">
        <v>13</v>
      </c>
      <c r="S92" s="110" t="s">
        <v>493</v>
      </c>
      <c r="T92" s="110"/>
      <c r="U92" s="118">
        <v>41350</v>
      </c>
      <c r="V92" s="118"/>
      <c r="W92" s="103" t="s">
        <v>492</v>
      </c>
      <c r="X92" s="103"/>
      <c r="Y92" s="103"/>
    </row>
    <row r="93" spans="2:25" x14ac:dyDescent="0.25">
      <c r="B93" s="9">
        <v>1</v>
      </c>
      <c r="D93" s="38" t="s">
        <v>13</v>
      </c>
      <c r="E93" s="53" t="s">
        <v>512</v>
      </c>
      <c r="F93" s="118">
        <v>43527</v>
      </c>
      <c r="G93" s="118"/>
      <c r="H93" s="103" t="s">
        <v>513</v>
      </c>
      <c r="I93" s="103"/>
      <c r="J93" s="103"/>
      <c r="K93" s="103"/>
      <c r="P93" s="9">
        <v>7</v>
      </c>
      <c r="R93" s="38" t="s">
        <v>30</v>
      </c>
      <c r="S93" s="110" t="s">
        <v>493</v>
      </c>
      <c r="T93" s="110"/>
      <c r="U93" s="118">
        <v>42057</v>
      </c>
      <c r="V93" s="118"/>
      <c r="W93" s="103" t="s">
        <v>501</v>
      </c>
      <c r="X93" s="103"/>
      <c r="Y93" s="103"/>
    </row>
    <row r="94" spans="2:25" x14ac:dyDescent="0.25">
      <c r="B94" s="9">
        <v>2</v>
      </c>
      <c r="D94" s="38" t="s">
        <v>34</v>
      </c>
      <c r="E94" s="53" t="s">
        <v>507</v>
      </c>
      <c r="F94" s="118">
        <v>43372</v>
      </c>
      <c r="G94" s="118"/>
      <c r="H94" s="103" t="s">
        <v>336</v>
      </c>
      <c r="I94" s="103"/>
      <c r="J94" s="103"/>
      <c r="K94" s="103"/>
      <c r="P94" s="9">
        <v>8</v>
      </c>
      <c r="R94" s="38" t="s">
        <v>7</v>
      </c>
      <c r="S94" s="110" t="s">
        <v>498</v>
      </c>
      <c r="T94" s="110"/>
      <c r="U94" s="118">
        <v>41762</v>
      </c>
      <c r="V94" s="118"/>
      <c r="W94" s="103" t="s">
        <v>499</v>
      </c>
      <c r="X94" s="103"/>
      <c r="Y94" s="103"/>
    </row>
    <row r="95" spans="2:25" x14ac:dyDescent="0.25">
      <c r="B95" s="9">
        <v>3</v>
      </c>
      <c r="D95" s="38" t="s">
        <v>13</v>
      </c>
      <c r="E95" s="53" t="s">
        <v>497</v>
      </c>
      <c r="F95" s="118">
        <v>41644</v>
      </c>
      <c r="G95" s="118"/>
      <c r="H95" s="103" t="s">
        <v>496</v>
      </c>
      <c r="I95" s="103"/>
      <c r="J95" s="103"/>
      <c r="K95" s="103"/>
      <c r="P95" s="9">
        <v>9</v>
      </c>
      <c r="R95" s="38" t="s">
        <v>36</v>
      </c>
      <c r="S95" s="110" t="s">
        <v>498</v>
      </c>
      <c r="T95" s="110"/>
      <c r="U95" s="118">
        <v>41903</v>
      </c>
      <c r="V95" s="118"/>
      <c r="W95" s="103" t="s">
        <v>500</v>
      </c>
      <c r="X95" s="103"/>
      <c r="Y95" s="103"/>
    </row>
    <row r="96" spans="2:25" x14ac:dyDescent="0.25">
      <c r="B96" s="9">
        <v>4</v>
      </c>
      <c r="D96" s="38" t="s">
        <v>20</v>
      </c>
      <c r="E96" s="53" t="s">
        <v>490</v>
      </c>
      <c r="F96" s="118">
        <v>41168</v>
      </c>
      <c r="G96" s="118"/>
      <c r="H96" s="103" t="s">
        <v>491</v>
      </c>
      <c r="I96" s="103"/>
      <c r="J96" s="103"/>
      <c r="K96" s="103"/>
      <c r="P96" s="9">
        <v>10</v>
      </c>
      <c r="R96" s="38" t="s">
        <v>324</v>
      </c>
      <c r="S96" s="110" t="s">
        <v>1093</v>
      </c>
      <c r="T96" s="110"/>
      <c r="U96" s="118">
        <v>45010</v>
      </c>
      <c r="V96" s="118"/>
      <c r="W96" s="103" t="s">
        <v>1091</v>
      </c>
      <c r="X96" s="103"/>
      <c r="Y96" s="103"/>
    </row>
    <row r="97" spans="2:23" x14ac:dyDescent="0.25">
      <c r="B97" s="9">
        <v>5</v>
      </c>
      <c r="D97" s="38" t="s">
        <v>13</v>
      </c>
      <c r="E97" s="53" t="s">
        <v>505</v>
      </c>
      <c r="F97" s="118">
        <v>42834</v>
      </c>
      <c r="G97" s="103"/>
      <c r="H97" s="103" t="s">
        <v>337</v>
      </c>
      <c r="I97" s="103"/>
      <c r="J97" s="103"/>
      <c r="K97" s="103"/>
    </row>
    <row r="98" spans="2:23" x14ac:dyDescent="0.25">
      <c r="B98" s="9">
        <v>6</v>
      </c>
      <c r="D98" s="38" t="s">
        <v>514</v>
      </c>
      <c r="E98" s="53" t="s">
        <v>515</v>
      </c>
      <c r="F98" s="118">
        <v>43527</v>
      </c>
      <c r="G98" s="118"/>
      <c r="H98" s="103" t="s">
        <v>333</v>
      </c>
      <c r="I98" s="103"/>
      <c r="J98" s="103"/>
      <c r="K98" s="103"/>
    </row>
    <row r="99" spans="2:23" x14ac:dyDescent="0.25">
      <c r="B99" s="9">
        <v>7</v>
      </c>
      <c r="D99" s="38" t="s">
        <v>13</v>
      </c>
      <c r="E99" s="53" t="s">
        <v>506</v>
      </c>
      <c r="F99" s="118">
        <v>42434</v>
      </c>
      <c r="G99" s="118"/>
      <c r="H99" s="103" t="s">
        <v>334</v>
      </c>
      <c r="I99" s="103"/>
      <c r="J99" s="103"/>
      <c r="K99" s="103"/>
      <c r="R99" s="101" t="s">
        <v>520</v>
      </c>
      <c r="S99" s="101"/>
    </row>
    <row r="100" spans="2:23" x14ac:dyDescent="0.25">
      <c r="B100" s="9">
        <v>8</v>
      </c>
      <c r="D100" s="38" t="s">
        <v>13</v>
      </c>
      <c r="E100" s="53" t="s">
        <v>1144</v>
      </c>
      <c r="F100" s="118">
        <v>45038</v>
      </c>
      <c r="G100" s="118"/>
      <c r="H100" s="103" t="s">
        <v>1145</v>
      </c>
      <c r="I100" s="103"/>
      <c r="J100" s="103"/>
      <c r="K100" s="103"/>
      <c r="R100" s="18" t="s">
        <v>0</v>
      </c>
      <c r="S100" s="127" t="s">
        <v>266</v>
      </c>
      <c r="T100" s="127"/>
      <c r="U100" s="120" t="s">
        <v>519</v>
      </c>
      <c r="V100" s="120"/>
      <c r="W100" s="120"/>
    </row>
    <row r="101" spans="2:23" x14ac:dyDescent="0.25">
      <c r="B101" s="9">
        <v>9</v>
      </c>
      <c r="D101" s="38" t="s">
        <v>13</v>
      </c>
      <c r="E101" s="53" t="s">
        <v>510</v>
      </c>
      <c r="F101" s="118">
        <v>43498</v>
      </c>
      <c r="G101" s="118"/>
      <c r="H101" s="103" t="s">
        <v>509</v>
      </c>
      <c r="I101" s="103"/>
      <c r="J101" s="103"/>
      <c r="K101" s="103"/>
      <c r="P101" s="9">
        <v>1</v>
      </c>
      <c r="R101" t="s">
        <v>435</v>
      </c>
      <c r="S101" s="117" t="s">
        <v>1037</v>
      </c>
      <c r="T101" s="117"/>
      <c r="U101" s="121" t="s">
        <v>1038</v>
      </c>
      <c r="V101" s="108"/>
      <c r="W101" s="108"/>
    </row>
    <row r="102" spans="2:23" x14ac:dyDescent="0.25">
      <c r="B102" s="9">
        <v>10</v>
      </c>
      <c r="D102" s="38" t="s">
        <v>324</v>
      </c>
      <c r="E102" s="53" t="s">
        <v>1092</v>
      </c>
      <c r="F102" s="118">
        <v>45010</v>
      </c>
      <c r="G102" s="118"/>
      <c r="H102" s="103" t="s">
        <v>1091</v>
      </c>
      <c r="I102" s="103"/>
      <c r="J102" s="103"/>
      <c r="K102" s="103"/>
      <c r="P102" s="9">
        <v>2</v>
      </c>
      <c r="R102" t="s">
        <v>294</v>
      </c>
      <c r="S102" s="117" t="s">
        <v>561</v>
      </c>
      <c r="T102" s="117"/>
      <c r="U102" s="108" t="s">
        <v>562</v>
      </c>
      <c r="V102" s="108"/>
      <c r="W102" s="108"/>
    </row>
    <row r="103" spans="2:23" x14ac:dyDescent="0.25">
      <c r="P103" s="9">
        <v>3</v>
      </c>
      <c r="R103" t="s">
        <v>91</v>
      </c>
      <c r="S103" s="117" t="s">
        <v>549</v>
      </c>
      <c r="T103" s="117"/>
      <c r="U103" s="108" t="s">
        <v>550</v>
      </c>
      <c r="V103" s="108"/>
      <c r="W103" s="108"/>
    </row>
    <row r="104" spans="2:23" x14ac:dyDescent="0.25">
      <c r="P104" s="9">
        <v>4</v>
      </c>
      <c r="R104" t="s">
        <v>435</v>
      </c>
      <c r="S104" s="117" t="s">
        <v>1519</v>
      </c>
      <c r="T104" s="117"/>
      <c r="U104" s="121" t="s">
        <v>1520</v>
      </c>
      <c r="V104" s="108"/>
      <c r="W104" s="108"/>
    </row>
    <row r="105" spans="2:23" x14ac:dyDescent="0.25">
      <c r="D105" s="120" t="s">
        <v>517</v>
      </c>
      <c r="E105" s="109"/>
      <c r="P105" s="9">
        <v>5</v>
      </c>
      <c r="R105" t="s">
        <v>91</v>
      </c>
      <c r="S105" s="117" t="s">
        <v>547</v>
      </c>
      <c r="T105" s="117"/>
      <c r="U105" s="108" t="s">
        <v>548</v>
      </c>
      <c r="V105" s="108"/>
      <c r="W105" s="108"/>
    </row>
    <row r="106" spans="2:23" x14ac:dyDescent="0.25">
      <c r="D106" s="18" t="s">
        <v>0</v>
      </c>
      <c r="E106" s="127" t="s">
        <v>518</v>
      </c>
      <c r="F106" s="127"/>
      <c r="G106" s="127"/>
      <c r="H106" s="101" t="s">
        <v>519</v>
      </c>
      <c r="I106" s="101"/>
      <c r="J106" s="101"/>
      <c r="K106" s="101"/>
      <c r="P106" s="9">
        <v>6</v>
      </c>
      <c r="R106" t="s">
        <v>75</v>
      </c>
      <c r="S106" s="117" t="s">
        <v>1550</v>
      </c>
      <c r="T106" s="117"/>
      <c r="U106" s="121" t="s">
        <v>1551</v>
      </c>
      <c r="V106" s="108"/>
      <c r="W106" s="108"/>
    </row>
    <row r="107" spans="2:23" x14ac:dyDescent="0.25">
      <c r="B107" s="9">
        <v>1</v>
      </c>
      <c r="D107" t="s">
        <v>91</v>
      </c>
      <c r="E107" s="123">
        <v>5</v>
      </c>
      <c r="F107" s="123"/>
      <c r="G107" s="123"/>
      <c r="H107" s="108" t="s">
        <v>554</v>
      </c>
      <c r="I107" s="108"/>
      <c r="J107" s="108"/>
      <c r="K107" s="108"/>
      <c r="P107" s="9">
        <v>7</v>
      </c>
      <c r="R107" t="s">
        <v>294</v>
      </c>
      <c r="S107" s="117" t="s">
        <v>560</v>
      </c>
      <c r="T107" s="117"/>
      <c r="U107" s="121" t="s">
        <v>1521</v>
      </c>
      <c r="V107" s="108"/>
      <c r="W107" s="108"/>
    </row>
    <row r="108" spans="2:23" x14ac:dyDescent="0.25">
      <c r="B108" s="9">
        <v>2</v>
      </c>
      <c r="D108" t="s">
        <v>294</v>
      </c>
      <c r="E108" s="123">
        <v>5</v>
      </c>
      <c r="F108" s="123"/>
      <c r="G108" s="123"/>
      <c r="H108" s="108" t="s">
        <v>559</v>
      </c>
      <c r="I108" s="108"/>
      <c r="J108" s="108"/>
      <c r="K108" s="108"/>
      <c r="P108" s="9">
        <v>8</v>
      </c>
      <c r="R108" t="s">
        <v>87</v>
      </c>
      <c r="S108" s="117" t="s">
        <v>555</v>
      </c>
      <c r="T108" s="117"/>
      <c r="U108" s="121" t="s">
        <v>556</v>
      </c>
      <c r="V108" s="108"/>
      <c r="W108" s="108"/>
    </row>
    <row r="109" spans="2:23" x14ac:dyDescent="0.25">
      <c r="B109" s="9">
        <v>3</v>
      </c>
      <c r="D109" t="s">
        <v>435</v>
      </c>
      <c r="E109" s="123">
        <v>5</v>
      </c>
      <c r="F109" s="123"/>
      <c r="G109" s="123"/>
      <c r="H109" s="108" t="s">
        <v>1036</v>
      </c>
      <c r="I109" s="108"/>
      <c r="J109" s="108"/>
      <c r="K109" s="108"/>
      <c r="P109" s="9">
        <v>9</v>
      </c>
      <c r="R109" t="s">
        <v>294</v>
      </c>
      <c r="S109" s="117" t="s">
        <v>563</v>
      </c>
      <c r="T109" s="117"/>
      <c r="U109" s="121" t="s">
        <v>564</v>
      </c>
      <c r="V109" s="108"/>
      <c r="W109" s="108"/>
    </row>
    <row r="110" spans="2:23" x14ac:dyDescent="0.25">
      <c r="B110" s="9">
        <v>4</v>
      </c>
      <c r="D110" t="s">
        <v>294</v>
      </c>
      <c r="E110" s="123">
        <v>4</v>
      </c>
      <c r="F110" s="123"/>
      <c r="G110" s="123"/>
      <c r="H110" s="108" t="s">
        <v>557</v>
      </c>
      <c r="I110" s="108"/>
      <c r="J110" s="108"/>
      <c r="K110" s="108"/>
      <c r="P110" s="9">
        <v>10</v>
      </c>
      <c r="R110" t="s">
        <v>75</v>
      </c>
      <c r="S110" s="117" t="s">
        <v>551</v>
      </c>
      <c r="T110" s="117"/>
      <c r="U110" s="121" t="s">
        <v>1522</v>
      </c>
      <c r="V110" s="108"/>
      <c r="W110" s="108"/>
    </row>
    <row r="111" spans="2:23" x14ac:dyDescent="0.25">
      <c r="B111" s="9">
        <v>5</v>
      </c>
      <c r="D111" t="s">
        <v>75</v>
      </c>
      <c r="E111" s="123">
        <v>3</v>
      </c>
      <c r="F111" s="123"/>
      <c r="G111" s="123"/>
      <c r="H111" s="108" t="s">
        <v>553</v>
      </c>
      <c r="I111" s="108"/>
      <c r="J111" s="108"/>
      <c r="K111" s="108"/>
      <c r="R111" t="s">
        <v>75</v>
      </c>
      <c r="S111" s="117" t="s">
        <v>552</v>
      </c>
      <c r="T111" s="117"/>
      <c r="U111" s="121" t="s">
        <v>1523</v>
      </c>
      <c r="V111" s="108"/>
      <c r="W111" s="108"/>
    </row>
    <row r="112" spans="2:23" x14ac:dyDescent="0.25">
      <c r="B112" s="9">
        <v>6</v>
      </c>
      <c r="D112" t="s">
        <v>294</v>
      </c>
      <c r="E112" s="123">
        <v>3</v>
      </c>
      <c r="F112" s="123"/>
      <c r="G112" s="123"/>
      <c r="H112" s="108" t="s">
        <v>558</v>
      </c>
      <c r="I112" s="108"/>
      <c r="J112" s="108"/>
      <c r="K112" s="108"/>
    </row>
    <row r="113" spans="2:35" x14ac:dyDescent="0.25">
      <c r="B113" s="9">
        <v>7</v>
      </c>
      <c r="D113" t="s">
        <v>75</v>
      </c>
      <c r="E113" s="123">
        <v>3</v>
      </c>
      <c r="F113" s="123"/>
      <c r="G113" s="123"/>
      <c r="H113" s="108" t="s">
        <v>565</v>
      </c>
      <c r="I113" s="108"/>
      <c r="J113" s="108"/>
      <c r="K113" s="108"/>
      <c r="R113" s="101" t="s">
        <v>660</v>
      </c>
      <c r="S113" s="101"/>
      <c r="AH113" s="69"/>
      <c r="AI113" s="34"/>
    </row>
    <row r="114" spans="2:35" x14ac:dyDescent="0.25">
      <c r="B114" s="9">
        <v>8</v>
      </c>
      <c r="D114" t="s">
        <v>435</v>
      </c>
      <c r="E114" s="123">
        <v>3</v>
      </c>
      <c r="F114" s="123"/>
      <c r="G114" s="123"/>
      <c r="H114" s="108" t="s">
        <v>566</v>
      </c>
      <c r="I114" s="108"/>
      <c r="J114" s="108"/>
      <c r="K114" s="108"/>
      <c r="R114" s="18" t="s">
        <v>0</v>
      </c>
      <c r="S114" s="127" t="s">
        <v>266</v>
      </c>
      <c r="T114" s="127"/>
      <c r="U114" s="120" t="s">
        <v>267</v>
      </c>
      <c r="V114" s="120"/>
      <c r="W114" s="120" t="s">
        <v>165</v>
      </c>
      <c r="X114" s="120"/>
      <c r="Y114" s="120"/>
      <c r="AH114" s="70"/>
      <c r="AI114" s="70"/>
    </row>
    <row r="115" spans="2:35" x14ac:dyDescent="0.25">
      <c r="B115" s="9">
        <v>9</v>
      </c>
      <c r="D115" t="s">
        <v>435</v>
      </c>
      <c r="E115" s="123">
        <v>3</v>
      </c>
      <c r="F115" s="123"/>
      <c r="G115" s="123"/>
      <c r="H115" s="121" t="s">
        <v>1094</v>
      </c>
      <c r="I115" s="108"/>
      <c r="J115" s="108"/>
      <c r="K115" s="108"/>
      <c r="P115" s="9">
        <v>1</v>
      </c>
      <c r="R115" s="38" t="s">
        <v>13</v>
      </c>
      <c r="S115" s="110" t="s">
        <v>1053</v>
      </c>
      <c r="T115" s="110"/>
      <c r="U115" s="118">
        <v>44933</v>
      </c>
      <c r="V115" s="118"/>
      <c r="W115" s="103" t="s">
        <v>1052</v>
      </c>
      <c r="X115" s="103"/>
      <c r="Y115" s="103"/>
      <c r="AH115" s="70"/>
      <c r="AI115" s="70"/>
    </row>
    <row r="116" spans="2:35" x14ac:dyDescent="0.25">
      <c r="B116" s="9">
        <v>10</v>
      </c>
      <c r="D116" t="s">
        <v>435</v>
      </c>
      <c r="E116" s="123">
        <v>3</v>
      </c>
      <c r="F116" s="123"/>
      <c r="G116" s="123"/>
      <c r="H116" s="121" t="s">
        <v>1179</v>
      </c>
      <c r="I116" s="108"/>
      <c r="J116" s="108"/>
      <c r="K116" s="108"/>
      <c r="P116" s="9">
        <v>2</v>
      </c>
      <c r="R116" t="s">
        <v>13</v>
      </c>
      <c r="S116" s="117" t="s">
        <v>1233</v>
      </c>
      <c r="T116" s="117"/>
      <c r="U116" s="121">
        <v>44843</v>
      </c>
      <c r="V116" s="108"/>
      <c r="W116" s="108" t="s">
        <v>770</v>
      </c>
      <c r="X116" s="108"/>
      <c r="Y116" s="108"/>
      <c r="AH116" s="70"/>
      <c r="AI116" s="70"/>
    </row>
    <row r="117" spans="2:35" x14ac:dyDescent="0.25">
      <c r="D117" t="s">
        <v>1369</v>
      </c>
      <c r="E117" s="123" t="s">
        <v>1301</v>
      </c>
      <c r="F117" s="123"/>
      <c r="G117" s="123"/>
      <c r="H117" s="121" t="s">
        <v>1723</v>
      </c>
      <c r="I117" s="108"/>
      <c r="J117" s="108"/>
      <c r="K117" s="108"/>
      <c r="P117" s="9">
        <v>3</v>
      </c>
      <c r="R117" s="38" t="s">
        <v>13</v>
      </c>
      <c r="S117" s="110" t="s">
        <v>686</v>
      </c>
      <c r="T117" s="110"/>
      <c r="U117" s="118">
        <v>43372</v>
      </c>
      <c r="V117" s="118"/>
      <c r="W117" s="103" t="s">
        <v>336</v>
      </c>
      <c r="X117" s="103"/>
      <c r="Y117" s="103"/>
      <c r="AH117" s="70"/>
      <c r="AI117" s="70"/>
    </row>
    <row r="118" spans="2:35" x14ac:dyDescent="0.25">
      <c r="P118" s="9">
        <v>4</v>
      </c>
      <c r="R118" s="38" t="s">
        <v>7</v>
      </c>
      <c r="S118" s="110" t="s">
        <v>676</v>
      </c>
      <c r="T118" s="110"/>
      <c r="U118" s="118">
        <v>42434</v>
      </c>
      <c r="V118" s="118"/>
      <c r="W118" s="103" t="s">
        <v>334</v>
      </c>
      <c r="X118" s="103"/>
      <c r="Y118" s="103"/>
      <c r="AH118" s="70"/>
      <c r="AI118" s="70"/>
    </row>
    <row r="119" spans="2:35" x14ac:dyDescent="0.25">
      <c r="P119" s="9">
        <v>5</v>
      </c>
      <c r="R119" s="38" t="s">
        <v>13</v>
      </c>
      <c r="S119" s="110" t="s">
        <v>682</v>
      </c>
      <c r="T119" s="110"/>
      <c r="U119" s="118">
        <v>42834</v>
      </c>
      <c r="V119" s="118"/>
      <c r="W119" s="103" t="s">
        <v>337</v>
      </c>
      <c r="X119" s="103"/>
      <c r="Y119" s="103"/>
      <c r="AH119" s="70"/>
      <c r="AI119" s="70"/>
    </row>
    <row r="120" spans="2:35" x14ac:dyDescent="0.25">
      <c r="D120" s="109" t="s">
        <v>659</v>
      </c>
      <c r="E120" s="109"/>
      <c r="P120" s="9">
        <v>6</v>
      </c>
      <c r="R120" s="38" t="s">
        <v>13</v>
      </c>
      <c r="S120" s="110" t="s">
        <v>689</v>
      </c>
      <c r="T120" s="110"/>
      <c r="U120" s="118">
        <v>43527</v>
      </c>
      <c r="V120" s="118"/>
      <c r="W120" s="103" t="s">
        <v>513</v>
      </c>
      <c r="X120" s="103"/>
      <c r="Y120" s="103"/>
      <c r="AH120" s="69"/>
      <c r="AI120" s="34"/>
    </row>
    <row r="121" spans="2:35" x14ac:dyDescent="0.25">
      <c r="D121" s="18" t="s">
        <v>0</v>
      </c>
      <c r="E121" s="124" t="s">
        <v>266</v>
      </c>
      <c r="F121" s="124"/>
      <c r="G121" s="101" t="s">
        <v>267</v>
      </c>
      <c r="H121" s="101"/>
      <c r="I121" s="101" t="s">
        <v>165</v>
      </c>
      <c r="J121" s="101"/>
      <c r="K121" s="101"/>
      <c r="L121" s="101"/>
      <c r="M121" s="41"/>
      <c r="P121" s="9">
        <v>7</v>
      </c>
      <c r="R121" s="38" t="s">
        <v>7</v>
      </c>
      <c r="S121" s="110" t="s">
        <v>672</v>
      </c>
      <c r="T121" s="110"/>
      <c r="U121" s="118">
        <v>41903</v>
      </c>
      <c r="V121" s="118"/>
      <c r="W121" s="103" t="s">
        <v>673</v>
      </c>
      <c r="X121" s="103"/>
      <c r="Y121" s="103"/>
      <c r="AH121" s="69"/>
      <c r="AI121" s="34"/>
    </row>
    <row r="122" spans="2:35" x14ac:dyDescent="0.25">
      <c r="B122" s="9">
        <v>1</v>
      </c>
      <c r="D122" s="38" t="s">
        <v>36</v>
      </c>
      <c r="E122" s="110" t="s">
        <v>687</v>
      </c>
      <c r="F122" s="110"/>
      <c r="G122" s="118">
        <v>43372</v>
      </c>
      <c r="H122" s="118"/>
      <c r="I122" s="103" t="s">
        <v>688</v>
      </c>
      <c r="J122" s="103"/>
      <c r="K122" s="103"/>
      <c r="L122" s="103"/>
      <c r="P122" s="9">
        <v>8</v>
      </c>
      <c r="R122" s="38" t="s">
        <v>34</v>
      </c>
      <c r="S122" s="110" t="s">
        <v>692</v>
      </c>
      <c r="T122" s="110"/>
      <c r="U122" s="118">
        <v>43856</v>
      </c>
      <c r="V122" s="118"/>
      <c r="W122" s="103" t="s">
        <v>386</v>
      </c>
      <c r="X122" s="103"/>
      <c r="Y122" s="103"/>
    </row>
    <row r="123" spans="2:35" x14ac:dyDescent="0.25">
      <c r="B123" s="9">
        <v>2</v>
      </c>
      <c r="D123" s="38" t="s">
        <v>13</v>
      </c>
      <c r="E123" s="110" t="s">
        <v>508</v>
      </c>
      <c r="F123" s="110"/>
      <c r="G123" s="118">
        <v>43582</v>
      </c>
      <c r="H123" s="118"/>
      <c r="I123" s="103" t="s">
        <v>348</v>
      </c>
      <c r="J123" s="103"/>
      <c r="K123" s="103"/>
      <c r="L123" s="103"/>
      <c r="P123" s="9">
        <v>9</v>
      </c>
      <c r="R123" s="38" t="s">
        <v>30</v>
      </c>
      <c r="S123" s="117" t="s">
        <v>1234</v>
      </c>
      <c r="T123" s="117"/>
      <c r="U123" s="121">
        <v>41350</v>
      </c>
      <c r="V123" s="108"/>
      <c r="W123" s="108" t="s">
        <v>492</v>
      </c>
      <c r="X123" s="108"/>
      <c r="Y123" s="108"/>
    </row>
    <row r="124" spans="2:35" x14ac:dyDescent="0.25">
      <c r="B124" s="9">
        <v>3</v>
      </c>
      <c r="D124" s="38" t="s">
        <v>13</v>
      </c>
      <c r="E124" s="110" t="s">
        <v>508</v>
      </c>
      <c r="F124" s="110"/>
      <c r="G124" s="118">
        <v>44933</v>
      </c>
      <c r="H124" s="118"/>
      <c r="I124" s="103" t="s">
        <v>1052</v>
      </c>
      <c r="J124" s="103"/>
      <c r="K124" s="103"/>
      <c r="L124" s="103"/>
      <c r="P124" s="9">
        <v>10</v>
      </c>
      <c r="R124" s="38" t="s">
        <v>16</v>
      </c>
      <c r="S124" s="117" t="s">
        <v>1235</v>
      </c>
      <c r="T124" s="117"/>
      <c r="U124" s="118">
        <v>42092</v>
      </c>
      <c r="V124" s="118"/>
      <c r="W124" s="103" t="s">
        <v>335</v>
      </c>
      <c r="X124" s="103"/>
      <c r="Y124" s="103"/>
      <c r="Z124" s="41"/>
    </row>
    <row r="125" spans="2:35" x14ac:dyDescent="0.25">
      <c r="B125" s="9">
        <v>4</v>
      </c>
      <c r="D125" s="38" t="s">
        <v>13</v>
      </c>
      <c r="E125" s="110" t="s">
        <v>494</v>
      </c>
      <c r="F125" s="110"/>
      <c r="G125" s="118">
        <v>44933</v>
      </c>
      <c r="H125" s="118"/>
      <c r="I125" s="103" t="s">
        <v>1052</v>
      </c>
      <c r="J125" s="103"/>
      <c r="K125" s="103"/>
      <c r="L125" s="103"/>
    </row>
    <row r="126" spans="2:35" x14ac:dyDescent="0.25">
      <c r="B126" s="9">
        <v>5</v>
      </c>
      <c r="D126" s="38" t="s">
        <v>255</v>
      </c>
      <c r="E126" s="110" t="s">
        <v>693</v>
      </c>
      <c r="F126" s="110"/>
      <c r="G126" s="118">
        <v>44485</v>
      </c>
      <c r="H126" s="118"/>
      <c r="I126" s="103" t="s">
        <v>694</v>
      </c>
      <c r="J126" s="103"/>
      <c r="K126" s="103"/>
      <c r="L126" s="103"/>
    </row>
    <row r="127" spans="2:35" x14ac:dyDescent="0.25">
      <c r="B127" s="9">
        <v>6</v>
      </c>
      <c r="D127" s="38" t="s">
        <v>13</v>
      </c>
      <c r="E127" s="110" t="s">
        <v>769</v>
      </c>
      <c r="F127" s="110"/>
      <c r="G127" s="118">
        <v>44843</v>
      </c>
      <c r="H127" s="118"/>
      <c r="I127" s="103" t="s">
        <v>770</v>
      </c>
      <c r="J127" s="103"/>
      <c r="K127" s="103"/>
      <c r="L127" s="103"/>
      <c r="R127" s="101" t="s">
        <v>662</v>
      </c>
      <c r="S127" s="101"/>
    </row>
    <row r="128" spans="2:35" x14ac:dyDescent="0.25">
      <c r="B128" s="9">
        <v>7</v>
      </c>
      <c r="D128" s="38" t="s">
        <v>438</v>
      </c>
      <c r="E128" s="110" t="s">
        <v>769</v>
      </c>
      <c r="F128" s="110"/>
      <c r="G128" s="118">
        <v>44885</v>
      </c>
      <c r="H128" s="118"/>
      <c r="I128" s="103" t="s">
        <v>1039</v>
      </c>
      <c r="J128" s="103"/>
      <c r="K128" s="103"/>
      <c r="L128" s="103"/>
      <c r="R128" s="18" t="s">
        <v>0</v>
      </c>
      <c r="S128" s="124" t="s">
        <v>266</v>
      </c>
      <c r="T128" s="124"/>
      <c r="U128" s="101" t="s">
        <v>267</v>
      </c>
      <c r="V128" s="101"/>
      <c r="W128" s="101" t="s">
        <v>165</v>
      </c>
      <c r="X128" s="101"/>
      <c r="Y128" s="101"/>
    </row>
    <row r="129" spans="2:25" x14ac:dyDescent="0.25">
      <c r="B129" s="9">
        <v>8</v>
      </c>
      <c r="D129" s="38" t="s">
        <v>18</v>
      </c>
      <c r="E129" s="110" t="s">
        <v>669</v>
      </c>
      <c r="F129" s="110"/>
      <c r="G129" s="118">
        <v>41301</v>
      </c>
      <c r="H129" s="118"/>
      <c r="I129" s="103" t="s">
        <v>670</v>
      </c>
      <c r="J129" s="103"/>
      <c r="K129" s="103"/>
      <c r="L129" s="103"/>
      <c r="P129" s="9">
        <v>1</v>
      </c>
      <c r="R129" s="38" t="s">
        <v>13</v>
      </c>
      <c r="S129" s="110" t="s">
        <v>1055</v>
      </c>
      <c r="T129" s="110"/>
      <c r="U129" s="118">
        <v>44933</v>
      </c>
      <c r="V129" s="118"/>
      <c r="W129" s="103" t="s">
        <v>1052</v>
      </c>
      <c r="X129" s="103"/>
      <c r="Y129" s="103"/>
    </row>
    <row r="130" spans="2:25" x14ac:dyDescent="0.25">
      <c r="B130" s="9">
        <v>9</v>
      </c>
      <c r="D130" s="38" t="s">
        <v>358</v>
      </c>
      <c r="E130" s="110" t="s">
        <v>691</v>
      </c>
      <c r="F130" s="110"/>
      <c r="G130" s="118">
        <v>43856</v>
      </c>
      <c r="H130" s="118"/>
      <c r="I130" s="103" t="s">
        <v>386</v>
      </c>
      <c r="J130" s="103"/>
      <c r="K130" s="103"/>
      <c r="L130" s="103"/>
      <c r="P130" s="9">
        <v>2</v>
      </c>
      <c r="R130" s="38" t="s">
        <v>13</v>
      </c>
      <c r="S130" s="110" t="s">
        <v>685</v>
      </c>
      <c r="T130" s="110"/>
      <c r="U130" s="118">
        <v>42834</v>
      </c>
      <c r="V130" s="118"/>
      <c r="W130" s="103" t="s">
        <v>337</v>
      </c>
      <c r="X130" s="103"/>
      <c r="Y130" s="103"/>
    </row>
    <row r="131" spans="2:25" x14ac:dyDescent="0.25">
      <c r="B131" s="9">
        <v>10</v>
      </c>
      <c r="D131" s="38" t="s">
        <v>77</v>
      </c>
      <c r="E131" s="117" t="s">
        <v>1232</v>
      </c>
      <c r="F131" s="117"/>
      <c r="G131" s="121">
        <v>42120</v>
      </c>
      <c r="H131" s="108"/>
      <c r="I131" s="108" t="s">
        <v>675</v>
      </c>
      <c r="J131" s="108"/>
      <c r="K131" s="108"/>
      <c r="L131" s="108"/>
      <c r="P131" s="9">
        <v>3</v>
      </c>
      <c r="R131" s="38" t="s">
        <v>7</v>
      </c>
      <c r="S131" s="110" t="s">
        <v>679</v>
      </c>
      <c r="T131" s="110"/>
      <c r="U131" s="118">
        <v>42434</v>
      </c>
      <c r="V131" s="118"/>
      <c r="W131" s="103" t="s">
        <v>334</v>
      </c>
      <c r="X131" s="103"/>
      <c r="Y131" s="103"/>
    </row>
    <row r="132" spans="2:25" x14ac:dyDescent="0.25">
      <c r="P132" s="9">
        <v>4</v>
      </c>
      <c r="R132" s="59" t="s">
        <v>434</v>
      </c>
      <c r="S132" s="110" t="s">
        <v>771</v>
      </c>
      <c r="T132" s="110"/>
      <c r="U132" s="118">
        <v>44843</v>
      </c>
      <c r="V132" s="118"/>
      <c r="W132" s="103" t="s">
        <v>768</v>
      </c>
      <c r="X132" s="103"/>
      <c r="Y132" s="103"/>
    </row>
    <row r="133" spans="2:25" x14ac:dyDescent="0.25">
      <c r="P133" s="9">
        <v>5</v>
      </c>
      <c r="R133" s="38" t="s">
        <v>13</v>
      </c>
      <c r="S133" s="110" t="s">
        <v>680</v>
      </c>
      <c r="T133" s="110"/>
      <c r="U133" s="118">
        <v>42434</v>
      </c>
      <c r="V133" s="118"/>
      <c r="W133" s="103" t="s">
        <v>334</v>
      </c>
      <c r="X133" s="103"/>
      <c r="Y133" s="103"/>
    </row>
    <row r="134" spans="2:25" x14ac:dyDescent="0.25">
      <c r="D134" s="132" t="s">
        <v>661</v>
      </c>
      <c r="E134" s="132"/>
    </row>
    <row r="135" spans="2:25" x14ac:dyDescent="0.25">
      <c r="D135" s="11" t="s">
        <v>0</v>
      </c>
      <c r="E135" s="124" t="s">
        <v>266</v>
      </c>
      <c r="F135" s="124"/>
      <c r="G135" s="101" t="s">
        <v>267</v>
      </c>
      <c r="H135" s="101"/>
      <c r="I135" s="101" t="s">
        <v>165</v>
      </c>
      <c r="J135" s="101"/>
      <c r="K135" s="101"/>
      <c r="L135" s="101"/>
    </row>
    <row r="136" spans="2:25" x14ac:dyDescent="0.25">
      <c r="B136" s="9">
        <v>1</v>
      </c>
      <c r="D136" s="38" t="s">
        <v>16</v>
      </c>
      <c r="E136" s="110" t="s">
        <v>674</v>
      </c>
      <c r="F136" s="110"/>
      <c r="G136" s="118">
        <v>42092</v>
      </c>
      <c r="H136" s="118"/>
      <c r="I136" s="103" t="s">
        <v>335</v>
      </c>
      <c r="J136" s="103"/>
      <c r="K136" s="103"/>
      <c r="L136" s="103"/>
      <c r="R136" s="112" t="s">
        <v>907</v>
      </c>
      <c r="S136" s="114"/>
    </row>
    <row r="137" spans="2:25" x14ac:dyDescent="0.25">
      <c r="B137" s="9">
        <v>2</v>
      </c>
      <c r="D137" s="38" t="s">
        <v>13</v>
      </c>
      <c r="E137" s="110" t="s">
        <v>683</v>
      </c>
      <c r="F137" s="110"/>
      <c r="G137" s="118">
        <v>42834</v>
      </c>
      <c r="H137" s="118"/>
      <c r="I137" s="103" t="s">
        <v>337</v>
      </c>
      <c r="J137" s="103"/>
      <c r="K137" s="103"/>
      <c r="L137" s="103"/>
      <c r="R137" s="18" t="s">
        <v>0</v>
      </c>
      <c r="S137" s="115" t="s">
        <v>518</v>
      </c>
      <c r="T137" s="122"/>
      <c r="U137" s="116"/>
      <c r="V137" s="112" t="s">
        <v>519</v>
      </c>
      <c r="W137" s="113"/>
      <c r="X137" s="113"/>
      <c r="Y137" s="114"/>
    </row>
    <row r="138" spans="2:25" x14ac:dyDescent="0.25">
      <c r="B138" s="9">
        <v>3</v>
      </c>
      <c r="D138" s="38" t="s">
        <v>7</v>
      </c>
      <c r="E138" s="110" t="s">
        <v>678</v>
      </c>
      <c r="F138" s="110"/>
      <c r="G138" s="118">
        <v>42434</v>
      </c>
      <c r="H138" s="118"/>
      <c r="I138" s="103" t="s">
        <v>334</v>
      </c>
      <c r="J138" s="103"/>
      <c r="K138" s="103"/>
      <c r="L138" s="103"/>
      <c r="P138" s="9">
        <v>1</v>
      </c>
      <c r="R138" t="s">
        <v>13</v>
      </c>
      <c r="S138" s="130" t="s">
        <v>1146</v>
      </c>
      <c r="T138" s="130"/>
      <c r="U138" s="130"/>
      <c r="V138" s="103" t="s">
        <v>1032</v>
      </c>
      <c r="W138" s="103"/>
      <c r="X138" s="103"/>
      <c r="Y138" s="103"/>
    </row>
    <row r="139" spans="2:25" x14ac:dyDescent="0.25">
      <c r="B139" s="9">
        <v>4</v>
      </c>
      <c r="D139" s="38" t="s">
        <v>13</v>
      </c>
      <c r="E139" s="110" t="s">
        <v>690</v>
      </c>
      <c r="F139" s="110"/>
      <c r="G139" s="118">
        <v>43582</v>
      </c>
      <c r="H139" s="118"/>
      <c r="I139" s="103" t="s">
        <v>348</v>
      </c>
      <c r="J139" s="103"/>
      <c r="K139" s="103"/>
      <c r="L139" s="103"/>
      <c r="P139" s="9">
        <v>2</v>
      </c>
      <c r="R139" t="s">
        <v>324</v>
      </c>
      <c r="S139" s="119">
        <v>20</v>
      </c>
      <c r="T139" s="119"/>
      <c r="U139" s="119"/>
      <c r="V139" s="103" t="s">
        <v>1096</v>
      </c>
      <c r="W139" s="103"/>
      <c r="X139" s="103"/>
      <c r="Y139" s="103"/>
    </row>
    <row r="140" spans="2:25" x14ac:dyDescent="0.25">
      <c r="B140" s="9">
        <v>5</v>
      </c>
      <c r="D140" s="38" t="s">
        <v>13</v>
      </c>
      <c r="E140" s="110" t="s">
        <v>671</v>
      </c>
      <c r="F140" s="110"/>
      <c r="G140" s="118">
        <v>41644</v>
      </c>
      <c r="H140" s="118"/>
      <c r="I140" s="103" t="s">
        <v>496</v>
      </c>
      <c r="J140" s="103"/>
      <c r="K140" s="103"/>
      <c r="L140" s="103"/>
      <c r="P140" s="9">
        <v>3</v>
      </c>
      <c r="R140" t="s">
        <v>30</v>
      </c>
      <c r="S140" s="130" t="s">
        <v>1003</v>
      </c>
      <c r="T140" s="130"/>
      <c r="U140" s="130"/>
      <c r="V140" s="103" t="s">
        <v>1030</v>
      </c>
      <c r="W140" s="103"/>
      <c r="X140" s="103"/>
      <c r="Y140" s="103"/>
    </row>
    <row r="141" spans="2:25" x14ac:dyDescent="0.25">
      <c r="B141" s="9">
        <v>6</v>
      </c>
      <c r="D141" s="38" t="s">
        <v>434</v>
      </c>
      <c r="E141" s="110" t="s">
        <v>695</v>
      </c>
      <c r="F141" s="110"/>
      <c r="G141" s="118">
        <v>44597</v>
      </c>
      <c r="H141" s="118"/>
      <c r="I141" s="103" t="s">
        <v>696</v>
      </c>
      <c r="J141" s="103"/>
      <c r="K141" s="103"/>
      <c r="L141" s="103"/>
      <c r="P141" s="9">
        <v>4</v>
      </c>
      <c r="R141" t="s">
        <v>7</v>
      </c>
      <c r="S141" s="123">
        <v>15</v>
      </c>
      <c r="T141" s="123"/>
      <c r="U141" s="123"/>
      <c r="V141" s="108" t="s">
        <v>1031</v>
      </c>
      <c r="W141" s="108"/>
      <c r="X141" s="108"/>
      <c r="Y141" s="108"/>
    </row>
    <row r="142" spans="2:25" x14ac:dyDescent="0.25">
      <c r="B142" s="9">
        <v>7</v>
      </c>
      <c r="D142" s="38" t="s">
        <v>7</v>
      </c>
      <c r="E142" s="110" t="s">
        <v>677</v>
      </c>
      <c r="F142" s="110"/>
      <c r="G142" s="118">
        <v>42434</v>
      </c>
      <c r="H142" s="118"/>
      <c r="I142" s="103" t="s">
        <v>334</v>
      </c>
      <c r="J142" s="103"/>
      <c r="K142" s="103"/>
      <c r="L142" s="103"/>
      <c r="P142" s="9">
        <v>5</v>
      </c>
      <c r="R142" s="38" t="s">
        <v>7</v>
      </c>
      <c r="S142" s="119">
        <v>14</v>
      </c>
      <c r="T142" s="119"/>
      <c r="U142" s="119"/>
      <c r="V142" s="103" t="s">
        <v>1018</v>
      </c>
      <c r="W142" s="103"/>
      <c r="X142" s="103"/>
      <c r="Y142" s="103"/>
    </row>
    <row r="143" spans="2:25" x14ac:dyDescent="0.25">
      <c r="B143" s="9">
        <v>8</v>
      </c>
      <c r="D143" s="38" t="s">
        <v>13</v>
      </c>
      <c r="E143" s="110" t="s">
        <v>759</v>
      </c>
      <c r="F143" s="110"/>
      <c r="G143" s="118">
        <v>44933</v>
      </c>
      <c r="H143" s="118"/>
      <c r="I143" s="103" t="s">
        <v>1052</v>
      </c>
      <c r="J143" s="103"/>
      <c r="K143" s="103"/>
      <c r="L143" s="103"/>
      <c r="P143" s="9">
        <v>6</v>
      </c>
      <c r="R143" s="38" t="s">
        <v>358</v>
      </c>
      <c r="S143" s="119">
        <v>12</v>
      </c>
      <c r="T143" s="119"/>
      <c r="U143" s="119"/>
      <c r="V143" s="103" t="s">
        <v>1097</v>
      </c>
      <c r="W143" s="103"/>
      <c r="X143" s="103"/>
      <c r="Y143" s="103"/>
    </row>
    <row r="144" spans="2:25" x14ac:dyDescent="0.25">
      <c r="B144" s="9">
        <v>9</v>
      </c>
      <c r="D144" s="38" t="s">
        <v>13</v>
      </c>
      <c r="E144" s="110" t="s">
        <v>1054</v>
      </c>
      <c r="F144" s="110"/>
      <c r="G144" s="118">
        <v>44933</v>
      </c>
      <c r="H144" s="118"/>
      <c r="I144" s="103" t="s">
        <v>1052</v>
      </c>
      <c r="J144" s="103"/>
      <c r="K144" s="103"/>
      <c r="L144" s="103"/>
      <c r="P144" s="9">
        <v>7</v>
      </c>
      <c r="R144" t="s">
        <v>7</v>
      </c>
      <c r="S144" s="119">
        <v>11</v>
      </c>
      <c r="T144" s="119"/>
      <c r="U144" s="119"/>
      <c r="V144" s="103" t="s">
        <v>1024</v>
      </c>
      <c r="W144" s="103"/>
      <c r="X144" s="103"/>
      <c r="Y144" s="103"/>
    </row>
    <row r="145" spans="2:25" x14ac:dyDescent="0.25">
      <c r="B145" s="9">
        <v>10</v>
      </c>
      <c r="D145" s="38" t="s">
        <v>13</v>
      </c>
      <c r="E145" s="110" t="s">
        <v>684</v>
      </c>
      <c r="F145" s="110"/>
      <c r="G145" s="118">
        <v>42834</v>
      </c>
      <c r="H145" s="118"/>
      <c r="I145" s="103" t="s">
        <v>337</v>
      </c>
      <c r="J145" s="103"/>
      <c r="K145" s="103"/>
      <c r="L145" s="103"/>
      <c r="P145" s="9">
        <v>8</v>
      </c>
      <c r="R145" s="38" t="s">
        <v>324</v>
      </c>
      <c r="S145" s="119">
        <v>11</v>
      </c>
      <c r="T145" s="119"/>
      <c r="U145" s="119"/>
      <c r="V145" s="103" t="s">
        <v>1554</v>
      </c>
      <c r="W145" s="103"/>
      <c r="X145" s="103"/>
      <c r="Y145" s="103"/>
    </row>
    <row r="146" spans="2:25" x14ac:dyDescent="0.25">
      <c r="P146" s="9">
        <v>9</v>
      </c>
      <c r="R146" s="38" t="s">
        <v>7</v>
      </c>
      <c r="S146" s="130">
        <v>10</v>
      </c>
      <c r="T146" s="130"/>
      <c r="U146" s="130"/>
      <c r="V146" s="103" t="s">
        <v>1561</v>
      </c>
      <c r="W146" s="103"/>
      <c r="X146" s="103"/>
      <c r="Y146" s="103"/>
    </row>
    <row r="147" spans="2:25" x14ac:dyDescent="0.25">
      <c r="P147" s="9">
        <v>10</v>
      </c>
      <c r="R147" t="s">
        <v>7</v>
      </c>
      <c r="S147" s="123">
        <v>9</v>
      </c>
      <c r="T147" s="123"/>
      <c r="U147" s="123"/>
      <c r="V147" s="108" t="s">
        <v>1033</v>
      </c>
      <c r="W147" s="108"/>
      <c r="X147" s="108"/>
      <c r="Y147" s="108"/>
    </row>
    <row r="148" spans="2:25" x14ac:dyDescent="0.25">
      <c r="D148" s="112" t="s">
        <v>906</v>
      </c>
      <c r="E148" s="114"/>
      <c r="R148" t="s">
        <v>34</v>
      </c>
      <c r="S148" s="130" t="s">
        <v>1029</v>
      </c>
      <c r="T148" s="130"/>
      <c r="U148" s="130"/>
      <c r="V148" s="103" t="s">
        <v>1028</v>
      </c>
      <c r="W148" s="103"/>
      <c r="X148" s="103"/>
      <c r="Y148" s="103"/>
    </row>
    <row r="149" spans="2:25" x14ac:dyDescent="0.25">
      <c r="D149" s="18" t="s">
        <v>0</v>
      </c>
      <c r="E149" s="115" t="s">
        <v>518</v>
      </c>
      <c r="F149" s="122"/>
      <c r="G149" s="116"/>
      <c r="H149" s="112" t="s">
        <v>519</v>
      </c>
      <c r="I149" s="113"/>
      <c r="J149" s="113"/>
      <c r="K149" s="114"/>
      <c r="R149" s="38" t="s">
        <v>8</v>
      </c>
      <c r="S149" s="119" t="s">
        <v>1029</v>
      </c>
      <c r="T149" s="119"/>
      <c r="U149" s="119"/>
      <c r="V149" s="103" t="s">
        <v>1180</v>
      </c>
      <c r="W149" s="103"/>
      <c r="X149" s="103"/>
      <c r="Y149" s="103"/>
    </row>
    <row r="150" spans="2:25" x14ac:dyDescent="0.25">
      <c r="B150" s="9">
        <v>1</v>
      </c>
      <c r="D150" s="38" t="s">
        <v>13</v>
      </c>
      <c r="E150" s="119" t="s">
        <v>1098</v>
      </c>
      <c r="F150" s="119"/>
      <c r="G150" s="119"/>
      <c r="H150" s="103" t="s">
        <v>1017</v>
      </c>
      <c r="I150" s="103"/>
      <c r="J150" s="103"/>
      <c r="K150" s="103"/>
    </row>
    <row r="151" spans="2:25" x14ac:dyDescent="0.25">
      <c r="B151" s="9">
        <v>2</v>
      </c>
      <c r="D151" s="38" t="s">
        <v>7</v>
      </c>
      <c r="E151" s="119">
        <v>14</v>
      </c>
      <c r="F151" s="119"/>
      <c r="G151" s="119"/>
      <c r="H151" s="103" t="s">
        <v>1018</v>
      </c>
      <c r="I151" s="103"/>
      <c r="J151" s="103"/>
      <c r="K151" s="103"/>
    </row>
    <row r="152" spans="2:25" x14ac:dyDescent="0.25">
      <c r="B152" s="9">
        <v>3</v>
      </c>
      <c r="D152" s="38" t="s">
        <v>7</v>
      </c>
      <c r="E152" s="130">
        <v>11</v>
      </c>
      <c r="F152" s="130"/>
      <c r="G152" s="130"/>
      <c r="H152" s="103" t="s">
        <v>1024</v>
      </c>
      <c r="I152" s="103"/>
      <c r="J152" s="103"/>
      <c r="K152" s="103"/>
      <c r="R152" s="120" t="s">
        <v>908</v>
      </c>
      <c r="S152" s="120"/>
      <c r="T152" s="120"/>
    </row>
    <row r="153" spans="2:25" x14ac:dyDescent="0.25">
      <c r="B153" s="9">
        <v>4</v>
      </c>
      <c r="D153" s="38" t="s">
        <v>30</v>
      </c>
      <c r="E153" s="119">
        <v>8</v>
      </c>
      <c r="F153" s="119"/>
      <c r="G153" s="119"/>
      <c r="H153" s="103" t="s">
        <v>1019</v>
      </c>
      <c r="I153" s="103"/>
      <c r="J153" s="103"/>
      <c r="K153" s="103"/>
      <c r="R153" s="18" t="s">
        <v>0</v>
      </c>
      <c r="S153" s="115" t="s">
        <v>518</v>
      </c>
      <c r="T153" s="122"/>
      <c r="U153" s="116"/>
      <c r="V153" s="112" t="s">
        <v>519</v>
      </c>
      <c r="W153" s="113"/>
      <c r="X153" s="113"/>
      <c r="Y153" s="114"/>
    </row>
    <row r="154" spans="2:25" x14ac:dyDescent="0.25">
      <c r="B154" s="9">
        <v>5</v>
      </c>
      <c r="D154" s="38" t="s">
        <v>13</v>
      </c>
      <c r="E154" s="130">
        <v>8</v>
      </c>
      <c r="F154" s="130"/>
      <c r="G154" s="130"/>
      <c r="H154" s="103" t="s">
        <v>1027</v>
      </c>
      <c r="I154" s="103"/>
      <c r="J154" s="103"/>
      <c r="K154" s="103"/>
      <c r="P154" s="9">
        <v>1</v>
      </c>
      <c r="R154" s="38" t="s">
        <v>255</v>
      </c>
      <c r="S154" s="123">
        <v>86</v>
      </c>
      <c r="T154" s="123"/>
      <c r="U154" s="123"/>
      <c r="V154" s="108" t="s">
        <v>1013</v>
      </c>
      <c r="W154" s="108"/>
      <c r="X154" s="108"/>
      <c r="Y154" s="108"/>
    </row>
    <row r="155" spans="2:25" x14ac:dyDescent="0.25">
      <c r="B155" s="9">
        <v>6</v>
      </c>
      <c r="D155" s="38" t="s">
        <v>8</v>
      </c>
      <c r="E155" s="119" t="s">
        <v>1029</v>
      </c>
      <c r="F155" s="119"/>
      <c r="G155" s="119"/>
      <c r="H155" s="103" t="s">
        <v>1180</v>
      </c>
      <c r="I155" s="103"/>
      <c r="J155" s="103"/>
      <c r="K155" s="103"/>
      <c r="P155" s="9">
        <v>2</v>
      </c>
      <c r="R155" t="s">
        <v>1011</v>
      </c>
      <c r="S155" s="130">
        <v>58</v>
      </c>
      <c r="T155" s="130"/>
      <c r="U155" s="130"/>
      <c r="V155" s="103" t="s">
        <v>1524</v>
      </c>
      <c r="W155" s="103"/>
      <c r="X155" s="103"/>
      <c r="Y155" s="103"/>
    </row>
    <row r="156" spans="2:25" x14ac:dyDescent="0.25">
      <c r="B156" s="9">
        <v>7</v>
      </c>
      <c r="D156" s="38" t="s">
        <v>13</v>
      </c>
      <c r="E156" s="119">
        <v>7</v>
      </c>
      <c r="F156" s="119"/>
      <c r="G156" s="119"/>
      <c r="H156" s="103" t="s">
        <v>1026</v>
      </c>
      <c r="I156" s="103"/>
      <c r="J156" s="103"/>
      <c r="K156" s="103"/>
      <c r="P156" s="9">
        <v>3</v>
      </c>
      <c r="R156" t="s">
        <v>1011</v>
      </c>
      <c r="S156" s="130">
        <v>50</v>
      </c>
      <c r="T156" s="130"/>
      <c r="U156" s="130"/>
      <c r="V156" s="103" t="s">
        <v>1012</v>
      </c>
      <c r="W156" s="103"/>
      <c r="X156" s="103"/>
      <c r="Y156" s="103"/>
    </row>
    <row r="157" spans="2:25" x14ac:dyDescent="0.25">
      <c r="B157" s="9">
        <v>8</v>
      </c>
      <c r="D157" s="38" t="s">
        <v>324</v>
      </c>
      <c r="E157" s="119">
        <v>7</v>
      </c>
      <c r="F157" s="119"/>
      <c r="G157" s="119"/>
      <c r="H157" s="103" t="s">
        <v>1021</v>
      </c>
      <c r="I157" s="103"/>
      <c r="J157" s="103"/>
      <c r="K157" s="103"/>
      <c r="P157" s="9">
        <v>4</v>
      </c>
      <c r="R157" t="s">
        <v>434</v>
      </c>
      <c r="S157" s="130">
        <v>39</v>
      </c>
      <c r="T157" s="130"/>
      <c r="U157" s="130"/>
      <c r="V157" s="103" t="s">
        <v>1555</v>
      </c>
      <c r="W157" s="103"/>
      <c r="X157" s="103"/>
      <c r="Y157" s="103"/>
    </row>
    <row r="158" spans="2:25" x14ac:dyDescent="0.25">
      <c r="B158" s="9">
        <v>9</v>
      </c>
      <c r="D158" s="38" t="s">
        <v>30</v>
      </c>
      <c r="E158" s="130">
        <v>6</v>
      </c>
      <c r="F158" s="130"/>
      <c r="G158" s="130"/>
      <c r="H158" s="103" t="s">
        <v>1023</v>
      </c>
      <c r="I158" s="103"/>
      <c r="J158" s="103"/>
      <c r="K158" s="103"/>
      <c r="P158" s="9">
        <v>5</v>
      </c>
      <c r="R158" s="38" t="s">
        <v>434</v>
      </c>
      <c r="S158" s="119">
        <v>34</v>
      </c>
      <c r="T158" s="119"/>
      <c r="U158" s="119"/>
      <c r="V158" s="103" t="s">
        <v>1095</v>
      </c>
      <c r="W158" s="103"/>
      <c r="X158" s="103"/>
      <c r="Y158" s="103"/>
    </row>
    <row r="159" spans="2:25" x14ac:dyDescent="0.25">
      <c r="B159" s="9">
        <v>10</v>
      </c>
      <c r="D159" s="38" t="s">
        <v>203</v>
      </c>
      <c r="E159" s="130">
        <v>6</v>
      </c>
      <c r="F159" s="130"/>
      <c r="G159" s="130"/>
      <c r="H159" s="103" t="s">
        <v>1022</v>
      </c>
      <c r="I159" s="103"/>
      <c r="J159" s="103"/>
      <c r="K159" s="103"/>
      <c r="P159" s="9">
        <v>6</v>
      </c>
      <c r="R159" s="38" t="s">
        <v>294</v>
      </c>
      <c r="S159" s="119">
        <v>32</v>
      </c>
      <c r="T159" s="119"/>
      <c r="U159" s="119"/>
      <c r="V159" s="103" t="s">
        <v>1016</v>
      </c>
      <c r="W159" s="103"/>
      <c r="X159" s="103"/>
      <c r="Y159" s="103"/>
    </row>
    <row r="160" spans="2:25" x14ac:dyDescent="0.25">
      <c r="D160" s="38" t="s">
        <v>34</v>
      </c>
      <c r="E160" s="130">
        <v>6</v>
      </c>
      <c r="F160" s="130"/>
      <c r="G160" s="130"/>
      <c r="H160" s="103" t="s">
        <v>1020</v>
      </c>
      <c r="I160" s="103"/>
      <c r="J160" s="103"/>
      <c r="K160" s="103"/>
      <c r="P160" s="9">
        <v>7</v>
      </c>
      <c r="R160" t="s">
        <v>20</v>
      </c>
      <c r="S160" s="123">
        <v>29</v>
      </c>
      <c r="T160" s="123"/>
      <c r="U160" s="123"/>
      <c r="V160" s="108" t="s">
        <v>1010</v>
      </c>
      <c r="W160" s="108"/>
      <c r="X160" s="108"/>
      <c r="Y160" s="108"/>
    </row>
    <row r="161" spans="4:25" x14ac:dyDescent="0.25">
      <c r="D161" s="38" t="s">
        <v>7</v>
      </c>
      <c r="E161" s="119">
        <v>6</v>
      </c>
      <c r="F161" s="119"/>
      <c r="G161" s="119"/>
      <c r="H161" s="103" t="s">
        <v>1025</v>
      </c>
      <c r="I161" s="103"/>
      <c r="J161" s="103"/>
      <c r="K161" s="103"/>
      <c r="P161" s="9">
        <v>8</v>
      </c>
      <c r="R161" t="s">
        <v>36</v>
      </c>
      <c r="S161" s="123">
        <v>28</v>
      </c>
      <c r="T161" s="123"/>
      <c r="U161" s="123"/>
      <c r="V161" s="108" t="s">
        <v>1009</v>
      </c>
      <c r="W161" s="108"/>
      <c r="X161" s="108"/>
      <c r="Y161" s="108"/>
    </row>
    <row r="162" spans="4:25" x14ac:dyDescent="0.25">
      <c r="D162" s="38" t="s">
        <v>434</v>
      </c>
      <c r="E162" s="119">
        <v>6</v>
      </c>
      <c r="F162" s="119"/>
      <c r="G162" s="119"/>
      <c r="H162" s="103" t="s">
        <v>1040</v>
      </c>
      <c r="I162" s="103"/>
      <c r="J162" s="103"/>
      <c r="K162" s="103"/>
      <c r="P162" s="9">
        <v>9</v>
      </c>
      <c r="R162" s="38" t="s">
        <v>17</v>
      </c>
      <c r="S162" s="119">
        <v>28</v>
      </c>
      <c r="T162" s="119"/>
      <c r="U162" s="119"/>
      <c r="V162" s="103" t="s">
        <v>1014</v>
      </c>
      <c r="W162" s="103"/>
      <c r="X162" s="103"/>
      <c r="Y162" s="103"/>
    </row>
    <row r="163" spans="4:25" x14ac:dyDescent="0.25">
      <c r="D163" s="38" t="s">
        <v>7</v>
      </c>
      <c r="E163" s="119">
        <v>6</v>
      </c>
      <c r="F163" s="119"/>
      <c r="G163" s="119"/>
      <c r="H163" s="103" t="s">
        <v>1553</v>
      </c>
      <c r="I163" s="103"/>
      <c r="J163" s="103"/>
      <c r="K163" s="103"/>
      <c r="P163" s="9">
        <v>10</v>
      </c>
      <c r="R163" s="38" t="s">
        <v>21</v>
      </c>
      <c r="S163" s="123">
        <v>28</v>
      </c>
      <c r="T163" s="123"/>
      <c r="U163" s="123"/>
      <c r="V163" s="108" t="s">
        <v>1015</v>
      </c>
      <c r="W163" s="108"/>
      <c r="X163" s="108"/>
      <c r="Y163" s="108"/>
    </row>
  </sheetData>
  <sortState xmlns:xlrd2="http://schemas.microsoft.com/office/spreadsheetml/2017/richdata2" ref="K5:N28">
    <sortCondition descending="1" ref="N5:N28"/>
    <sortCondition descending="1" ref="L5:L28"/>
  </sortState>
  <mergeCells count="351">
    <mergeCell ref="G77:H77"/>
    <mergeCell ref="E162:G162"/>
    <mergeCell ref="U81:V81"/>
    <mergeCell ref="R152:T152"/>
    <mergeCell ref="G86:H86"/>
    <mergeCell ref="G79:H79"/>
    <mergeCell ref="G87:H87"/>
    <mergeCell ref="R70:S70"/>
    <mergeCell ref="U71:V71"/>
    <mergeCell ref="U80:V80"/>
    <mergeCell ref="U72:V72"/>
    <mergeCell ref="U79:V79"/>
    <mergeCell ref="U75:V75"/>
    <mergeCell ref="U76:V76"/>
    <mergeCell ref="U78:V78"/>
    <mergeCell ref="U73:V73"/>
    <mergeCell ref="U74:V74"/>
    <mergeCell ref="U82:V82"/>
    <mergeCell ref="U77:V77"/>
    <mergeCell ref="G76:H76"/>
    <mergeCell ref="G82:H82"/>
    <mergeCell ref="G81:H81"/>
    <mergeCell ref="G83:H83"/>
    <mergeCell ref="G85:H85"/>
    <mergeCell ref="G84:H84"/>
    <mergeCell ref="G78:H78"/>
    <mergeCell ref="G80:H80"/>
    <mergeCell ref="S157:U157"/>
    <mergeCell ref="V157:Y157"/>
    <mergeCell ref="E155:G155"/>
    <mergeCell ref="H155:K155"/>
    <mergeCell ref="I143:L143"/>
    <mergeCell ref="E142:F142"/>
    <mergeCell ref="G142:H142"/>
    <mergeCell ref="I142:L142"/>
    <mergeCell ref="E138:F138"/>
    <mergeCell ref="G138:H138"/>
    <mergeCell ref="I138:L138"/>
    <mergeCell ref="E139:F139"/>
    <mergeCell ref="G139:H139"/>
    <mergeCell ref="I139:L139"/>
    <mergeCell ref="E140:F140"/>
    <mergeCell ref="G140:H140"/>
    <mergeCell ref="I140:L140"/>
    <mergeCell ref="S155:U155"/>
    <mergeCell ref="V155:Y155"/>
    <mergeCell ref="E127:F127"/>
    <mergeCell ref="E130:F130"/>
    <mergeCell ref="E161:G161"/>
    <mergeCell ref="H161:K161"/>
    <mergeCell ref="S160:U160"/>
    <mergeCell ref="G145:H145"/>
    <mergeCell ref="I145:L145"/>
    <mergeCell ref="U130:V130"/>
    <mergeCell ref="E144:F144"/>
    <mergeCell ref="G144:H144"/>
    <mergeCell ref="I144:L144"/>
    <mergeCell ref="S131:T131"/>
    <mergeCell ref="U131:V131"/>
    <mergeCell ref="E141:F141"/>
    <mergeCell ref="G141:H141"/>
    <mergeCell ref="I141:L141"/>
    <mergeCell ref="S133:T133"/>
    <mergeCell ref="U133:V133"/>
    <mergeCell ref="V141:Y141"/>
    <mergeCell ref="V139:Y139"/>
    <mergeCell ref="E143:F143"/>
    <mergeCell ref="E131:F131"/>
    <mergeCell ref="G131:H131"/>
    <mergeCell ref="I131:L131"/>
    <mergeCell ref="D134:E134"/>
    <mergeCell ref="S139:U139"/>
    <mergeCell ref="D105:E105"/>
    <mergeCell ref="I123:L123"/>
    <mergeCell ref="E123:F123"/>
    <mergeCell ref="G123:H123"/>
    <mergeCell ref="H106:K106"/>
    <mergeCell ref="E124:F124"/>
    <mergeCell ref="G124:H124"/>
    <mergeCell ref="I124:L124"/>
    <mergeCell ref="E126:F126"/>
    <mergeCell ref="I125:L125"/>
    <mergeCell ref="E122:F122"/>
    <mergeCell ref="G122:H122"/>
    <mergeCell ref="H112:K112"/>
    <mergeCell ref="E112:G112"/>
    <mergeCell ref="I122:L122"/>
    <mergeCell ref="E121:F121"/>
    <mergeCell ref="G121:H121"/>
    <mergeCell ref="I121:L121"/>
    <mergeCell ref="D120:E120"/>
    <mergeCell ref="E117:G117"/>
    <mergeCell ref="H117:K117"/>
    <mergeCell ref="E137:F137"/>
    <mergeCell ref="G137:H137"/>
    <mergeCell ref="I137:L137"/>
    <mergeCell ref="E135:F135"/>
    <mergeCell ref="G135:H135"/>
    <mergeCell ref="I135:L135"/>
    <mergeCell ref="S128:T128"/>
    <mergeCell ref="E136:F136"/>
    <mergeCell ref="G136:H136"/>
    <mergeCell ref="I136:L136"/>
    <mergeCell ref="S130:T130"/>
    <mergeCell ref="S129:T129"/>
    <mergeCell ref="R136:S136"/>
    <mergeCell ref="I129:L129"/>
    <mergeCell ref="E129:F129"/>
    <mergeCell ref="G130:H130"/>
    <mergeCell ref="I130:L130"/>
    <mergeCell ref="E128:F128"/>
    <mergeCell ref="I57:K57"/>
    <mergeCell ref="I58:K58"/>
    <mergeCell ref="I60:K60"/>
    <mergeCell ref="I61:K61"/>
    <mergeCell ref="I72:K72"/>
    <mergeCell ref="I66:K66"/>
    <mergeCell ref="I68:K68"/>
    <mergeCell ref="I69:K69"/>
    <mergeCell ref="I62:K62"/>
    <mergeCell ref="I70:K70"/>
    <mergeCell ref="I64:K64"/>
    <mergeCell ref="I65:K65"/>
    <mergeCell ref="I67:K67"/>
    <mergeCell ref="I71:K71"/>
    <mergeCell ref="I63:K63"/>
    <mergeCell ref="I59:K59"/>
    <mergeCell ref="R85:S85"/>
    <mergeCell ref="H102:K102"/>
    <mergeCell ref="H97:K97"/>
    <mergeCell ref="H98:K98"/>
    <mergeCell ref="H100:K100"/>
    <mergeCell ref="W94:Y94"/>
    <mergeCell ref="W95:Y95"/>
    <mergeCell ref="H110:K110"/>
    <mergeCell ref="D91:G91"/>
    <mergeCell ref="H92:K92"/>
    <mergeCell ref="H96:K96"/>
    <mergeCell ref="F92:G92"/>
    <mergeCell ref="F94:G94"/>
    <mergeCell ref="U86:V86"/>
    <mergeCell ref="U88:V88"/>
    <mergeCell ref="U89:V89"/>
    <mergeCell ref="U90:V90"/>
    <mergeCell ref="F95:G95"/>
    <mergeCell ref="U91:V91"/>
    <mergeCell ref="F93:G93"/>
    <mergeCell ref="H95:K95"/>
    <mergeCell ref="H93:K93"/>
    <mergeCell ref="S86:T86"/>
    <mergeCell ref="S88:T88"/>
    <mergeCell ref="W118:Y118"/>
    <mergeCell ref="F102:G102"/>
    <mergeCell ref="E115:G115"/>
    <mergeCell ref="H115:K115"/>
    <mergeCell ref="E109:G109"/>
    <mergeCell ref="H113:K113"/>
    <mergeCell ref="H114:K114"/>
    <mergeCell ref="U118:V118"/>
    <mergeCell ref="E116:G116"/>
    <mergeCell ref="S107:T107"/>
    <mergeCell ref="S108:T108"/>
    <mergeCell ref="S111:T111"/>
    <mergeCell ref="H109:K109"/>
    <mergeCell ref="E108:G108"/>
    <mergeCell ref="E106:G106"/>
    <mergeCell ref="E110:G110"/>
    <mergeCell ref="E107:G107"/>
    <mergeCell ref="H108:K108"/>
    <mergeCell ref="H107:K107"/>
    <mergeCell ref="S106:T106"/>
    <mergeCell ref="H111:K111"/>
    <mergeCell ref="E111:G111"/>
    <mergeCell ref="S109:T109"/>
    <mergeCell ref="S110:T110"/>
    <mergeCell ref="W86:Y86"/>
    <mergeCell ref="W88:Y88"/>
    <mergeCell ref="W89:Y89"/>
    <mergeCell ref="W90:Y90"/>
    <mergeCell ref="W91:Y91"/>
    <mergeCell ref="W92:Y92"/>
    <mergeCell ref="W93:Y93"/>
    <mergeCell ref="F96:G96"/>
    <mergeCell ref="W121:Y121"/>
    <mergeCell ref="S121:T121"/>
    <mergeCell ref="S119:T119"/>
    <mergeCell ref="U119:V119"/>
    <mergeCell ref="S118:T118"/>
    <mergeCell ref="W119:Y119"/>
    <mergeCell ref="U121:V121"/>
    <mergeCell ref="S94:T94"/>
    <mergeCell ref="S95:T95"/>
    <mergeCell ref="S96:T96"/>
    <mergeCell ref="F98:G98"/>
    <mergeCell ref="F101:G101"/>
    <mergeCell ref="H99:K99"/>
    <mergeCell ref="U107:W107"/>
    <mergeCell ref="F99:G99"/>
    <mergeCell ref="F97:G97"/>
    <mergeCell ref="S120:T120"/>
    <mergeCell ref="U120:V120"/>
    <mergeCell ref="W122:Y122"/>
    <mergeCell ref="U128:V128"/>
    <mergeCell ref="H116:K116"/>
    <mergeCell ref="E113:G113"/>
    <mergeCell ref="S117:T117"/>
    <mergeCell ref="U123:V123"/>
    <mergeCell ref="W123:Y123"/>
    <mergeCell ref="S123:T123"/>
    <mergeCell ref="G125:H125"/>
    <mergeCell ref="E125:F125"/>
    <mergeCell ref="W124:Y124"/>
    <mergeCell ref="W120:Y120"/>
    <mergeCell ref="S122:T122"/>
    <mergeCell ref="U122:V122"/>
    <mergeCell ref="R127:S127"/>
    <mergeCell ref="G127:H127"/>
    <mergeCell ref="I127:L127"/>
    <mergeCell ref="S116:T116"/>
    <mergeCell ref="S115:T115"/>
    <mergeCell ref="U117:V117"/>
    <mergeCell ref="W117:Y117"/>
    <mergeCell ref="U116:V116"/>
    <mergeCell ref="R113:S113"/>
    <mergeCell ref="S114:T114"/>
    <mergeCell ref="U87:V87"/>
    <mergeCell ref="H101:K101"/>
    <mergeCell ref="S100:T100"/>
    <mergeCell ref="S101:T101"/>
    <mergeCell ref="U100:W100"/>
    <mergeCell ref="F100:G100"/>
    <mergeCell ref="R99:S99"/>
    <mergeCell ref="U109:W109"/>
    <mergeCell ref="U104:W104"/>
    <mergeCell ref="U108:W108"/>
    <mergeCell ref="U101:W101"/>
    <mergeCell ref="U111:W111"/>
    <mergeCell ref="S105:T105"/>
    <mergeCell ref="S104:T104"/>
    <mergeCell ref="S103:T103"/>
    <mergeCell ref="E114:G114"/>
    <mergeCell ref="S102:T102"/>
    <mergeCell ref="W96:Y96"/>
    <mergeCell ref="W87:Y87"/>
    <mergeCell ref="U92:V92"/>
    <mergeCell ref="U93:V93"/>
    <mergeCell ref="U94:V94"/>
    <mergeCell ref="S87:T87"/>
    <mergeCell ref="H94:K94"/>
    <mergeCell ref="S89:T89"/>
    <mergeCell ref="S90:T90"/>
    <mergeCell ref="S91:T91"/>
    <mergeCell ref="S92:T92"/>
    <mergeCell ref="S93:T93"/>
    <mergeCell ref="G88:H88"/>
    <mergeCell ref="U95:V95"/>
    <mergeCell ref="U96:V96"/>
    <mergeCell ref="U129:V129"/>
    <mergeCell ref="W129:Y129"/>
    <mergeCell ref="G129:H129"/>
    <mergeCell ref="G128:H128"/>
    <mergeCell ref="I128:L128"/>
    <mergeCell ref="W132:Y132"/>
    <mergeCell ref="W131:Y131"/>
    <mergeCell ref="W133:Y133"/>
    <mergeCell ref="U124:V124"/>
    <mergeCell ref="W128:Y128"/>
    <mergeCell ref="S124:T124"/>
    <mergeCell ref="U132:V132"/>
    <mergeCell ref="S132:T132"/>
    <mergeCell ref="G126:H126"/>
    <mergeCell ref="I126:L126"/>
    <mergeCell ref="W130:Y130"/>
    <mergeCell ref="W116:Y116"/>
    <mergeCell ref="U115:V115"/>
    <mergeCell ref="W115:Y115"/>
    <mergeCell ref="U110:W110"/>
    <mergeCell ref="U102:W102"/>
    <mergeCell ref="U103:W103"/>
    <mergeCell ref="U106:W106"/>
    <mergeCell ref="U105:W105"/>
    <mergeCell ref="W114:Y114"/>
    <mergeCell ref="U114:V114"/>
    <mergeCell ref="S137:U137"/>
    <mergeCell ref="V137:Y137"/>
    <mergeCell ref="E150:G150"/>
    <mergeCell ref="H150:K150"/>
    <mergeCell ref="S146:U146"/>
    <mergeCell ref="V146:Y146"/>
    <mergeCell ref="S140:U140"/>
    <mergeCell ref="V140:Y140"/>
    <mergeCell ref="S141:U141"/>
    <mergeCell ref="V147:Y147"/>
    <mergeCell ref="S144:U144"/>
    <mergeCell ref="V144:Y144"/>
    <mergeCell ref="E145:F145"/>
    <mergeCell ref="S143:U143"/>
    <mergeCell ref="V143:Y143"/>
    <mergeCell ref="D148:E148"/>
    <mergeCell ref="S145:U145"/>
    <mergeCell ref="V145:Y145"/>
    <mergeCell ref="G143:H143"/>
    <mergeCell ref="S147:U147"/>
    <mergeCell ref="S142:U142"/>
    <mergeCell ref="V142:Y142"/>
    <mergeCell ref="S138:U138"/>
    <mergeCell ref="V138:Y138"/>
    <mergeCell ref="H157:K157"/>
    <mergeCell ref="S148:U148"/>
    <mergeCell ref="V148:Y148"/>
    <mergeCell ref="E159:G159"/>
    <mergeCell ref="H159:K159"/>
    <mergeCell ref="E158:G158"/>
    <mergeCell ref="H158:K158"/>
    <mergeCell ref="V153:Y153"/>
    <mergeCell ref="S158:U158"/>
    <mergeCell ref="V158:Y158"/>
    <mergeCell ref="S154:U154"/>
    <mergeCell ref="V154:Y154"/>
    <mergeCell ref="S149:U149"/>
    <mergeCell ref="V149:Y149"/>
    <mergeCell ref="E151:G151"/>
    <mergeCell ref="H151:K151"/>
    <mergeCell ref="E152:G152"/>
    <mergeCell ref="H152:K152"/>
    <mergeCell ref="E149:G149"/>
    <mergeCell ref="H149:K149"/>
    <mergeCell ref="E163:G163"/>
    <mergeCell ref="H163:K163"/>
    <mergeCell ref="S163:U163"/>
    <mergeCell ref="V163:Y163"/>
    <mergeCell ref="S159:U159"/>
    <mergeCell ref="V159:Y159"/>
    <mergeCell ref="E153:G153"/>
    <mergeCell ref="H153:K153"/>
    <mergeCell ref="S161:U161"/>
    <mergeCell ref="V161:Y161"/>
    <mergeCell ref="S162:U162"/>
    <mergeCell ref="V162:Y162"/>
    <mergeCell ref="E154:G154"/>
    <mergeCell ref="H154:K154"/>
    <mergeCell ref="E156:G156"/>
    <mergeCell ref="H156:K156"/>
    <mergeCell ref="V160:Y160"/>
    <mergeCell ref="S156:U156"/>
    <mergeCell ref="V156:Y156"/>
    <mergeCell ref="S153:U153"/>
    <mergeCell ref="H162:K162"/>
    <mergeCell ref="E160:G160"/>
    <mergeCell ref="H160:K160"/>
    <mergeCell ref="E157:G157"/>
  </mergeCells>
  <pageMargins left="0.7" right="0.7" top="0.78740157499999996" bottom="0.78740157499999996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7B7CB-6A19-4EF6-8DCA-C261B0D1E02E}">
  <dimension ref="A1:JG160"/>
  <sheetViews>
    <sheetView zoomScale="70" zoomScaleNormal="70" workbookViewId="0">
      <pane xSplit="1" topLeftCell="HA1" activePane="topRight" state="frozen"/>
      <selection pane="topRight" activeCell="IO15" sqref="IO15"/>
    </sheetView>
  </sheetViews>
  <sheetFormatPr defaultRowHeight="15" x14ac:dyDescent="0.25"/>
  <cols>
    <col min="1" max="1" width="17" bestFit="1" customWidth="1"/>
    <col min="2" max="5" width="5.140625" bestFit="1" customWidth="1"/>
    <col min="6" max="8" width="6.140625" bestFit="1" customWidth="1"/>
    <col min="9" max="10" width="5.140625" bestFit="1" customWidth="1"/>
    <col min="11" max="12" width="4.140625" bestFit="1" customWidth="1"/>
    <col min="13" max="14" width="5.140625" bestFit="1" customWidth="1"/>
    <col min="15" max="15" width="4.140625" bestFit="1" customWidth="1"/>
    <col min="16" max="21" width="5.140625" bestFit="1" customWidth="1"/>
    <col min="22" max="23" width="5.42578125" bestFit="1" customWidth="1"/>
    <col min="24" max="26" width="6.42578125" bestFit="1" customWidth="1"/>
    <col min="27" max="28" width="4.28515625" bestFit="1" customWidth="1"/>
    <col min="29" max="30" width="5.42578125" bestFit="1" customWidth="1"/>
    <col min="31" max="32" width="4.28515625" bestFit="1" customWidth="1"/>
    <col min="33" max="35" width="5.42578125" bestFit="1" customWidth="1"/>
    <col min="36" max="39" width="4.28515625" bestFit="1" customWidth="1"/>
    <col min="40" max="41" width="5.42578125" bestFit="1" customWidth="1"/>
    <col min="42" max="43" width="6.42578125" bestFit="1" customWidth="1"/>
    <col min="44" max="45" width="5.42578125" bestFit="1" customWidth="1"/>
    <col min="46" max="47" width="6.42578125" bestFit="1" customWidth="1"/>
    <col min="48" max="49" width="5.42578125" bestFit="1" customWidth="1"/>
    <col min="50" max="51" width="4.28515625" bestFit="1" customWidth="1"/>
    <col min="52" max="53" width="5.42578125" bestFit="1" customWidth="1"/>
    <col min="54" max="55" width="4.28515625" bestFit="1" customWidth="1"/>
    <col min="56" max="61" width="5.42578125" bestFit="1" customWidth="1"/>
    <col min="62" max="63" width="6.42578125" bestFit="1" customWidth="1"/>
    <col min="64" max="65" width="5.42578125" bestFit="1" customWidth="1"/>
    <col min="66" max="69" width="6.42578125" bestFit="1" customWidth="1"/>
    <col min="70" max="71" width="4.28515625" bestFit="1" customWidth="1"/>
    <col min="72" max="73" width="5.42578125" bestFit="1" customWidth="1"/>
    <col min="74" max="77" width="4.28515625" bestFit="1" customWidth="1"/>
    <col min="78" max="81" width="5.42578125" bestFit="1" customWidth="1"/>
    <col min="82" max="87" width="6.42578125" bestFit="1" customWidth="1"/>
    <col min="88" max="95" width="5.42578125" bestFit="1" customWidth="1"/>
    <col min="96" max="97" width="4.28515625" bestFit="1" customWidth="1"/>
    <col min="98" max="103" width="5.42578125" bestFit="1" customWidth="1"/>
    <col min="104" max="109" width="6.42578125" bestFit="1" customWidth="1"/>
    <col min="110" max="113" width="5.42578125" bestFit="1" customWidth="1"/>
    <col min="114" max="115" width="4.28515625" bestFit="1" customWidth="1"/>
    <col min="116" max="123" width="5.42578125" bestFit="1" customWidth="1"/>
    <col min="124" max="129" width="6.42578125" bestFit="1" customWidth="1"/>
    <col min="130" max="131" width="5.42578125" bestFit="1" customWidth="1"/>
    <col min="132" max="133" width="4.28515625" bestFit="1" customWidth="1"/>
    <col min="134" max="135" width="5.42578125" bestFit="1" customWidth="1"/>
    <col min="136" max="137" width="4.28515625" bestFit="1" customWidth="1"/>
    <col min="138" max="139" width="5.42578125" bestFit="1" customWidth="1"/>
    <col min="140" max="141" width="4.28515625" bestFit="1" customWidth="1"/>
    <col min="142" max="145" width="5.42578125" bestFit="1" customWidth="1"/>
    <col min="146" max="147" width="6.42578125" bestFit="1" customWidth="1"/>
    <col min="148" max="149" width="5.42578125" bestFit="1" customWidth="1"/>
    <col min="150" max="153" width="6.42578125" bestFit="1" customWidth="1"/>
    <col min="154" max="165" width="5.42578125" bestFit="1" customWidth="1"/>
    <col min="166" max="167" width="6.42578125" bestFit="1" customWidth="1"/>
    <col min="168" max="169" width="5.42578125" bestFit="1" customWidth="1"/>
    <col min="170" max="173" width="6.42578125" bestFit="1" customWidth="1"/>
    <col min="174" max="177" width="4.28515625" bestFit="1" customWidth="1"/>
    <col min="178" max="181" width="5.42578125" bestFit="1" customWidth="1"/>
    <col min="182" max="183" width="4.28515625" bestFit="1" customWidth="1"/>
    <col min="184" max="187" width="5.140625" bestFit="1" customWidth="1"/>
    <col min="188" max="193" width="6.140625" bestFit="1" customWidth="1"/>
    <col min="194" max="195" width="4.140625" bestFit="1" customWidth="1"/>
    <col min="196" max="197" width="5.140625" bestFit="1" customWidth="1"/>
    <col min="198" max="199" width="4.140625" bestFit="1" customWidth="1"/>
    <col min="200" max="207" width="5.140625" bestFit="1" customWidth="1"/>
    <col min="208" max="213" width="6.140625" bestFit="1" customWidth="1"/>
    <col min="214" max="215" width="4.140625" bestFit="1" customWidth="1"/>
    <col min="216" max="217" width="5.140625" bestFit="1" customWidth="1"/>
    <col min="218" max="219" width="4.140625" bestFit="1" customWidth="1"/>
    <col min="220" max="223" width="5.140625" bestFit="1" customWidth="1"/>
    <col min="224" max="229" width="6.140625" bestFit="1" customWidth="1"/>
    <col min="230" max="233" width="7.28515625" bestFit="1" customWidth="1"/>
    <col min="234" max="235" width="4.85546875" bestFit="1" customWidth="1"/>
    <col min="236" max="241" width="6.140625" bestFit="1" customWidth="1"/>
    <col min="242" max="243" width="4.85546875" bestFit="1" customWidth="1"/>
    <col min="244" max="247" width="6.140625" bestFit="1" customWidth="1"/>
    <col min="248" max="255" width="7.28515625" bestFit="1" customWidth="1"/>
    <col min="256" max="257" width="6.140625" bestFit="1" customWidth="1"/>
    <col min="258" max="259" width="4.85546875" bestFit="1" customWidth="1"/>
    <col min="260" max="265" width="6.140625" bestFit="1" customWidth="1"/>
    <col min="266" max="267" width="4.85546875" bestFit="1" customWidth="1"/>
  </cols>
  <sheetData>
    <row r="1" spans="1:267" x14ac:dyDescent="0.25">
      <c r="B1" s="142" t="s">
        <v>59</v>
      </c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9" t="s">
        <v>60</v>
      </c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49"/>
      <c r="AM1" s="149"/>
      <c r="AN1" s="144" t="s">
        <v>40</v>
      </c>
      <c r="AO1" s="144"/>
      <c r="AP1" s="144"/>
      <c r="AQ1" s="144"/>
      <c r="AR1" s="144"/>
      <c r="AS1" s="144"/>
      <c r="AT1" s="144"/>
      <c r="AU1" s="144"/>
      <c r="AV1" s="144"/>
      <c r="AW1" s="144"/>
      <c r="AX1" s="144"/>
      <c r="AY1" s="144"/>
      <c r="AZ1" s="144"/>
      <c r="BA1" s="144"/>
      <c r="BB1" s="144"/>
      <c r="BC1" s="144"/>
      <c r="BD1" s="144"/>
      <c r="BE1" s="144"/>
      <c r="BF1" s="144"/>
      <c r="BG1" s="144"/>
      <c r="BH1" s="145" t="s">
        <v>80</v>
      </c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5"/>
      <c r="BU1" s="145"/>
      <c r="BV1" s="145"/>
      <c r="BW1" s="145"/>
      <c r="BX1" s="145"/>
      <c r="BY1" s="145"/>
      <c r="BZ1" s="145"/>
      <c r="CA1" s="145"/>
      <c r="CB1" s="146" t="s">
        <v>81</v>
      </c>
      <c r="CC1" s="146"/>
      <c r="CD1" s="146"/>
      <c r="CE1" s="146"/>
      <c r="CF1" s="146"/>
      <c r="CG1" s="146"/>
      <c r="CH1" s="146"/>
      <c r="CI1" s="146"/>
      <c r="CJ1" s="146"/>
      <c r="CK1" s="146"/>
      <c r="CL1" s="146"/>
      <c r="CM1" s="146"/>
      <c r="CN1" s="146"/>
      <c r="CO1" s="146"/>
      <c r="CP1" s="146"/>
      <c r="CQ1" s="146"/>
      <c r="CR1" s="146"/>
      <c r="CS1" s="146"/>
      <c r="CT1" s="146"/>
      <c r="CU1" s="146"/>
      <c r="CV1" s="147" t="s">
        <v>220</v>
      </c>
      <c r="CW1" s="147"/>
      <c r="CX1" s="147"/>
      <c r="CY1" s="147"/>
      <c r="CZ1" s="147"/>
      <c r="DA1" s="147"/>
      <c r="DB1" s="147"/>
      <c r="DC1" s="147"/>
      <c r="DD1" s="147"/>
      <c r="DE1" s="147"/>
      <c r="DF1" s="147"/>
      <c r="DG1" s="147"/>
      <c r="DH1" s="147"/>
      <c r="DI1" s="147"/>
      <c r="DJ1" s="147"/>
      <c r="DK1" s="147"/>
      <c r="DL1" s="147"/>
      <c r="DM1" s="147"/>
      <c r="DN1" s="147"/>
      <c r="DO1" s="147"/>
      <c r="DP1" s="141" t="s">
        <v>319</v>
      </c>
      <c r="DQ1" s="141"/>
      <c r="DR1" s="141"/>
      <c r="DS1" s="141"/>
      <c r="DT1" s="141"/>
      <c r="DU1" s="141"/>
      <c r="DV1" s="141"/>
      <c r="DW1" s="141"/>
      <c r="DX1" s="141"/>
      <c r="DY1" s="141"/>
      <c r="DZ1" s="141"/>
      <c r="EA1" s="141"/>
      <c r="EB1" s="141"/>
      <c r="EC1" s="141"/>
      <c r="ED1" s="141"/>
      <c r="EE1" s="141"/>
      <c r="EF1" s="141"/>
      <c r="EG1" s="141"/>
      <c r="EH1" s="141"/>
      <c r="EI1" s="141"/>
      <c r="EJ1" s="141"/>
      <c r="EK1" s="141"/>
      <c r="EL1" s="141"/>
      <c r="EM1" s="141"/>
      <c r="EN1" s="137" t="s">
        <v>349</v>
      </c>
      <c r="EO1" s="137"/>
      <c r="EP1" s="137"/>
      <c r="EQ1" s="137"/>
      <c r="ER1" s="137"/>
      <c r="ES1" s="137"/>
      <c r="ET1" s="137"/>
      <c r="EU1" s="137"/>
      <c r="EV1" s="137"/>
      <c r="EW1" s="137"/>
      <c r="EX1" s="137"/>
      <c r="EY1" s="137"/>
      <c r="EZ1" s="137"/>
      <c r="FA1" s="137"/>
      <c r="FB1" s="137"/>
      <c r="FC1" s="137"/>
      <c r="FD1" s="144" t="s">
        <v>378</v>
      </c>
      <c r="FE1" s="144"/>
      <c r="FF1" s="144"/>
      <c r="FG1" s="144"/>
      <c r="FH1" s="145" t="s">
        <v>403</v>
      </c>
      <c r="FI1" s="145"/>
      <c r="FJ1" s="145"/>
      <c r="FK1" s="145"/>
      <c r="FL1" s="145"/>
      <c r="FM1" s="145"/>
      <c r="FN1" s="145"/>
      <c r="FO1" s="145"/>
      <c r="FP1" s="145"/>
      <c r="FQ1" s="145"/>
      <c r="FR1" s="145"/>
      <c r="FS1" s="145"/>
      <c r="FT1" s="145"/>
      <c r="FU1" s="145"/>
      <c r="FV1" s="145"/>
      <c r="FW1" s="145"/>
      <c r="FX1" s="145"/>
      <c r="FY1" s="145"/>
      <c r="FZ1" s="145"/>
      <c r="GA1" s="145"/>
      <c r="GB1" s="146" t="s">
        <v>473</v>
      </c>
      <c r="GC1" s="146"/>
      <c r="GD1" s="146"/>
      <c r="GE1" s="146"/>
      <c r="GF1" s="146"/>
      <c r="GG1" s="146"/>
      <c r="GH1" s="146"/>
      <c r="GI1" s="146"/>
      <c r="GJ1" s="146"/>
      <c r="GK1" s="146"/>
      <c r="GL1" s="146"/>
      <c r="GM1" s="146"/>
      <c r="GN1" s="146"/>
      <c r="GO1" s="146"/>
      <c r="GP1" s="146"/>
      <c r="GQ1" s="146"/>
      <c r="GR1" s="146"/>
      <c r="GS1" s="146"/>
      <c r="GT1" s="146"/>
      <c r="GU1" s="146"/>
      <c r="GV1" s="147" t="s">
        <v>1154</v>
      </c>
      <c r="GW1" s="147"/>
      <c r="GX1" s="147"/>
      <c r="GY1" s="147"/>
      <c r="GZ1" s="147"/>
      <c r="HA1" s="147"/>
      <c r="HB1" s="147"/>
      <c r="HC1" s="147"/>
      <c r="HD1" s="147"/>
      <c r="HE1" s="147"/>
      <c r="HF1" s="147"/>
      <c r="HG1" s="147"/>
      <c r="HH1" s="147"/>
      <c r="HI1" s="147"/>
      <c r="HJ1" s="147"/>
      <c r="HK1" s="147"/>
      <c r="HL1" s="147"/>
      <c r="HM1" s="147"/>
      <c r="HN1" s="147"/>
      <c r="HO1" s="147"/>
      <c r="HP1" s="148" t="s">
        <v>1389</v>
      </c>
      <c r="HQ1" s="148"/>
      <c r="HR1" s="148"/>
      <c r="HS1" s="148"/>
      <c r="HT1" s="148"/>
      <c r="HU1" s="148"/>
      <c r="HV1" s="148"/>
      <c r="HW1" s="148"/>
      <c r="HX1" s="148"/>
      <c r="HY1" s="148"/>
      <c r="HZ1" s="148"/>
      <c r="IA1" s="148"/>
      <c r="IB1" s="148"/>
      <c r="IC1" s="148"/>
      <c r="ID1" s="148"/>
      <c r="IE1" s="148"/>
      <c r="IF1" s="148"/>
      <c r="IG1" s="148"/>
      <c r="IH1" s="148"/>
      <c r="II1" s="148"/>
      <c r="IJ1" s="133" t="s">
        <v>1643</v>
      </c>
      <c r="IK1" s="133"/>
      <c r="IL1" s="133"/>
      <c r="IM1" s="133"/>
      <c r="IN1" s="133"/>
      <c r="IO1" s="133"/>
      <c r="IP1" s="133"/>
      <c r="IQ1" s="133"/>
      <c r="IR1" s="133"/>
      <c r="IS1" s="133"/>
      <c r="IT1" s="133"/>
      <c r="IU1" s="133"/>
      <c r="IV1" s="133"/>
      <c r="IW1" s="133"/>
      <c r="IX1" s="133"/>
      <c r="IY1" s="133"/>
      <c r="IZ1" s="133"/>
      <c r="JA1" s="133"/>
      <c r="JB1" s="133"/>
      <c r="JC1" s="133"/>
      <c r="JD1" s="133"/>
      <c r="JE1" s="133"/>
      <c r="JF1" s="133"/>
      <c r="JG1" s="133"/>
    </row>
    <row r="2" spans="1:267" x14ac:dyDescent="0.25">
      <c r="B2" t="s">
        <v>850</v>
      </c>
      <c r="C2" t="s">
        <v>850</v>
      </c>
      <c r="D2" t="s">
        <v>794</v>
      </c>
      <c r="E2" t="s">
        <v>794</v>
      </c>
      <c r="F2" t="s">
        <v>879</v>
      </c>
      <c r="G2" t="s">
        <v>796</v>
      </c>
      <c r="H2" t="s">
        <v>796</v>
      </c>
      <c r="I2" t="s">
        <v>807</v>
      </c>
      <c r="J2" t="s">
        <v>807</v>
      </c>
      <c r="K2" t="s">
        <v>880</v>
      </c>
      <c r="L2" t="s">
        <v>880</v>
      </c>
      <c r="M2" t="s">
        <v>881</v>
      </c>
      <c r="N2" t="s">
        <v>881</v>
      </c>
      <c r="O2" t="s">
        <v>860</v>
      </c>
      <c r="P2" t="s">
        <v>810</v>
      </c>
      <c r="Q2" t="s">
        <v>810</v>
      </c>
      <c r="R2" t="s">
        <v>854</v>
      </c>
      <c r="S2" t="s">
        <v>854</v>
      </c>
      <c r="T2" t="s">
        <v>812</v>
      </c>
      <c r="U2" t="s">
        <v>812</v>
      </c>
      <c r="V2" t="s">
        <v>804</v>
      </c>
      <c r="W2" t="s">
        <v>804</v>
      </c>
      <c r="X2" t="s">
        <v>856</v>
      </c>
      <c r="Y2" t="s">
        <v>814</v>
      </c>
      <c r="Z2" t="s">
        <v>814</v>
      </c>
      <c r="AA2" t="s">
        <v>798</v>
      </c>
      <c r="AB2" t="s">
        <v>798</v>
      </c>
      <c r="AC2" t="s">
        <v>808</v>
      </c>
      <c r="AD2" t="s">
        <v>808</v>
      </c>
      <c r="AE2" t="s">
        <v>947</v>
      </c>
      <c r="AF2" t="s">
        <v>947</v>
      </c>
      <c r="AG2" t="s">
        <v>948</v>
      </c>
      <c r="AH2" t="s">
        <v>801</v>
      </c>
      <c r="AI2" t="s">
        <v>801</v>
      </c>
      <c r="AJ2" t="s">
        <v>855</v>
      </c>
      <c r="AK2" t="s">
        <v>855</v>
      </c>
      <c r="AL2" t="s">
        <v>949</v>
      </c>
      <c r="AM2" t="s">
        <v>949</v>
      </c>
      <c r="AN2" t="s">
        <v>952</v>
      </c>
      <c r="AO2" t="s">
        <v>952</v>
      </c>
      <c r="AP2" t="s">
        <v>953</v>
      </c>
      <c r="AQ2" t="s">
        <v>953</v>
      </c>
      <c r="AR2" t="s">
        <v>806</v>
      </c>
      <c r="AS2" t="s">
        <v>806</v>
      </c>
      <c r="AT2" t="s">
        <v>954</v>
      </c>
      <c r="AU2" t="s">
        <v>954</v>
      </c>
      <c r="AV2" t="s">
        <v>955</v>
      </c>
      <c r="AW2" t="s">
        <v>955</v>
      </c>
      <c r="AX2" t="s">
        <v>956</v>
      </c>
      <c r="AY2" t="s">
        <v>956</v>
      </c>
      <c r="AZ2" t="s">
        <v>957</v>
      </c>
      <c r="BA2" t="s">
        <v>957</v>
      </c>
      <c r="BB2" t="s">
        <v>958</v>
      </c>
      <c r="BC2" t="s">
        <v>958</v>
      </c>
      <c r="BD2" t="s">
        <v>959</v>
      </c>
      <c r="BE2" t="s">
        <v>959</v>
      </c>
      <c r="BF2" t="s">
        <v>960</v>
      </c>
      <c r="BG2" t="s">
        <v>960</v>
      </c>
      <c r="BH2" t="s">
        <v>820</v>
      </c>
      <c r="BI2" t="s">
        <v>783</v>
      </c>
      <c r="BJ2" t="s">
        <v>821</v>
      </c>
      <c r="BK2" t="s">
        <v>821</v>
      </c>
      <c r="BL2" t="s">
        <v>961</v>
      </c>
      <c r="BM2" t="s">
        <v>961</v>
      </c>
      <c r="BN2" t="s">
        <v>962</v>
      </c>
      <c r="BO2" t="s">
        <v>962</v>
      </c>
      <c r="BP2" t="s">
        <v>815</v>
      </c>
      <c r="BQ2" t="s">
        <v>815</v>
      </c>
      <c r="BR2" t="s">
        <v>963</v>
      </c>
      <c r="BS2" t="s">
        <v>963</v>
      </c>
      <c r="BT2" t="s">
        <v>964</v>
      </c>
      <c r="BU2" t="s">
        <v>964</v>
      </c>
      <c r="BV2" t="s">
        <v>878</v>
      </c>
      <c r="BW2" t="s">
        <v>878</v>
      </c>
      <c r="BX2" t="s">
        <v>839</v>
      </c>
      <c r="BY2" t="s">
        <v>839</v>
      </c>
      <c r="BZ2" t="s">
        <v>829</v>
      </c>
      <c r="CA2" t="s">
        <v>829</v>
      </c>
      <c r="CB2" t="s">
        <v>830</v>
      </c>
      <c r="CC2" t="s">
        <v>830</v>
      </c>
      <c r="CD2" t="s">
        <v>966</v>
      </c>
      <c r="CE2" t="s">
        <v>966</v>
      </c>
      <c r="CF2" t="s">
        <v>834</v>
      </c>
      <c r="CG2" t="s">
        <v>834</v>
      </c>
      <c r="CH2" t="s">
        <v>967</v>
      </c>
      <c r="CI2" t="s">
        <v>967</v>
      </c>
      <c r="CJ2" t="s">
        <v>968</v>
      </c>
      <c r="CK2" t="s">
        <v>968</v>
      </c>
      <c r="CL2" t="s">
        <v>875</v>
      </c>
      <c r="CM2" t="s">
        <v>875</v>
      </c>
      <c r="CN2" t="s">
        <v>846</v>
      </c>
      <c r="CO2" t="s">
        <v>846</v>
      </c>
      <c r="CP2" t="s">
        <v>827</v>
      </c>
      <c r="CQ2" t="s">
        <v>827</v>
      </c>
      <c r="CR2" t="s">
        <v>828</v>
      </c>
      <c r="CS2" t="s">
        <v>828</v>
      </c>
      <c r="CT2" t="s">
        <v>829</v>
      </c>
      <c r="CU2" t="s">
        <v>829</v>
      </c>
      <c r="CV2" t="s">
        <v>869</v>
      </c>
      <c r="CW2" t="s">
        <v>869</v>
      </c>
      <c r="CX2" t="s">
        <v>831</v>
      </c>
      <c r="CY2" t="s">
        <v>831</v>
      </c>
      <c r="CZ2" t="s">
        <v>784</v>
      </c>
      <c r="DA2" t="s">
        <v>784</v>
      </c>
      <c r="DB2" t="s">
        <v>969</v>
      </c>
      <c r="DC2" t="s">
        <v>969</v>
      </c>
      <c r="DD2" t="s">
        <v>835</v>
      </c>
      <c r="DE2" t="s">
        <v>835</v>
      </c>
      <c r="DF2" t="s">
        <v>968</v>
      </c>
      <c r="DG2" t="s">
        <v>968</v>
      </c>
      <c r="DH2" t="s">
        <v>799</v>
      </c>
      <c r="DI2" t="s">
        <v>799</v>
      </c>
      <c r="DJ2" t="s">
        <v>876</v>
      </c>
      <c r="DK2" t="s">
        <v>876</v>
      </c>
      <c r="DL2" t="s">
        <v>790</v>
      </c>
      <c r="DM2" t="s">
        <v>790</v>
      </c>
      <c r="DN2" t="s">
        <v>840</v>
      </c>
      <c r="DO2" t="s">
        <v>840</v>
      </c>
      <c r="DP2" t="s">
        <v>971</v>
      </c>
      <c r="DQ2" t="s">
        <v>971</v>
      </c>
      <c r="DR2" t="s">
        <v>972</v>
      </c>
      <c r="DS2" t="s">
        <v>972</v>
      </c>
      <c r="DT2" t="s">
        <v>973</v>
      </c>
      <c r="DU2" t="s">
        <v>973</v>
      </c>
      <c r="DV2" t="s">
        <v>856</v>
      </c>
      <c r="DW2" t="s">
        <v>856</v>
      </c>
      <c r="DX2" t="s">
        <v>796</v>
      </c>
      <c r="DY2" t="s">
        <v>796</v>
      </c>
      <c r="DZ2" t="s">
        <v>974</v>
      </c>
      <c r="EA2" t="s">
        <v>974</v>
      </c>
      <c r="EB2" t="s">
        <v>975</v>
      </c>
      <c r="EC2" t="s">
        <v>975</v>
      </c>
      <c r="ED2" t="s">
        <v>976</v>
      </c>
      <c r="EE2" t="s">
        <v>976</v>
      </c>
      <c r="EF2" t="s">
        <v>977</v>
      </c>
      <c r="EG2" t="s">
        <v>977</v>
      </c>
      <c r="EH2" t="s">
        <v>978</v>
      </c>
      <c r="EI2" t="s">
        <v>978</v>
      </c>
      <c r="EJ2" t="s">
        <v>802</v>
      </c>
      <c r="EK2" t="s">
        <v>802</v>
      </c>
      <c r="EL2" t="s">
        <v>979</v>
      </c>
      <c r="EM2" t="s">
        <v>979</v>
      </c>
      <c r="EN2" t="s">
        <v>804</v>
      </c>
      <c r="EO2" t="s">
        <v>804</v>
      </c>
      <c r="EP2" t="s">
        <v>980</v>
      </c>
      <c r="EQ2" t="s">
        <v>980</v>
      </c>
      <c r="ER2" t="s">
        <v>981</v>
      </c>
      <c r="ES2" t="s">
        <v>981</v>
      </c>
      <c r="ET2" t="s">
        <v>814</v>
      </c>
      <c r="EU2" t="s">
        <v>814</v>
      </c>
      <c r="EV2" t="s">
        <v>982</v>
      </c>
      <c r="EW2" t="s">
        <v>982</v>
      </c>
      <c r="EX2" t="s">
        <v>955</v>
      </c>
      <c r="EY2" t="s">
        <v>955</v>
      </c>
      <c r="EZ2" t="s">
        <v>983</v>
      </c>
      <c r="FA2" t="s">
        <v>983</v>
      </c>
      <c r="FB2" t="s">
        <v>957</v>
      </c>
      <c r="FC2" t="s">
        <v>957</v>
      </c>
      <c r="FD2" t="s">
        <v>984</v>
      </c>
      <c r="FE2" t="s">
        <v>984</v>
      </c>
      <c r="FF2" t="s">
        <v>985</v>
      </c>
      <c r="FG2" t="s">
        <v>985</v>
      </c>
      <c r="FH2" t="s">
        <v>987</v>
      </c>
      <c r="FI2" t="s">
        <v>987</v>
      </c>
      <c r="FJ2" t="s">
        <v>872</v>
      </c>
      <c r="FK2" t="s">
        <v>872</v>
      </c>
      <c r="FL2" t="s">
        <v>988</v>
      </c>
      <c r="FM2" t="s">
        <v>988</v>
      </c>
      <c r="FN2" t="s">
        <v>989</v>
      </c>
      <c r="FO2" t="s">
        <v>989</v>
      </c>
      <c r="FP2" t="s">
        <v>786</v>
      </c>
      <c r="FQ2" t="s">
        <v>786</v>
      </c>
      <c r="FR2" t="s">
        <v>963</v>
      </c>
      <c r="FS2" t="s">
        <v>963</v>
      </c>
      <c r="FT2" t="s">
        <v>866</v>
      </c>
      <c r="FU2" t="s">
        <v>866</v>
      </c>
      <c r="FV2" t="s">
        <v>826</v>
      </c>
      <c r="FW2" t="s">
        <v>826</v>
      </c>
      <c r="FX2" t="s">
        <v>990</v>
      </c>
      <c r="FY2" t="s">
        <v>990</v>
      </c>
      <c r="FZ2" t="s">
        <v>839</v>
      </c>
      <c r="GA2" t="s">
        <v>839</v>
      </c>
      <c r="GB2" t="s">
        <v>869</v>
      </c>
      <c r="GC2" t="s">
        <v>869</v>
      </c>
      <c r="GD2" t="s">
        <v>863</v>
      </c>
      <c r="GE2" t="s">
        <v>863</v>
      </c>
      <c r="GF2" t="s">
        <v>784</v>
      </c>
      <c r="GG2" t="s">
        <v>784</v>
      </c>
      <c r="GH2" t="s">
        <v>785</v>
      </c>
      <c r="GI2" t="s">
        <v>785</v>
      </c>
      <c r="GJ2" t="s">
        <v>786</v>
      </c>
      <c r="GK2" t="s">
        <v>786</v>
      </c>
      <c r="GL2" t="s">
        <v>787</v>
      </c>
      <c r="GM2" t="s">
        <v>787</v>
      </c>
      <c r="GN2" t="s">
        <v>877</v>
      </c>
      <c r="GO2" t="s">
        <v>877</v>
      </c>
      <c r="GP2" t="s">
        <v>878</v>
      </c>
      <c r="GQ2" t="s">
        <v>878</v>
      </c>
      <c r="GR2" t="s">
        <v>790</v>
      </c>
      <c r="GS2" t="s">
        <v>790</v>
      </c>
      <c r="GT2" t="s">
        <v>791</v>
      </c>
      <c r="GU2" t="s">
        <v>791</v>
      </c>
      <c r="GV2" s="17" t="s">
        <v>850</v>
      </c>
      <c r="GW2" s="17" t="s">
        <v>1176</v>
      </c>
      <c r="GX2" s="17" t="s">
        <v>831</v>
      </c>
      <c r="GY2" s="17" t="s">
        <v>831</v>
      </c>
      <c r="GZ2" s="17" t="s">
        <v>842</v>
      </c>
      <c r="HA2" s="17" t="s">
        <v>842</v>
      </c>
      <c r="HB2" s="17" t="s">
        <v>843</v>
      </c>
      <c r="HC2" s="17" t="s">
        <v>843</v>
      </c>
      <c r="HD2" s="17" t="s">
        <v>835</v>
      </c>
      <c r="HE2" s="65" t="s">
        <v>835</v>
      </c>
      <c r="HF2" s="17" t="s">
        <v>787</v>
      </c>
      <c r="HG2" s="17" t="s">
        <v>787</v>
      </c>
      <c r="HH2" s="17" t="s">
        <v>799</v>
      </c>
      <c r="HI2" s="17" t="s">
        <v>799</v>
      </c>
      <c r="HJ2" s="17" t="s">
        <v>977</v>
      </c>
      <c r="HK2" s="17" t="s">
        <v>977</v>
      </c>
      <c r="HL2" s="17" t="s">
        <v>978</v>
      </c>
      <c r="HM2" s="17" t="s">
        <v>978</v>
      </c>
      <c r="HN2" s="17" t="s">
        <v>1159</v>
      </c>
      <c r="HO2" s="17" t="s">
        <v>1159</v>
      </c>
      <c r="HP2" s="17" t="s">
        <v>952</v>
      </c>
      <c r="HQ2" s="17" t="s">
        <v>952</v>
      </c>
      <c r="HR2" s="17" t="s">
        <v>794</v>
      </c>
      <c r="HS2" s="17" t="s">
        <v>794</v>
      </c>
      <c r="HT2" s="17" t="s">
        <v>806</v>
      </c>
      <c r="HU2" s="17" t="s">
        <v>806</v>
      </c>
      <c r="HV2" s="17" t="s">
        <v>1391</v>
      </c>
      <c r="HW2" s="17" t="s">
        <v>1391</v>
      </c>
      <c r="HX2" s="17" t="s">
        <v>852</v>
      </c>
      <c r="HY2" s="17" t="s">
        <v>852</v>
      </c>
      <c r="HZ2" s="17" t="s">
        <v>798</v>
      </c>
      <c r="IA2" s="17" t="s">
        <v>798</v>
      </c>
      <c r="IB2" s="17" t="s">
        <v>983</v>
      </c>
      <c r="IC2" s="17" t="s">
        <v>983</v>
      </c>
      <c r="ID2" s="17" t="s">
        <v>948</v>
      </c>
      <c r="IE2" s="17" t="s">
        <v>811</v>
      </c>
      <c r="IF2" s="17" t="s">
        <v>811</v>
      </c>
      <c r="IG2" s="17" t="s">
        <v>790</v>
      </c>
      <c r="IH2" s="17" t="s">
        <v>1481</v>
      </c>
      <c r="II2" s="17" t="s">
        <v>1481</v>
      </c>
      <c r="IJ2" s="17" t="s">
        <v>1644</v>
      </c>
      <c r="IK2" s="17" t="s">
        <v>1644</v>
      </c>
      <c r="IL2" s="17" t="s">
        <v>804</v>
      </c>
      <c r="IM2" s="17" t="s">
        <v>804</v>
      </c>
      <c r="IN2" s="17" t="s">
        <v>822</v>
      </c>
      <c r="IO2" s="17" t="s">
        <v>822</v>
      </c>
      <c r="IP2" s="17" t="s">
        <v>1652</v>
      </c>
      <c r="IQ2" s="17" t="s">
        <v>1652</v>
      </c>
      <c r="IR2" s="17" t="s">
        <v>1647</v>
      </c>
      <c r="IS2" s="17" t="s">
        <v>1647</v>
      </c>
      <c r="IT2" s="17" t="s">
        <v>954</v>
      </c>
      <c r="IU2" s="17" t="s">
        <v>954</v>
      </c>
      <c r="IV2" s="17" t="s">
        <v>955</v>
      </c>
      <c r="IW2" s="17" t="s">
        <v>955</v>
      </c>
      <c r="IX2" s="17" t="s">
        <v>947</v>
      </c>
      <c r="IY2" s="17" t="s">
        <v>947</v>
      </c>
      <c r="IZ2" s="17" t="s">
        <v>1653</v>
      </c>
      <c r="JA2" s="17" t="s">
        <v>1653</v>
      </c>
      <c r="JB2" s="17" t="s">
        <v>1654</v>
      </c>
      <c r="JC2" s="17" t="s">
        <v>1654</v>
      </c>
      <c r="JD2" s="17" t="s">
        <v>1655</v>
      </c>
      <c r="JE2" s="17" t="s">
        <v>1655</v>
      </c>
      <c r="JF2" s="17" t="s">
        <v>1656</v>
      </c>
      <c r="JG2" s="17" t="s">
        <v>1656</v>
      </c>
    </row>
    <row r="3" spans="1:267" x14ac:dyDescent="0.25">
      <c r="A3" t="s">
        <v>13</v>
      </c>
      <c r="B3" s="61" t="s">
        <v>2</v>
      </c>
      <c r="C3" s="61" t="s">
        <v>2</v>
      </c>
      <c r="D3" s="61" t="s">
        <v>2</v>
      </c>
      <c r="E3" s="63"/>
      <c r="F3" s="17" t="s">
        <v>870</v>
      </c>
      <c r="G3" s="17" t="s">
        <v>870</v>
      </c>
      <c r="H3" s="17" t="s">
        <v>870</v>
      </c>
      <c r="I3" s="61" t="s">
        <v>2</v>
      </c>
      <c r="J3" s="61" t="s">
        <v>2</v>
      </c>
      <c r="K3" s="62"/>
      <c r="L3" s="62"/>
      <c r="M3" s="61" t="s">
        <v>2</v>
      </c>
      <c r="N3" s="63"/>
      <c r="O3" s="17" t="s">
        <v>870</v>
      </c>
      <c r="P3" s="17" t="s">
        <v>870</v>
      </c>
      <c r="Q3" s="17" t="s">
        <v>870</v>
      </c>
      <c r="R3" s="61" t="s">
        <v>2</v>
      </c>
      <c r="S3" s="61" t="s">
        <v>2</v>
      </c>
      <c r="T3" s="17" t="s">
        <v>870</v>
      </c>
      <c r="U3" s="17" t="s">
        <v>870</v>
      </c>
      <c r="V3" s="62"/>
      <c r="W3" s="62"/>
      <c r="X3" s="61" t="s">
        <v>2</v>
      </c>
      <c r="Y3" s="61" t="s">
        <v>2</v>
      </c>
      <c r="Z3" s="61" t="s">
        <v>2</v>
      </c>
      <c r="AA3" s="61" t="s">
        <v>2</v>
      </c>
      <c r="AB3" s="62"/>
      <c r="AC3" s="17" t="s">
        <v>870</v>
      </c>
      <c r="AD3" s="61" t="s">
        <v>2</v>
      </c>
      <c r="AE3" s="17" t="s">
        <v>870</v>
      </c>
      <c r="AF3" s="62"/>
      <c r="AG3" s="62"/>
      <c r="AH3" s="61" t="s">
        <v>2</v>
      </c>
      <c r="AI3" s="62"/>
      <c r="AJ3" s="61" t="s">
        <v>2</v>
      </c>
      <c r="AK3" s="61" t="s">
        <v>2</v>
      </c>
      <c r="AL3" s="61" t="s">
        <v>2</v>
      </c>
      <c r="AM3" s="61" t="s">
        <v>2</v>
      </c>
      <c r="AN3" s="17" t="s">
        <v>870</v>
      </c>
      <c r="AO3" s="17" t="s">
        <v>870</v>
      </c>
      <c r="AP3" s="61" t="s">
        <v>2</v>
      </c>
      <c r="AQ3" s="17" t="s">
        <v>870</v>
      </c>
      <c r="AR3" s="61" t="s">
        <v>2</v>
      </c>
      <c r="AS3" s="61" t="s">
        <v>2</v>
      </c>
      <c r="AT3" s="62"/>
      <c r="AU3" s="62"/>
      <c r="AV3" s="17" t="s">
        <v>870</v>
      </c>
      <c r="AW3" s="17" t="s">
        <v>870</v>
      </c>
      <c r="AX3" s="17" t="s">
        <v>870</v>
      </c>
      <c r="AY3" s="17" t="s">
        <v>870</v>
      </c>
      <c r="AZ3" s="17" t="s">
        <v>870</v>
      </c>
      <c r="BA3" s="17" t="s">
        <v>870</v>
      </c>
      <c r="BB3" s="17" t="s">
        <v>870</v>
      </c>
      <c r="BC3" s="17" t="s">
        <v>870</v>
      </c>
      <c r="BD3" s="17" t="s">
        <v>870</v>
      </c>
      <c r="BE3" s="17" t="s">
        <v>870</v>
      </c>
      <c r="BF3" s="17" t="s">
        <v>870</v>
      </c>
      <c r="BG3" s="17" t="s">
        <v>870</v>
      </c>
      <c r="BH3" s="62"/>
      <c r="BI3" s="61" t="s">
        <v>2</v>
      </c>
      <c r="BJ3" s="61" t="s">
        <v>2</v>
      </c>
      <c r="BK3" s="17" t="s">
        <v>870</v>
      </c>
      <c r="BL3" s="17" t="s">
        <v>870</v>
      </c>
      <c r="BM3" s="17" t="s">
        <v>870</v>
      </c>
      <c r="BN3" s="17" t="s">
        <v>870</v>
      </c>
      <c r="BO3" s="17" t="s">
        <v>870</v>
      </c>
      <c r="BP3" s="61" t="s">
        <v>2</v>
      </c>
      <c r="BQ3" s="61" t="s">
        <v>2</v>
      </c>
      <c r="BR3" s="17" t="s">
        <v>870</v>
      </c>
      <c r="BS3" s="17" t="s">
        <v>870</v>
      </c>
      <c r="BT3" s="17" t="s">
        <v>870</v>
      </c>
      <c r="BU3" s="17" t="s">
        <v>870</v>
      </c>
      <c r="BV3" s="61" t="s">
        <v>2</v>
      </c>
      <c r="BW3" s="61" t="s">
        <v>2</v>
      </c>
      <c r="BX3" s="61" t="s">
        <v>2</v>
      </c>
      <c r="BY3" s="61" t="s">
        <v>2</v>
      </c>
      <c r="BZ3" s="17" t="s">
        <v>870</v>
      </c>
      <c r="CA3" s="17" t="s">
        <v>870</v>
      </c>
      <c r="CB3" s="17" t="s">
        <v>870</v>
      </c>
      <c r="CC3" s="17" t="s">
        <v>870</v>
      </c>
      <c r="CD3" s="62"/>
      <c r="CE3" s="61" t="s">
        <v>2</v>
      </c>
      <c r="CF3" s="17" t="s">
        <v>870</v>
      </c>
      <c r="CG3" s="17" t="s">
        <v>870</v>
      </c>
      <c r="CH3" s="17" t="s">
        <v>870</v>
      </c>
      <c r="CI3" s="17" t="s">
        <v>870</v>
      </c>
      <c r="CJ3" s="17" t="s">
        <v>870</v>
      </c>
      <c r="CK3" s="17" t="s">
        <v>870</v>
      </c>
      <c r="CL3" s="17" t="s">
        <v>870</v>
      </c>
      <c r="CM3" s="17" t="s">
        <v>870</v>
      </c>
      <c r="CN3" s="17" t="s">
        <v>870</v>
      </c>
      <c r="CO3" s="17" t="s">
        <v>870</v>
      </c>
      <c r="CP3" s="17" t="s">
        <v>870</v>
      </c>
      <c r="CQ3" s="17" t="s">
        <v>870</v>
      </c>
      <c r="CR3" s="61" t="s">
        <v>2</v>
      </c>
      <c r="CS3" s="61" t="s">
        <v>2</v>
      </c>
      <c r="CT3" s="17" t="s">
        <v>870</v>
      </c>
      <c r="CU3" s="17" t="s">
        <v>870</v>
      </c>
      <c r="CV3" s="17" t="s">
        <v>870</v>
      </c>
      <c r="CW3" s="17" t="s">
        <v>870</v>
      </c>
      <c r="CX3" s="17" t="s">
        <v>870</v>
      </c>
      <c r="CY3" s="17" t="s">
        <v>870</v>
      </c>
      <c r="CZ3" s="17" t="s">
        <v>870</v>
      </c>
      <c r="DA3" s="17" t="s">
        <v>870</v>
      </c>
      <c r="DB3" s="17" t="s">
        <v>870</v>
      </c>
      <c r="DC3" s="17" t="s">
        <v>870</v>
      </c>
      <c r="DD3" s="17" t="s">
        <v>870</v>
      </c>
      <c r="DE3" s="17" t="s">
        <v>870</v>
      </c>
      <c r="DF3" s="17" t="s">
        <v>870</v>
      </c>
      <c r="DG3" s="17" t="s">
        <v>870</v>
      </c>
      <c r="DH3" s="17" t="s">
        <v>870</v>
      </c>
      <c r="DI3" s="17" t="s">
        <v>870</v>
      </c>
      <c r="DJ3" s="17" t="s">
        <v>870</v>
      </c>
      <c r="DK3" s="17" t="s">
        <v>870</v>
      </c>
      <c r="DL3" s="17" t="s">
        <v>870</v>
      </c>
      <c r="DM3" s="17" t="s">
        <v>870</v>
      </c>
      <c r="DN3" s="17" t="s">
        <v>870</v>
      </c>
      <c r="DO3" s="17" t="s">
        <v>870</v>
      </c>
      <c r="DP3" s="61" t="s">
        <v>2</v>
      </c>
      <c r="DQ3" s="61" t="s">
        <v>2</v>
      </c>
      <c r="DR3" s="61" t="s">
        <v>2</v>
      </c>
      <c r="DS3" s="61" t="s">
        <v>2</v>
      </c>
      <c r="DT3" s="17" t="s">
        <v>870</v>
      </c>
      <c r="DU3" s="17" t="s">
        <v>870</v>
      </c>
      <c r="DV3" s="17" t="s">
        <v>870</v>
      </c>
      <c r="DW3" s="17" t="s">
        <v>870</v>
      </c>
      <c r="DX3" s="17" t="s">
        <v>870</v>
      </c>
      <c r="DY3" s="17" t="s">
        <v>870</v>
      </c>
      <c r="DZ3" s="17" t="s">
        <v>870</v>
      </c>
      <c r="EA3" s="17" t="s">
        <v>870</v>
      </c>
      <c r="EB3" s="61" t="s">
        <v>2</v>
      </c>
      <c r="EC3" s="61" t="s">
        <v>2</v>
      </c>
      <c r="ED3" s="17" t="s">
        <v>870</v>
      </c>
      <c r="EE3" s="17" t="s">
        <v>870</v>
      </c>
      <c r="EF3" s="61" t="s">
        <v>2</v>
      </c>
      <c r="EG3" s="61" t="s">
        <v>2</v>
      </c>
      <c r="EH3" s="17" t="s">
        <v>870</v>
      </c>
      <c r="EI3" s="17" t="s">
        <v>870</v>
      </c>
      <c r="EJ3" s="17" t="s">
        <v>870</v>
      </c>
      <c r="EK3" s="17" t="s">
        <v>870</v>
      </c>
      <c r="EL3" s="61" t="s">
        <v>2</v>
      </c>
      <c r="EM3" s="61" t="s">
        <v>2</v>
      </c>
      <c r="EN3" s="17" t="s">
        <v>870</v>
      </c>
      <c r="EO3" s="17" t="s">
        <v>870</v>
      </c>
      <c r="EP3" s="17" t="s">
        <v>870</v>
      </c>
      <c r="EQ3" s="17" t="s">
        <v>870</v>
      </c>
      <c r="ER3" s="17" t="s">
        <v>870</v>
      </c>
      <c r="ES3" s="17" t="s">
        <v>870</v>
      </c>
      <c r="ET3" s="17" t="s">
        <v>870</v>
      </c>
      <c r="EU3" s="17" t="s">
        <v>870</v>
      </c>
      <c r="EV3" s="17" t="s">
        <v>870</v>
      </c>
      <c r="EW3" s="17" t="s">
        <v>870</v>
      </c>
      <c r="EX3" s="17" t="s">
        <v>870</v>
      </c>
      <c r="EY3" s="17" t="s">
        <v>870</v>
      </c>
      <c r="EZ3" s="17" t="s">
        <v>870</v>
      </c>
      <c r="FA3" s="17" t="s">
        <v>870</v>
      </c>
      <c r="FB3" s="61" t="s">
        <v>2</v>
      </c>
      <c r="FC3" s="61" t="s">
        <v>2</v>
      </c>
      <c r="FD3" s="17" t="s">
        <v>870</v>
      </c>
      <c r="FE3" s="17" t="s">
        <v>870</v>
      </c>
      <c r="FF3" s="17" t="s">
        <v>870</v>
      </c>
      <c r="FG3" s="17" t="s">
        <v>870</v>
      </c>
      <c r="FH3" s="17" t="s">
        <v>870</v>
      </c>
      <c r="FI3" s="17" t="s">
        <v>870</v>
      </c>
      <c r="FJ3" s="17" t="s">
        <v>870</v>
      </c>
      <c r="FK3" s="17" t="s">
        <v>870</v>
      </c>
      <c r="FL3" s="17" t="s">
        <v>870</v>
      </c>
      <c r="FM3" s="17" t="s">
        <v>870</v>
      </c>
      <c r="FN3" s="17" t="s">
        <v>870</v>
      </c>
      <c r="FO3" s="17" t="s">
        <v>870</v>
      </c>
      <c r="FP3" s="61" t="s">
        <v>2</v>
      </c>
      <c r="FQ3" s="61" t="s">
        <v>2</v>
      </c>
      <c r="FR3" s="17" t="s">
        <v>870</v>
      </c>
      <c r="FS3" s="17" t="s">
        <v>870</v>
      </c>
      <c r="FT3" s="17" t="s">
        <v>870</v>
      </c>
      <c r="FU3" s="17" t="s">
        <v>870</v>
      </c>
      <c r="FV3" s="17" t="s">
        <v>870</v>
      </c>
      <c r="FW3" s="17" t="s">
        <v>870</v>
      </c>
      <c r="FX3" s="17" t="s">
        <v>870</v>
      </c>
      <c r="FY3" s="17" t="s">
        <v>870</v>
      </c>
      <c r="FZ3" s="17" t="s">
        <v>870</v>
      </c>
      <c r="GA3" s="17" t="s">
        <v>870</v>
      </c>
      <c r="GB3" s="17" t="s">
        <v>870</v>
      </c>
      <c r="GC3" s="17" t="s">
        <v>870</v>
      </c>
      <c r="GD3" s="61" t="s">
        <v>2</v>
      </c>
      <c r="GE3" s="17" t="s">
        <v>870</v>
      </c>
      <c r="GF3" s="17" t="s">
        <v>870</v>
      </c>
      <c r="GG3" s="61" t="s">
        <v>2</v>
      </c>
      <c r="GH3" s="17" t="s">
        <v>870</v>
      </c>
      <c r="GI3" s="17" t="s">
        <v>870</v>
      </c>
      <c r="GJ3" s="17" t="s">
        <v>870</v>
      </c>
      <c r="GK3" s="17" t="s">
        <v>870</v>
      </c>
      <c r="GL3" s="61" t="s">
        <v>2</v>
      </c>
      <c r="GM3" s="61" t="s">
        <v>2</v>
      </c>
      <c r="GN3" s="17" t="s">
        <v>870</v>
      </c>
      <c r="GO3" s="61" t="s">
        <v>2</v>
      </c>
      <c r="GP3" s="61" t="s">
        <v>2</v>
      </c>
      <c r="GQ3" s="17" t="s">
        <v>870</v>
      </c>
      <c r="GR3" s="17" t="s">
        <v>870</v>
      </c>
      <c r="GS3" s="17" t="s">
        <v>870</v>
      </c>
      <c r="GT3" s="61" t="s">
        <v>2</v>
      </c>
      <c r="GU3" s="17" t="s">
        <v>870</v>
      </c>
      <c r="GV3" s="17" t="s">
        <v>870</v>
      </c>
      <c r="GW3" s="17" t="s">
        <v>870</v>
      </c>
      <c r="GX3" s="17" t="s">
        <v>870</v>
      </c>
      <c r="GY3" s="17" t="s">
        <v>870</v>
      </c>
      <c r="GZ3" s="17" t="s">
        <v>870</v>
      </c>
      <c r="HA3" s="17" t="s">
        <v>870</v>
      </c>
      <c r="HB3" s="17" t="s">
        <v>870</v>
      </c>
      <c r="HC3" s="17" t="s">
        <v>870</v>
      </c>
      <c r="HD3" s="17" t="s">
        <v>870</v>
      </c>
      <c r="HE3" s="17" t="s">
        <v>870</v>
      </c>
      <c r="HF3" s="17" t="s">
        <v>870</v>
      </c>
      <c r="HG3" s="17" t="s">
        <v>870</v>
      </c>
      <c r="HH3" s="17" t="s">
        <v>870</v>
      </c>
      <c r="HI3" s="17" t="s">
        <v>870</v>
      </c>
      <c r="HJ3" s="17" t="s">
        <v>870</v>
      </c>
      <c r="HK3" s="17" t="s">
        <v>870</v>
      </c>
      <c r="HL3" s="17" t="s">
        <v>870</v>
      </c>
      <c r="HM3" s="17" t="s">
        <v>870</v>
      </c>
      <c r="HN3" s="17" t="s">
        <v>870</v>
      </c>
      <c r="HO3" s="17" t="s">
        <v>870</v>
      </c>
      <c r="HP3" s="17" t="s">
        <v>870</v>
      </c>
      <c r="HQ3" s="17" t="s">
        <v>870</v>
      </c>
      <c r="HR3" s="17" t="s">
        <v>870</v>
      </c>
      <c r="HS3" s="17" t="s">
        <v>870</v>
      </c>
      <c r="HT3" s="17" t="s">
        <v>870</v>
      </c>
      <c r="HU3" s="17" t="s">
        <v>870</v>
      </c>
      <c r="HV3" s="17" t="s">
        <v>870</v>
      </c>
      <c r="HW3" s="17" t="s">
        <v>870</v>
      </c>
      <c r="HX3" s="17" t="s">
        <v>870</v>
      </c>
      <c r="HY3" s="17" t="s">
        <v>870</v>
      </c>
      <c r="HZ3" s="17" t="s">
        <v>870</v>
      </c>
      <c r="IA3" s="17" t="s">
        <v>870</v>
      </c>
      <c r="IB3" s="17" t="s">
        <v>870</v>
      </c>
      <c r="IC3" s="17" t="s">
        <v>870</v>
      </c>
      <c r="ID3" s="72" t="s">
        <v>1552</v>
      </c>
      <c r="IE3" s="17" t="s">
        <v>870</v>
      </c>
      <c r="IF3" s="17" t="s">
        <v>870</v>
      </c>
      <c r="IG3" s="17" t="s">
        <v>870</v>
      </c>
      <c r="IH3" s="17" t="s">
        <v>870</v>
      </c>
      <c r="II3" s="17" t="s">
        <v>870</v>
      </c>
      <c r="IJ3" s="17" t="s">
        <v>870</v>
      </c>
      <c r="IK3" s="17" t="s">
        <v>870</v>
      </c>
      <c r="IL3" s="17" t="s">
        <v>870</v>
      </c>
      <c r="IM3" s="17" t="s">
        <v>870</v>
      </c>
      <c r="IN3" s="17" t="s">
        <v>870</v>
      </c>
      <c r="IO3" s="17" t="s">
        <v>870</v>
      </c>
    </row>
    <row r="4" spans="1:267" x14ac:dyDescent="0.25">
      <c r="A4" t="s">
        <v>7</v>
      </c>
      <c r="B4" s="17" t="s">
        <v>870</v>
      </c>
      <c r="C4" s="17" t="s">
        <v>870</v>
      </c>
      <c r="D4" s="17" t="s">
        <v>870</v>
      </c>
      <c r="E4" s="17" t="s">
        <v>870</v>
      </c>
      <c r="F4" s="17" t="s">
        <v>870</v>
      </c>
      <c r="G4" s="17" t="s">
        <v>870</v>
      </c>
      <c r="H4" s="17" t="s">
        <v>870</v>
      </c>
      <c r="I4" s="17" t="s">
        <v>870</v>
      </c>
      <c r="J4" s="17" t="s">
        <v>870</v>
      </c>
      <c r="K4" s="17" t="s">
        <v>870</v>
      </c>
      <c r="L4" s="17" t="s">
        <v>870</v>
      </c>
      <c r="M4" s="17" t="s">
        <v>870</v>
      </c>
      <c r="N4" s="17" t="s">
        <v>870</v>
      </c>
      <c r="O4" s="17" t="s">
        <v>870</v>
      </c>
      <c r="P4" s="61" t="s">
        <v>2</v>
      </c>
      <c r="Q4" s="63"/>
      <c r="R4" s="17" t="s">
        <v>870</v>
      </c>
      <c r="S4" s="17" t="s">
        <v>870</v>
      </c>
      <c r="T4" s="17" t="s">
        <v>870</v>
      </c>
      <c r="U4" s="17" t="s">
        <v>870</v>
      </c>
      <c r="V4" s="17" t="s">
        <v>870</v>
      </c>
      <c r="W4" s="17" t="s">
        <v>870</v>
      </c>
      <c r="X4" s="61" t="s">
        <v>2</v>
      </c>
      <c r="Y4" s="17" t="s">
        <v>870</v>
      </c>
      <c r="Z4" s="17" t="s">
        <v>870</v>
      </c>
      <c r="AA4" s="17" t="s">
        <v>870</v>
      </c>
      <c r="AB4" s="17" t="s">
        <v>870</v>
      </c>
      <c r="AC4" s="62"/>
      <c r="AD4" s="17" t="s">
        <v>870</v>
      </c>
      <c r="AE4" s="17" t="s">
        <v>870</v>
      </c>
      <c r="AF4" s="17" t="s">
        <v>870</v>
      </c>
      <c r="AG4" s="61" t="s">
        <v>2</v>
      </c>
      <c r="AH4" s="17" t="s">
        <v>870</v>
      </c>
      <c r="AI4" s="17" t="s">
        <v>870</v>
      </c>
      <c r="AJ4" s="61" t="s">
        <v>2</v>
      </c>
      <c r="AK4" s="62"/>
      <c r="AL4" s="61" t="s">
        <v>2</v>
      </c>
      <c r="AM4" s="61" t="s">
        <v>2</v>
      </c>
      <c r="AN4" s="61" t="s">
        <v>2</v>
      </c>
      <c r="AO4" s="61" t="s">
        <v>2</v>
      </c>
      <c r="AP4" s="17" t="s">
        <v>870</v>
      </c>
      <c r="AQ4" s="63"/>
      <c r="AR4" s="17" t="s">
        <v>870</v>
      </c>
      <c r="AS4" s="17" t="s">
        <v>870</v>
      </c>
      <c r="AT4" s="61" t="s">
        <v>2</v>
      </c>
      <c r="AU4" s="61" t="s">
        <v>2</v>
      </c>
      <c r="AV4" s="17" t="s">
        <v>870</v>
      </c>
      <c r="AW4" s="17" t="s">
        <v>870</v>
      </c>
      <c r="AX4" s="61" t="s">
        <v>2</v>
      </c>
      <c r="AY4" s="61" t="s">
        <v>2</v>
      </c>
      <c r="AZ4" s="17" t="s">
        <v>870</v>
      </c>
      <c r="BA4" s="17" t="s">
        <v>870</v>
      </c>
      <c r="BB4" s="61" t="s">
        <v>2</v>
      </c>
      <c r="BC4" s="61" t="s">
        <v>2</v>
      </c>
      <c r="BD4" s="17" t="s">
        <v>870</v>
      </c>
      <c r="BE4" s="17" t="s">
        <v>870</v>
      </c>
      <c r="BF4" s="17" t="s">
        <v>870</v>
      </c>
      <c r="BG4" s="17" t="s">
        <v>870</v>
      </c>
      <c r="BH4" s="17" t="s">
        <v>870</v>
      </c>
      <c r="BI4" s="17" t="s">
        <v>870</v>
      </c>
      <c r="BJ4" s="61" t="s">
        <v>2</v>
      </c>
      <c r="BK4" s="61" t="s">
        <v>2</v>
      </c>
      <c r="BL4" s="61" t="s">
        <v>2</v>
      </c>
      <c r="BM4" s="61" t="s">
        <v>2</v>
      </c>
      <c r="BN4" s="61" t="s">
        <v>2</v>
      </c>
      <c r="BO4" s="63"/>
      <c r="BP4" s="17" t="s">
        <v>870</v>
      </c>
      <c r="BQ4" s="17" t="s">
        <v>870</v>
      </c>
      <c r="BR4" s="61" t="s">
        <v>2</v>
      </c>
      <c r="BS4" s="61" t="s">
        <v>2</v>
      </c>
      <c r="BT4" s="17" t="s">
        <v>870</v>
      </c>
      <c r="BU4" s="17" t="s">
        <v>870</v>
      </c>
      <c r="BV4" s="61" t="s">
        <v>2</v>
      </c>
      <c r="BW4" s="61" t="s">
        <v>2</v>
      </c>
      <c r="BX4" s="61" t="s">
        <v>2</v>
      </c>
      <c r="BY4" s="61" t="s">
        <v>2</v>
      </c>
      <c r="BZ4" s="17" t="s">
        <v>870</v>
      </c>
      <c r="CA4" s="17" t="s">
        <v>870</v>
      </c>
      <c r="CB4" s="17" t="s">
        <v>870</v>
      </c>
      <c r="CC4" s="17" t="s">
        <v>870</v>
      </c>
      <c r="CD4" s="61" t="s">
        <v>2</v>
      </c>
      <c r="CE4" s="61" t="s">
        <v>2</v>
      </c>
      <c r="CF4" s="17" t="s">
        <v>870</v>
      </c>
      <c r="CG4" s="17" t="s">
        <v>870</v>
      </c>
      <c r="CH4" s="17" t="s">
        <v>870</v>
      </c>
      <c r="CI4" s="17" t="s">
        <v>870</v>
      </c>
      <c r="CJ4" s="61" t="s">
        <v>2</v>
      </c>
      <c r="CK4" s="61" t="s">
        <v>2</v>
      </c>
      <c r="CL4" s="17" t="s">
        <v>870</v>
      </c>
      <c r="CM4" s="17" t="s">
        <v>870</v>
      </c>
      <c r="CN4" s="61" t="s">
        <v>2</v>
      </c>
      <c r="CO4" s="61" t="s">
        <v>2</v>
      </c>
      <c r="CP4" s="17" t="s">
        <v>870</v>
      </c>
      <c r="CQ4" s="17" t="s">
        <v>870</v>
      </c>
      <c r="CR4" s="61" t="s">
        <v>2</v>
      </c>
      <c r="CS4" s="61" t="s">
        <v>2</v>
      </c>
      <c r="CT4" s="63"/>
      <c r="CU4" s="61" t="s">
        <v>2</v>
      </c>
      <c r="CV4" s="17" t="s">
        <v>870</v>
      </c>
      <c r="CW4" s="17" t="s">
        <v>870</v>
      </c>
      <c r="CX4" s="17" t="s">
        <v>870</v>
      </c>
      <c r="CY4" s="17" t="s">
        <v>870</v>
      </c>
      <c r="CZ4" s="17" t="s">
        <v>870</v>
      </c>
      <c r="DA4" s="17" t="s">
        <v>870</v>
      </c>
      <c r="DB4" s="61" t="s">
        <v>2</v>
      </c>
      <c r="DC4" s="63"/>
      <c r="DD4" s="17" t="s">
        <v>870</v>
      </c>
      <c r="DE4" s="17" t="s">
        <v>870</v>
      </c>
      <c r="DF4" s="61" t="s">
        <v>2</v>
      </c>
      <c r="DG4" s="61" t="s">
        <v>2</v>
      </c>
      <c r="DH4" s="62"/>
      <c r="DI4" s="62"/>
      <c r="DJ4" s="17" t="s">
        <v>870</v>
      </c>
      <c r="DK4" s="17" t="s">
        <v>870</v>
      </c>
      <c r="DL4" s="17" t="s">
        <v>870</v>
      </c>
      <c r="DM4" s="17" t="s">
        <v>870</v>
      </c>
      <c r="DN4" s="17" t="s">
        <v>870</v>
      </c>
      <c r="DO4" s="17" t="s">
        <v>870</v>
      </c>
      <c r="DP4" s="17" t="s">
        <v>870</v>
      </c>
      <c r="DQ4" s="17" t="s">
        <v>870</v>
      </c>
      <c r="DR4" s="17" t="s">
        <v>870</v>
      </c>
      <c r="DS4" s="17" t="s">
        <v>870</v>
      </c>
      <c r="DT4" s="17" t="s">
        <v>870</v>
      </c>
      <c r="DU4" s="17" t="s">
        <v>870</v>
      </c>
      <c r="DV4" s="17" t="s">
        <v>870</v>
      </c>
      <c r="DW4" s="17" t="s">
        <v>870</v>
      </c>
      <c r="DX4" s="17" t="s">
        <v>870</v>
      </c>
      <c r="DY4" s="17" t="s">
        <v>870</v>
      </c>
      <c r="DZ4" s="17" t="s">
        <v>870</v>
      </c>
      <c r="EA4" s="17" t="s">
        <v>870</v>
      </c>
      <c r="EB4" s="17" t="s">
        <v>870</v>
      </c>
      <c r="EC4" s="17" t="s">
        <v>870</v>
      </c>
      <c r="ED4" s="17" t="s">
        <v>870</v>
      </c>
      <c r="EE4" s="17" t="s">
        <v>870</v>
      </c>
      <c r="EF4" s="17" t="s">
        <v>870</v>
      </c>
      <c r="EG4" s="17" t="s">
        <v>870</v>
      </c>
      <c r="EH4" s="17" t="s">
        <v>870</v>
      </c>
      <c r="EI4" s="17" t="s">
        <v>870</v>
      </c>
      <c r="EJ4" s="61" t="s">
        <v>2</v>
      </c>
      <c r="EK4" s="63"/>
      <c r="EL4" s="61" t="s">
        <v>2</v>
      </c>
      <c r="EM4" s="61" t="s">
        <v>2</v>
      </c>
      <c r="EN4" s="62"/>
      <c r="EO4" s="61" t="s">
        <v>2</v>
      </c>
      <c r="EP4" s="61" t="s">
        <v>2</v>
      </c>
      <c r="EQ4" s="61" t="s">
        <v>2</v>
      </c>
      <c r="ER4" s="61" t="s">
        <v>2</v>
      </c>
      <c r="ES4" s="62"/>
      <c r="ET4" s="17" t="s">
        <v>870</v>
      </c>
      <c r="EU4" s="17" t="s">
        <v>870</v>
      </c>
      <c r="EV4" s="62"/>
      <c r="EW4" s="61" t="s">
        <v>2</v>
      </c>
      <c r="EX4" s="61" t="s">
        <v>2</v>
      </c>
      <c r="EY4" s="61" t="s">
        <v>2</v>
      </c>
      <c r="EZ4" s="17" t="s">
        <v>870</v>
      </c>
      <c r="FA4" s="17" t="s">
        <v>870</v>
      </c>
      <c r="FB4" s="61" t="s">
        <v>2</v>
      </c>
      <c r="FC4" s="61" t="s">
        <v>2</v>
      </c>
      <c r="FD4" s="17" t="s">
        <v>870</v>
      </c>
      <c r="FE4" s="17" t="s">
        <v>870</v>
      </c>
      <c r="FF4" s="17" t="s">
        <v>870</v>
      </c>
      <c r="FG4" s="17" t="s">
        <v>870</v>
      </c>
      <c r="FH4" s="61" t="s">
        <v>2</v>
      </c>
      <c r="FI4" s="17" t="s">
        <v>870</v>
      </c>
      <c r="FJ4" s="17" t="s">
        <v>870</v>
      </c>
      <c r="FK4" s="17" t="s">
        <v>870</v>
      </c>
      <c r="FL4" s="17" t="s">
        <v>870</v>
      </c>
      <c r="FM4" s="63"/>
      <c r="FN4" s="17" t="s">
        <v>870</v>
      </c>
      <c r="FO4" s="17" t="s">
        <v>870</v>
      </c>
      <c r="FP4" s="17" t="s">
        <v>870</v>
      </c>
      <c r="FQ4" s="17" t="s">
        <v>870</v>
      </c>
      <c r="FR4" s="17" t="s">
        <v>870</v>
      </c>
      <c r="FS4" s="17" t="s">
        <v>870</v>
      </c>
      <c r="FT4" s="17" t="s">
        <v>870</v>
      </c>
      <c r="FU4" s="62"/>
      <c r="FV4" s="61" t="s">
        <v>2</v>
      </c>
      <c r="FW4" s="62"/>
      <c r="FX4" s="17" t="s">
        <v>870</v>
      </c>
      <c r="FY4" s="17" t="s">
        <v>870</v>
      </c>
      <c r="FZ4" s="17" t="s">
        <v>870</v>
      </c>
      <c r="GA4" s="17" t="s">
        <v>870</v>
      </c>
      <c r="GB4" s="17" t="s">
        <v>870</v>
      </c>
      <c r="GC4" s="61" t="s">
        <v>2</v>
      </c>
      <c r="GD4" s="17" t="s">
        <v>870</v>
      </c>
      <c r="GE4" s="17" t="s">
        <v>870</v>
      </c>
      <c r="GF4" s="17" t="s">
        <v>870</v>
      </c>
      <c r="GG4" s="17" t="s">
        <v>870</v>
      </c>
      <c r="GH4" s="17" t="s">
        <v>870</v>
      </c>
      <c r="GI4" s="17" t="s">
        <v>870</v>
      </c>
      <c r="GJ4" s="17" t="s">
        <v>870</v>
      </c>
      <c r="GK4" s="17" t="s">
        <v>870</v>
      </c>
      <c r="GL4" s="63"/>
      <c r="GM4" s="62"/>
      <c r="GN4" s="17" t="s">
        <v>870</v>
      </c>
      <c r="GO4" s="17" t="s">
        <v>870</v>
      </c>
      <c r="GP4" s="61" t="s">
        <v>2</v>
      </c>
      <c r="GQ4" s="63"/>
      <c r="GR4" s="61" t="s">
        <v>2</v>
      </c>
      <c r="GS4" s="61" t="s">
        <v>2</v>
      </c>
      <c r="GT4" s="17" t="s">
        <v>870</v>
      </c>
      <c r="GU4" s="17" t="s">
        <v>870</v>
      </c>
      <c r="GV4" s="63"/>
      <c r="GW4" s="61" t="s">
        <v>2</v>
      </c>
      <c r="GX4" s="17" t="s">
        <v>870</v>
      </c>
      <c r="GY4" s="17" t="s">
        <v>870</v>
      </c>
      <c r="GZ4" s="17" t="s">
        <v>870</v>
      </c>
      <c r="HA4" s="17" t="s">
        <v>870</v>
      </c>
      <c r="HB4" s="17" t="s">
        <v>870</v>
      </c>
      <c r="HC4" s="17" t="s">
        <v>870</v>
      </c>
      <c r="HD4" s="17" t="s">
        <v>870</v>
      </c>
      <c r="HE4" s="17" t="s">
        <v>870</v>
      </c>
      <c r="HF4" s="61" t="s">
        <v>2</v>
      </c>
      <c r="HG4" s="61" t="s">
        <v>2</v>
      </c>
      <c r="HH4" s="17" t="s">
        <v>870</v>
      </c>
      <c r="HI4" s="17" t="s">
        <v>870</v>
      </c>
      <c r="HJ4" s="17" t="s">
        <v>870</v>
      </c>
      <c r="HK4" s="17" t="s">
        <v>870</v>
      </c>
      <c r="HL4" s="17" t="s">
        <v>870</v>
      </c>
      <c r="HM4" s="17" t="s">
        <v>870</v>
      </c>
      <c r="HN4" s="17" t="s">
        <v>870</v>
      </c>
      <c r="HO4" s="17" t="s">
        <v>870</v>
      </c>
      <c r="HP4" s="63"/>
      <c r="HQ4" s="63"/>
      <c r="HR4" s="61" t="s">
        <v>2</v>
      </c>
      <c r="HS4" s="61" t="s">
        <v>2</v>
      </c>
      <c r="HT4" s="17" t="s">
        <v>870</v>
      </c>
      <c r="HU4" s="17" t="s">
        <v>870</v>
      </c>
      <c r="HV4" s="17" t="s">
        <v>870</v>
      </c>
      <c r="HW4" s="17" t="s">
        <v>870</v>
      </c>
      <c r="HX4" s="61" t="s">
        <v>2</v>
      </c>
      <c r="HY4" s="61" t="s">
        <v>2</v>
      </c>
      <c r="HZ4" s="17" t="s">
        <v>870</v>
      </c>
      <c r="IA4" s="17" t="s">
        <v>870</v>
      </c>
      <c r="IB4" s="61" t="s">
        <v>2</v>
      </c>
      <c r="IC4" s="61" t="s">
        <v>2</v>
      </c>
      <c r="ID4" s="72" t="s">
        <v>1552</v>
      </c>
      <c r="IE4" s="62"/>
      <c r="IF4" s="62"/>
      <c r="IG4" s="61" t="s">
        <v>2</v>
      </c>
      <c r="IH4" s="61" t="s">
        <v>2</v>
      </c>
      <c r="II4" s="63"/>
      <c r="IJ4" s="17" t="s">
        <v>870</v>
      </c>
      <c r="IK4" s="17" t="s">
        <v>870</v>
      </c>
      <c r="IL4" s="17" t="s">
        <v>870</v>
      </c>
      <c r="IM4" s="17" t="s">
        <v>870</v>
      </c>
      <c r="IN4" s="17" t="s">
        <v>870</v>
      </c>
      <c r="IO4" s="17" t="s">
        <v>870</v>
      </c>
    </row>
    <row r="5" spans="1:267" x14ac:dyDescent="0.25">
      <c r="A5" t="s">
        <v>30</v>
      </c>
      <c r="B5" s="17" t="s">
        <v>870</v>
      </c>
      <c r="C5" s="17" t="s">
        <v>870</v>
      </c>
      <c r="D5" s="17" t="s">
        <v>870</v>
      </c>
      <c r="E5" s="17" t="s">
        <v>870</v>
      </c>
      <c r="F5" s="17" t="s">
        <v>870</v>
      </c>
      <c r="G5" s="17" t="s">
        <v>870</v>
      </c>
      <c r="H5" s="17" t="s">
        <v>870</v>
      </c>
      <c r="I5" s="62"/>
      <c r="J5" s="17" t="s">
        <v>870</v>
      </c>
      <c r="K5" s="61" t="s">
        <v>2</v>
      </c>
      <c r="L5" s="61" t="s">
        <v>2</v>
      </c>
      <c r="M5" s="62"/>
      <c r="N5" s="63"/>
      <c r="O5" s="61" t="s">
        <v>2</v>
      </c>
      <c r="P5" s="61" t="s">
        <v>2</v>
      </c>
      <c r="Q5" s="63"/>
      <c r="R5" s="61" t="s">
        <v>2</v>
      </c>
      <c r="S5" s="61" t="s">
        <v>2</v>
      </c>
      <c r="T5" s="17" t="s">
        <v>870</v>
      </c>
      <c r="U5" s="17" t="s">
        <v>870</v>
      </c>
      <c r="V5" s="17" t="s">
        <v>870</v>
      </c>
      <c r="W5" s="17" t="s">
        <v>870</v>
      </c>
      <c r="X5" s="17" t="s">
        <v>870</v>
      </c>
      <c r="Y5" s="17" t="s">
        <v>870</v>
      </c>
      <c r="Z5" s="17" t="s">
        <v>870</v>
      </c>
      <c r="AA5" s="17" t="s">
        <v>870</v>
      </c>
      <c r="AB5" s="17" t="s">
        <v>870</v>
      </c>
      <c r="AC5" s="17" t="s">
        <v>870</v>
      </c>
      <c r="AD5" s="17" t="s">
        <v>870</v>
      </c>
      <c r="AE5" s="17" t="s">
        <v>870</v>
      </c>
      <c r="AF5" s="17" t="s">
        <v>870</v>
      </c>
      <c r="AG5" s="17" t="s">
        <v>870</v>
      </c>
      <c r="AH5" s="17" t="s">
        <v>870</v>
      </c>
      <c r="AI5" s="17" t="s">
        <v>870</v>
      </c>
      <c r="AJ5" s="17" t="s">
        <v>870</v>
      </c>
      <c r="AK5" s="17" t="s">
        <v>870</v>
      </c>
      <c r="AL5" s="17" t="s">
        <v>870</v>
      </c>
      <c r="AM5" s="17" t="s">
        <v>870</v>
      </c>
      <c r="AN5" s="62"/>
      <c r="AO5" s="62"/>
      <c r="AP5" s="61" t="s">
        <v>2</v>
      </c>
      <c r="AQ5" s="62"/>
      <c r="AR5" s="62"/>
      <c r="AS5" s="62"/>
      <c r="AT5" s="63"/>
      <c r="AU5" s="61" t="s">
        <v>2</v>
      </c>
      <c r="AV5" s="61" t="s">
        <v>2</v>
      </c>
      <c r="AW5" s="61" t="s">
        <v>2</v>
      </c>
      <c r="AX5" s="61" t="s">
        <v>2</v>
      </c>
      <c r="AY5" s="61" t="s">
        <v>2</v>
      </c>
      <c r="AZ5" s="17" t="s">
        <v>870</v>
      </c>
      <c r="BA5" s="61" t="s">
        <v>2</v>
      </c>
      <c r="BB5" s="63"/>
      <c r="BC5" s="62"/>
      <c r="BD5" s="61" t="s">
        <v>2</v>
      </c>
      <c r="BE5" s="61" t="s">
        <v>2</v>
      </c>
      <c r="BF5" s="61" t="s">
        <v>2</v>
      </c>
      <c r="BG5" s="62"/>
      <c r="BH5" s="63"/>
      <c r="BI5" s="62"/>
      <c r="BJ5" s="61" t="s">
        <v>2</v>
      </c>
      <c r="BK5" s="63"/>
      <c r="BL5" s="17" t="s">
        <v>870</v>
      </c>
      <c r="BM5" s="17" t="s">
        <v>870</v>
      </c>
      <c r="BN5" s="62"/>
      <c r="BO5" s="62"/>
      <c r="BP5" s="61" t="s">
        <v>2</v>
      </c>
      <c r="BQ5" s="61" t="s">
        <v>2</v>
      </c>
      <c r="BR5" s="61" t="s">
        <v>2</v>
      </c>
      <c r="BS5" s="61" t="s">
        <v>2</v>
      </c>
      <c r="BT5" s="61" t="s">
        <v>2</v>
      </c>
      <c r="BU5" s="61" t="s">
        <v>2</v>
      </c>
      <c r="BV5" s="61" t="s">
        <v>2</v>
      </c>
      <c r="BW5" s="61" t="s">
        <v>2</v>
      </c>
      <c r="BX5" s="62"/>
      <c r="BY5" s="62"/>
      <c r="BZ5" s="62"/>
      <c r="CA5" s="61" t="s">
        <v>2</v>
      </c>
      <c r="CB5" s="17" t="s">
        <v>870</v>
      </c>
      <c r="CC5" s="17" t="s">
        <v>870</v>
      </c>
      <c r="CD5" s="17" t="s">
        <v>870</v>
      </c>
      <c r="CE5" s="17" t="s">
        <v>870</v>
      </c>
      <c r="CF5" s="17" t="s">
        <v>870</v>
      </c>
      <c r="CG5" s="17" t="s">
        <v>870</v>
      </c>
      <c r="CH5" s="17" t="s">
        <v>870</v>
      </c>
      <c r="CI5" s="17" t="s">
        <v>870</v>
      </c>
      <c r="CJ5" s="17" t="s">
        <v>870</v>
      </c>
      <c r="CK5" s="17" t="s">
        <v>870</v>
      </c>
      <c r="CL5" s="17" t="s">
        <v>870</v>
      </c>
      <c r="CM5" s="17" t="s">
        <v>870</v>
      </c>
      <c r="CN5" s="17" t="s">
        <v>870</v>
      </c>
      <c r="CO5" s="17" t="s">
        <v>870</v>
      </c>
      <c r="CP5" s="17" t="s">
        <v>870</v>
      </c>
      <c r="CQ5" s="17" t="s">
        <v>870</v>
      </c>
      <c r="CR5" s="17" t="s">
        <v>870</v>
      </c>
      <c r="CS5" s="17" t="s">
        <v>870</v>
      </c>
      <c r="CT5" s="17" t="s">
        <v>870</v>
      </c>
      <c r="CU5" s="17" t="s">
        <v>870</v>
      </c>
      <c r="CV5" s="17" t="s">
        <v>870</v>
      </c>
      <c r="CW5" s="17" t="s">
        <v>870</v>
      </c>
      <c r="CX5" s="17" t="s">
        <v>870</v>
      </c>
      <c r="CY5" s="17" t="s">
        <v>870</v>
      </c>
      <c r="CZ5" s="17" t="s">
        <v>870</v>
      </c>
      <c r="DA5" s="17" t="s">
        <v>870</v>
      </c>
      <c r="DB5" s="17" t="s">
        <v>870</v>
      </c>
      <c r="DC5" s="17" t="s">
        <v>870</v>
      </c>
      <c r="DD5" s="17" t="s">
        <v>870</v>
      </c>
      <c r="DE5" s="17" t="s">
        <v>870</v>
      </c>
      <c r="DF5" s="17" t="s">
        <v>870</v>
      </c>
      <c r="DG5" s="17" t="s">
        <v>870</v>
      </c>
      <c r="DH5" s="17" t="s">
        <v>870</v>
      </c>
      <c r="DI5" s="17" t="s">
        <v>870</v>
      </c>
      <c r="DJ5" s="17" t="s">
        <v>870</v>
      </c>
      <c r="DK5" s="17" t="s">
        <v>870</v>
      </c>
      <c r="DL5" s="17" t="s">
        <v>870</v>
      </c>
      <c r="DM5" s="17" t="s">
        <v>870</v>
      </c>
      <c r="DN5" s="17" t="s">
        <v>870</v>
      </c>
      <c r="DO5" s="17" t="s">
        <v>870</v>
      </c>
      <c r="DP5" s="17" t="s">
        <v>870</v>
      </c>
      <c r="DQ5" s="17" t="s">
        <v>870</v>
      </c>
      <c r="DR5" s="17" t="s">
        <v>870</v>
      </c>
      <c r="DS5" s="17" t="s">
        <v>870</v>
      </c>
      <c r="DT5" s="17" t="s">
        <v>870</v>
      </c>
      <c r="DU5" s="17" t="s">
        <v>870</v>
      </c>
      <c r="DV5" s="17" t="s">
        <v>870</v>
      </c>
      <c r="DW5" s="17" t="s">
        <v>870</v>
      </c>
      <c r="DX5" s="17" t="s">
        <v>870</v>
      </c>
      <c r="DY5" s="17" t="s">
        <v>870</v>
      </c>
      <c r="DZ5" s="17" t="s">
        <v>870</v>
      </c>
      <c r="EA5" s="17" t="s">
        <v>870</v>
      </c>
      <c r="EB5" s="17" t="s">
        <v>870</v>
      </c>
      <c r="EC5" s="61" t="s">
        <v>2</v>
      </c>
      <c r="ED5" s="17" t="s">
        <v>870</v>
      </c>
      <c r="EE5" s="17" t="s">
        <v>870</v>
      </c>
      <c r="EF5" s="17" t="s">
        <v>870</v>
      </c>
      <c r="EG5" s="17" t="s">
        <v>870</v>
      </c>
      <c r="EH5" s="17" t="s">
        <v>870</v>
      </c>
      <c r="EI5" s="17" t="s">
        <v>870</v>
      </c>
      <c r="EJ5" s="17" t="s">
        <v>870</v>
      </c>
      <c r="EK5" s="17" t="s">
        <v>870</v>
      </c>
      <c r="EL5" s="17" t="s">
        <v>870</v>
      </c>
      <c r="EM5" s="17" t="s">
        <v>870</v>
      </c>
      <c r="EN5" s="17" t="s">
        <v>870</v>
      </c>
      <c r="EO5" s="17" t="s">
        <v>870</v>
      </c>
      <c r="EP5" s="17" t="s">
        <v>870</v>
      </c>
      <c r="EQ5" s="17" t="s">
        <v>870</v>
      </c>
      <c r="ER5" s="17" t="s">
        <v>870</v>
      </c>
      <c r="ES5" s="17" t="s">
        <v>870</v>
      </c>
      <c r="ET5" s="17" t="s">
        <v>870</v>
      </c>
      <c r="EU5" s="17" t="s">
        <v>870</v>
      </c>
      <c r="EV5" s="17" t="s">
        <v>870</v>
      </c>
      <c r="EW5" s="17" t="s">
        <v>870</v>
      </c>
      <c r="EX5" s="17" t="s">
        <v>870</v>
      </c>
      <c r="EY5" s="17" t="s">
        <v>870</v>
      </c>
      <c r="EZ5" s="17" t="s">
        <v>870</v>
      </c>
      <c r="FA5" s="17" t="s">
        <v>870</v>
      </c>
      <c r="FB5" s="17" t="s">
        <v>870</v>
      </c>
      <c r="FC5" s="17" t="s">
        <v>870</v>
      </c>
      <c r="FD5" s="17" t="s">
        <v>870</v>
      </c>
      <c r="FE5" s="17" t="s">
        <v>870</v>
      </c>
      <c r="FF5" s="17" t="s">
        <v>870</v>
      </c>
      <c r="FG5" s="17" t="s">
        <v>870</v>
      </c>
      <c r="FH5" s="17" t="s">
        <v>870</v>
      </c>
      <c r="FI5" s="17" t="s">
        <v>870</v>
      </c>
      <c r="FJ5" s="17" t="s">
        <v>870</v>
      </c>
      <c r="FK5" s="17" t="s">
        <v>870</v>
      </c>
      <c r="FL5" s="17" t="s">
        <v>870</v>
      </c>
      <c r="FM5" s="17" t="s">
        <v>870</v>
      </c>
      <c r="FN5" s="17" t="s">
        <v>870</v>
      </c>
      <c r="FO5" s="17" t="s">
        <v>870</v>
      </c>
      <c r="FP5" s="62"/>
      <c r="FQ5" s="62"/>
      <c r="FR5" s="17" t="s">
        <v>870</v>
      </c>
      <c r="FS5" s="17" t="s">
        <v>870</v>
      </c>
      <c r="FT5" s="17" t="s">
        <v>870</v>
      </c>
      <c r="FU5" s="17" t="s">
        <v>870</v>
      </c>
      <c r="FV5" s="17" t="s">
        <v>870</v>
      </c>
      <c r="FW5" s="17" t="s">
        <v>870</v>
      </c>
      <c r="FX5" s="17" t="s">
        <v>870</v>
      </c>
      <c r="FY5" s="17" t="s">
        <v>870</v>
      </c>
      <c r="FZ5" s="17" t="s">
        <v>870</v>
      </c>
      <c r="GA5" s="17" t="s">
        <v>870</v>
      </c>
      <c r="GB5" s="17" t="s">
        <v>870</v>
      </c>
      <c r="GC5" s="17" t="s">
        <v>870</v>
      </c>
      <c r="GD5" s="17" t="s">
        <v>870</v>
      </c>
      <c r="GE5" s="17" t="s">
        <v>870</v>
      </c>
      <c r="GF5" s="17" t="s">
        <v>870</v>
      </c>
      <c r="GG5" s="17" t="s">
        <v>870</v>
      </c>
      <c r="GH5" s="17" t="s">
        <v>870</v>
      </c>
      <c r="GI5" s="17" t="s">
        <v>870</v>
      </c>
      <c r="GJ5" s="17" t="s">
        <v>870</v>
      </c>
      <c r="GK5" s="17" t="s">
        <v>870</v>
      </c>
      <c r="GL5" s="17" t="s">
        <v>870</v>
      </c>
      <c r="GM5" s="17" t="s">
        <v>870</v>
      </c>
      <c r="GN5" s="17" t="s">
        <v>870</v>
      </c>
      <c r="GO5" s="17" t="s">
        <v>870</v>
      </c>
      <c r="GP5" s="17" t="s">
        <v>870</v>
      </c>
      <c r="GQ5" s="17" t="s">
        <v>870</v>
      </c>
      <c r="GR5" s="17" t="s">
        <v>870</v>
      </c>
      <c r="GS5" s="17" t="s">
        <v>870</v>
      </c>
      <c r="GT5" s="17" t="s">
        <v>870</v>
      </c>
      <c r="GU5" s="17" t="s">
        <v>870</v>
      </c>
      <c r="GV5" s="17" t="s">
        <v>870</v>
      </c>
      <c r="GW5" s="17" t="s">
        <v>870</v>
      </c>
      <c r="GX5" s="17" t="s">
        <v>870</v>
      </c>
      <c r="GY5" s="17" t="s">
        <v>870</v>
      </c>
      <c r="GZ5" s="17" t="s">
        <v>870</v>
      </c>
      <c r="HA5" s="17" t="s">
        <v>870</v>
      </c>
      <c r="HB5" s="17" t="s">
        <v>870</v>
      </c>
      <c r="HC5" s="17" t="s">
        <v>870</v>
      </c>
      <c r="HD5" s="17" t="s">
        <v>870</v>
      </c>
      <c r="HE5" s="17" t="s">
        <v>870</v>
      </c>
      <c r="HF5" s="17" t="s">
        <v>870</v>
      </c>
      <c r="HG5" s="17" t="s">
        <v>870</v>
      </c>
      <c r="HH5" s="17" t="s">
        <v>870</v>
      </c>
      <c r="HI5" s="17" t="s">
        <v>870</v>
      </c>
      <c r="HJ5" s="17" t="s">
        <v>870</v>
      </c>
      <c r="HK5" s="17" t="s">
        <v>870</v>
      </c>
      <c r="HL5" s="17" t="s">
        <v>870</v>
      </c>
      <c r="HM5" s="17" t="s">
        <v>870</v>
      </c>
      <c r="HN5" s="17" t="s">
        <v>870</v>
      </c>
      <c r="HO5" s="17" t="s">
        <v>870</v>
      </c>
      <c r="HP5" s="17" t="s">
        <v>870</v>
      </c>
      <c r="HQ5" s="17" t="s">
        <v>870</v>
      </c>
      <c r="HR5" s="17" t="s">
        <v>870</v>
      </c>
      <c r="HS5" s="17" t="s">
        <v>870</v>
      </c>
      <c r="HT5" s="17" t="s">
        <v>870</v>
      </c>
      <c r="HU5" s="17" t="s">
        <v>870</v>
      </c>
      <c r="HV5" s="17" t="s">
        <v>870</v>
      </c>
      <c r="HW5" s="17" t="s">
        <v>870</v>
      </c>
      <c r="HX5" s="17" t="s">
        <v>870</v>
      </c>
      <c r="HY5" s="17" t="s">
        <v>870</v>
      </c>
      <c r="HZ5" s="17" t="s">
        <v>870</v>
      </c>
      <c r="IA5" s="17" t="s">
        <v>870</v>
      </c>
      <c r="IB5" s="17" t="s">
        <v>870</v>
      </c>
      <c r="IC5" s="17" t="s">
        <v>870</v>
      </c>
      <c r="ID5" s="72" t="s">
        <v>1552</v>
      </c>
      <c r="IE5" s="17" t="s">
        <v>870</v>
      </c>
      <c r="IF5" s="17" t="s">
        <v>870</v>
      </c>
      <c r="IG5" s="17" t="s">
        <v>870</v>
      </c>
      <c r="IH5" s="17" t="s">
        <v>870</v>
      </c>
      <c r="II5" s="17" t="s">
        <v>870</v>
      </c>
      <c r="IJ5" s="17" t="s">
        <v>870</v>
      </c>
      <c r="IK5" s="17" t="s">
        <v>870</v>
      </c>
      <c r="IL5" s="17" t="s">
        <v>870</v>
      </c>
      <c r="IM5" s="17" t="s">
        <v>870</v>
      </c>
      <c r="IN5" s="17" t="s">
        <v>870</v>
      </c>
      <c r="IO5" s="17" t="s">
        <v>870</v>
      </c>
    </row>
    <row r="6" spans="1:267" x14ac:dyDescent="0.25">
      <c r="A6" t="s">
        <v>36</v>
      </c>
      <c r="B6" s="17" t="s">
        <v>870</v>
      </c>
      <c r="C6" s="17" t="s">
        <v>870</v>
      </c>
      <c r="D6" s="17" t="s">
        <v>870</v>
      </c>
      <c r="E6" s="17" t="s">
        <v>870</v>
      </c>
      <c r="F6" s="17" t="s">
        <v>870</v>
      </c>
      <c r="G6" s="17" t="s">
        <v>870</v>
      </c>
      <c r="H6" s="17" t="s">
        <v>870</v>
      </c>
      <c r="I6" s="17" t="s">
        <v>870</v>
      </c>
      <c r="J6" s="17" t="s">
        <v>870</v>
      </c>
      <c r="K6" s="17" t="s">
        <v>870</v>
      </c>
      <c r="L6" s="17" t="s">
        <v>870</v>
      </c>
      <c r="M6" s="17" t="s">
        <v>870</v>
      </c>
      <c r="N6" s="17" t="s">
        <v>870</v>
      </c>
      <c r="O6" s="17" t="s">
        <v>870</v>
      </c>
      <c r="P6" s="17" t="s">
        <v>870</v>
      </c>
      <c r="Q6" s="17" t="s">
        <v>870</v>
      </c>
      <c r="R6" s="17" t="s">
        <v>870</v>
      </c>
      <c r="S6" s="17" t="s">
        <v>870</v>
      </c>
      <c r="T6" s="17" t="s">
        <v>870</v>
      </c>
      <c r="U6" s="17" t="s">
        <v>870</v>
      </c>
      <c r="V6" s="63"/>
      <c r="W6" s="61" t="s">
        <v>2</v>
      </c>
      <c r="X6" s="17" t="s">
        <v>870</v>
      </c>
      <c r="Y6" s="63"/>
      <c r="Z6" s="62"/>
      <c r="AA6" s="61" t="s">
        <v>2</v>
      </c>
      <c r="AB6" s="17" t="s">
        <v>870</v>
      </c>
      <c r="AC6" s="63"/>
      <c r="AD6" s="62"/>
      <c r="AE6" s="63"/>
      <c r="AF6" s="63"/>
      <c r="AG6" s="63"/>
      <c r="AH6" s="63"/>
      <c r="AI6" s="62"/>
      <c r="AJ6" s="17" t="s">
        <v>870</v>
      </c>
      <c r="AK6" s="17" t="s">
        <v>870</v>
      </c>
      <c r="AL6" s="17" t="s">
        <v>870</v>
      </c>
      <c r="AM6" s="17" t="s">
        <v>870</v>
      </c>
      <c r="AN6" s="61" t="s">
        <v>2</v>
      </c>
      <c r="AO6" s="61" t="s">
        <v>2</v>
      </c>
      <c r="AP6" s="63"/>
      <c r="AQ6" s="63"/>
      <c r="AR6" s="62"/>
      <c r="AS6" s="63"/>
      <c r="AT6" s="17" t="s">
        <v>870</v>
      </c>
      <c r="AU6" s="17" t="s">
        <v>870</v>
      </c>
      <c r="AV6" s="63"/>
      <c r="AW6" s="61" t="s">
        <v>2</v>
      </c>
      <c r="AX6" s="61" t="s">
        <v>2</v>
      </c>
      <c r="AY6" s="61" t="s">
        <v>2</v>
      </c>
      <c r="AZ6" s="17" t="s">
        <v>870</v>
      </c>
      <c r="BA6" s="17" t="s">
        <v>870</v>
      </c>
      <c r="BB6" s="63"/>
      <c r="BC6" s="63"/>
      <c r="BD6" s="17" t="s">
        <v>870</v>
      </c>
      <c r="BE6" s="17" t="s">
        <v>870</v>
      </c>
      <c r="BF6" s="62"/>
      <c r="BG6" s="61" t="s">
        <v>2</v>
      </c>
      <c r="BH6" s="62"/>
      <c r="BI6" s="63"/>
      <c r="BJ6" s="63"/>
      <c r="BK6" s="61" t="s">
        <v>2</v>
      </c>
      <c r="BL6" s="17" t="s">
        <v>870</v>
      </c>
      <c r="BM6" s="17" t="s">
        <v>870</v>
      </c>
      <c r="BN6" s="63"/>
      <c r="BO6" s="63"/>
      <c r="BP6" s="61" t="s">
        <v>2</v>
      </c>
      <c r="BQ6" s="63"/>
      <c r="BR6" s="63"/>
      <c r="BS6" s="61" t="s">
        <v>2</v>
      </c>
      <c r="BT6" s="63"/>
      <c r="BU6" s="63"/>
      <c r="BV6" s="17" t="s">
        <v>870</v>
      </c>
      <c r="BW6" s="17" t="s">
        <v>870</v>
      </c>
      <c r="BX6" s="63"/>
      <c r="BY6" s="63"/>
      <c r="BZ6" s="61" t="s">
        <v>2</v>
      </c>
      <c r="CA6" s="63"/>
      <c r="CB6" s="61" t="s">
        <v>2</v>
      </c>
      <c r="CC6" s="63"/>
      <c r="CD6" s="17" t="s">
        <v>870</v>
      </c>
      <c r="CE6" s="17" t="s">
        <v>870</v>
      </c>
      <c r="CF6" s="17" t="s">
        <v>870</v>
      </c>
      <c r="CG6" s="17" t="s">
        <v>870</v>
      </c>
      <c r="CH6" s="63"/>
      <c r="CI6" s="63"/>
      <c r="CJ6" s="63"/>
      <c r="CK6" s="63"/>
      <c r="CL6" s="63"/>
      <c r="CM6" s="63"/>
      <c r="CN6" s="17" t="s">
        <v>870</v>
      </c>
      <c r="CO6" s="17" t="s">
        <v>870</v>
      </c>
      <c r="CP6" s="63"/>
      <c r="CQ6" s="63"/>
      <c r="CR6" s="63"/>
      <c r="CS6" s="62"/>
      <c r="CT6" s="17" t="s">
        <v>870</v>
      </c>
      <c r="CU6" s="17" t="s">
        <v>870</v>
      </c>
      <c r="CV6" s="17" t="s">
        <v>870</v>
      </c>
      <c r="CW6" s="17" t="s">
        <v>870</v>
      </c>
      <c r="CX6" s="63"/>
      <c r="CY6" s="63"/>
      <c r="CZ6" s="63"/>
      <c r="DA6" s="63"/>
      <c r="DB6" s="63"/>
      <c r="DC6" s="63"/>
      <c r="DD6" s="61" t="s">
        <v>2</v>
      </c>
      <c r="DE6" s="61" t="s">
        <v>2</v>
      </c>
      <c r="DF6" s="63"/>
      <c r="DG6" s="62"/>
      <c r="DH6" s="63"/>
      <c r="DI6" s="63"/>
      <c r="DJ6" s="63"/>
      <c r="DK6" s="63"/>
      <c r="DL6" s="63"/>
      <c r="DM6" s="61" t="s">
        <v>2</v>
      </c>
      <c r="DN6" s="63"/>
      <c r="DO6" s="63"/>
      <c r="DP6" s="62"/>
      <c r="DQ6" s="61" t="s">
        <v>2</v>
      </c>
      <c r="DR6" s="61" t="s">
        <v>2</v>
      </c>
      <c r="DS6" s="61" t="s">
        <v>2</v>
      </c>
      <c r="DT6" s="63"/>
      <c r="DU6" s="63"/>
      <c r="DV6" s="63"/>
      <c r="DW6" s="63"/>
      <c r="DX6" s="61" t="s">
        <v>2</v>
      </c>
      <c r="DY6" s="63"/>
      <c r="DZ6" s="17" t="s">
        <v>870</v>
      </c>
      <c r="EA6" s="17" t="s">
        <v>870</v>
      </c>
      <c r="EB6" s="61" t="s">
        <v>2</v>
      </c>
      <c r="EC6" s="63"/>
      <c r="ED6" s="61" t="s">
        <v>2</v>
      </c>
      <c r="EE6" s="61" t="s">
        <v>2</v>
      </c>
      <c r="EF6" s="17" t="s">
        <v>870</v>
      </c>
      <c r="EG6" s="17" t="s">
        <v>870</v>
      </c>
      <c r="EH6" s="62"/>
      <c r="EI6" s="61" t="s">
        <v>2</v>
      </c>
      <c r="EJ6" s="63"/>
      <c r="EK6" s="61" t="s">
        <v>2</v>
      </c>
      <c r="EL6" s="63"/>
      <c r="EM6" s="63"/>
      <c r="EN6" s="61" t="s">
        <v>2</v>
      </c>
      <c r="EO6" s="62"/>
      <c r="EP6" s="62"/>
      <c r="EQ6" s="63"/>
      <c r="ER6" s="62"/>
      <c r="ES6" s="61" t="s">
        <v>2</v>
      </c>
      <c r="ET6" s="63"/>
      <c r="EU6" s="62"/>
      <c r="EV6" s="17" t="s">
        <v>870</v>
      </c>
      <c r="EW6" s="17" t="s">
        <v>870</v>
      </c>
      <c r="EX6" s="61" t="s">
        <v>2</v>
      </c>
      <c r="EY6" s="63"/>
      <c r="EZ6" s="61" t="s">
        <v>2</v>
      </c>
      <c r="FA6" s="61" t="s">
        <v>2</v>
      </c>
      <c r="FB6" s="61" t="s">
        <v>2</v>
      </c>
      <c r="FC6" s="63"/>
      <c r="FD6" s="63"/>
      <c r="FE6" s="61" t="s">
        <v>2</v>
      </c>
      <c r="FF6" s="61" t="s">
        <v>2</v>
      </c>
      <c r="FG6" s="62"/>
      <c r="FH6" s="63"/>
      <c r="FI6" s="61" t="s">
        <v>2</v>
      </c>
      <c r="FJ6" s="63"/>
      <c r="FK6" s="63"/>
      <c r="FL6" s="63"/>
      <c r="FM6" s="63"/>
      <c r="FN6" s="63"/>
      <c r="FO6" s="63"/>
      <c r="FP6" s="63"/>
      <c r="FQ6" s="63"/>
      <c r="FR6" s="62"/>
      <c r="FS6" s="63"/>
      <c r="FT6" s="61" t="s">
        <v>2</v>
      </c>
      <c r="FU6" s="63"/>
      <c r="FV6" s="17" t="s">
        <v>870</v>
      </c>
      <c r="FW6" s="17" t="s">
        <v>870</v>
      </c>
      <c r="FX6" s="61" t="s">
        <v>2</v>
      </c>
      <c r="FY6" s="61" t="s">
        <v>2</v>
      </c>
      <c r="FZ6" s="63"/>
      <c r="GA6" s="63"/>
      <c r="GB6" s="63"/>
      <c r="GC6" s="63"/>
      <c r="GD6" s="17" t="s">
        <v>870</v>
      </c>
      <c r="GE6" s="62"/>
      <c r="GF6" s="17" t="s">
        <v>870</v>
      </c>
      <c r="GG6" s="17" t="s">
        <v>870</v>
      </c>
      <c r="GH6" s="63"/>
      <c r="GI6" s="63"/>
      <c r="GJ6" s="63"/>
      <c r="GK6" s="63"/>
      <c r="GL6" s="17" t="s">
        <v>870</v>
      </c>
      <c r="GM6" s="17" t="s">
        <v>870</v>
      </c>
      <c r="GN6" s="17" t="s">
        <v>870</v>
      </c>
      <c r="GO6" s="17" t="s">
        <v>870</v>
      </c>
      <c r="GP6" s="17" t="s">
        <v>870</v>
      </c>
      <c r="GQ6" s="17" t="s">
        <v>870</v>
      </c>
      <c r="GR6" s="17" t="s">
        <v>870</v>
      </c>
      <c r="GS6" s="17" t="s">
        <v>870</v>
      </c>
      <c r="GT6" s="17" t="s">
        <v>870</v>
      </c>
      <c r="GU6" s="17" t="s">
        <v>870</v>
      </c>
      <c r="GV6" s="17" t="s">
        <v>870</v>
      </c>
      <c r="GW6" s="17" t="s">
        <v>870</v>
      </c>
      <c r="GX6" s="17" t="s">
        <v>870</v>
      </c>
      <c r="GY6" s="17" t="s">
        <v>870</v>
      </c>
      <c r="GZ6" s="17" t="s">
        <v>870</v>
      </c>
      <c r="HA6" s="17" t="s">
        <v>870</v>
      </c>
      <c r="HB6" s="17" t="s">
        <v>870</v>
      </c>
      <c r="HC6" s="17" t="s">
        <v>870</v>
      </c>
      <c r="HD6" s="17" t="s">
        <v>870</v>
      </c>
      <c r="HE6" s="17" t="s">
        <v>870</v>
      </c>
      <c r="HF6" s="17" t="s">
        <v>870</v>
      </c>
      <c r="HG6" s="17" t="s">
        <v>870</v>
      </c>
      <c r="HH6" s="17" t="s">
        <v>870</v>
      </c>
      <c r="HI6" s="17" t="s">
        <v>870</v>
      </c>
      <c r="HJ6" s="17" t="s">
        <v>870</v>
      </c>
      <c r="HK6" s="17" t="s">
        <v>870</v>
      </c>
      <c r="HL6" s="17" t="s">
        <v>870</v>
      </c>
      <c r="HM6" s="17" t="s">
        <v>870</v>
      </c>
      <c r="HN6" s="17" t="s">
        <v>870</v>
      </c>
      <c r="HO6" s="17" t="s">
        <v>870</v>
      </c>
      <c r="HP6" s="17" t="s">
        <v>870</v>
      </c>
      <c r="HQ6" s="17" t="s">
        <v>870</v>
      </c>
      <c r="HR6" s="17" t="s">
        <v>870</v>
      </c>
      <c r="HS6" s="17" t="s">
        <v>870</v>
      </c>
      <c r="HT6" s="63"/>
      <c r="HU6" s="63"/>
      <c r="HV6" s="62"/>
      <c r="HW6" s="61" t="s">
        <v>2</v>
      </c>
      <c r="HX6" s="63"/>
      <c r="HY6" s="63"/>
      <c r="HZ6" s="63"/>
      <c r="IA6" s="63"/>
      <c r="IB6" s="62"/>
      <c r="IC6" s="63"/>
      <c r="ID6" s="72" t="s">
        <v>1552</v>
      </c>
      <c r="IE6" s="17" t="s">
        <v>870</v>
      </c>
      <c r="IF6" s="17" t="s">
        <v>870</v>
      </c>
      <c r="IG6" s="17" t="s">
        <v>870</v>
      </c>
      <c r="IH6" s="63"/>
      <c r="II6" s="63"/>
      <c r="IJ6" s="17" t="s">
        <v>870</v>
      </c>
      <c r="IK6" s="17" t="s">
        <v>870</v>
      </c>
      <c r="IL6" s="17" t="s">
        <v>870</v>
      </c>
      <c r="IM6" s="17" t="s">
        <v>870</v>
      </c>
      <c r="IN6" s="17" t="s">
        <v>870</v>
      </c>
      <c r="IO6" s="17" t="s">
        <v>870</v>
      </c>
    </row>
    <row r="7" spans="1:267" x14ac:dyDescent="0.25">
      <c r="A7" t="s">
        <v>20</v>
      </c>
      <c r="B7" s="61" t="s">
        <v>2</v>
      </c>
      <c r="C7" s="61" t="s">
        <v>2</v>
      </c>
      <c r="D7" s="63"/>
      <c r="E7" s="63"/>
      <c r="F7" s="61" t="s">
        <v>2</v>
      </c>
      <c r="G7" s="63"/>
      <c r="H7" s="63"/>
      <c r="I7" s="61" t="s">
        <v>2</v>
      </c>
      <c r="J7" s="62"/>
      <c r="K7" s="61" t="s">
        <v>2</v>
      </c>
      <c r="L7" s="63"/>
      <c r="M7" s="61" t="s">
        <v>2</v>
      </c>
      <c r="N7" s="63"/>
      <c r="O7" s="62"/>
      <c r="P7" s="61" t="s">
        <v>2</v>
      </c>
      <c r="Q7" s="63"/>
      <c r="R7" s="63"/>
      <c r="S7" s="61" t="s">
        <v>2</v>
      </c>
      <c r="T7" s="61" t="s">
        <v>2</v>
      </c>
      <c r="U7" s="61" t="s">
        <v>2</v>
      </c>
      <c r="V7" s="61" t="s">
        <v>2</v>
      </c>
      <c r="W7" s="63"/>
      <c r="X7" s="62"/>
      <c r="Y7" s="62"/>
      <c r="Z7" s="63"/>
      <c r="AA7" s="61" t="s">
        <v>2</v>
      </c>
      <c r="AB7" s="63"/>
      <c r="AC7" s="63"/>
      <c r="AD7" s="62"/>
      <c r="AE7" s="17" t="s">
        <v>870</v>
      </c>
      <c r="AF7" s="17" t="s">
        <v>870</v>
      </c>
      <c r="AG7" s="17" t="s">
        <v>870</v>
      </c>
      <c r="AH7" s="17" t="s">
        <v>870</v>
      </c>
      <c r="AI7" s="17" t="s">
        <v>870</v>
      </c>
      <c r="AJ7" s="17" t="s">
        <v>870</v>
      </c>
      <c r="AK7" s="17" t="s">
        <v>870</v>
      </c>
      <c r="AL7" s="17" t="s">
        <v>870</v>
      </c>
      <c r="AM7" s="17" t="s">
        <v>870</v>
      </c>
      <c r="AN7" s="17" t="s">
        <v>870</v>
      </c>
      <c r="AO7" s="17" t="s">
        <v>870</v>
      </c>
      <c r="AP7" s="17" t="s">
        <v>870</v>
      </c>
      <c r="AQ7" s="17" t="s">
        <v>870</v>
      </c>
      <c r="AR7" s="17" t="s">
        <v>870</v>
      </c>
      <c r="AS7" s="17" t="s">
        <v>870</v>
      </c>
      <c r="AT7" s="62"/>
      <c r="AU7" s="17" t="s">
        <v>870</v>
      </c>
      <c r="AV7" s="63"/>
      <c r="AW7" s="62"/>
      <c r="AX7" s="62"/>
      <c r="AY7" s="63"/>
      <c r="AZ7" s="17" t="s">
        <v>870</v>
      </c>
      <c r="BA7" s="63"/>
      <c r="BB7" s="63"/>
      <c r="BC7" s="63"/>
      <c r="BD7" s="63"/>
      <c r="BE7" s="62"/>
      <c r="BF7" s="63"/>
      <c r="BG7" s="63"/>
      <c r="BH7" s="63"/>
      <c r="BI7" s="62"/>
      <c r="BJ7" s="62"/>
      <c r="BK7" s="63"/>
      <c r="BL7" s="63"/>
      <c r="BM7" s="63"/>
      <c r="BN7" s="17" t="s">
        <v>870</v>
      </c>
      <c r="BO7" s="17" t="s">
        <v>870</v>
      </c>
      <c r="BP7" s="61" t="s">
        <v>2</v>
      </c>
      <c r="BQ7" s="63"/>
      <c r="BR7" s="61" t="s">
        <v>2</v>
      </c>
      <c r="BS7" s="62"/>
      <c r="BT7" s="17" t="s">
        <v>870</v>
      </c>
      <c r="BU7" s="17" t="s">
        <v>870</v>
      </c>
      <c r="BV7" s="61" t="s">
        <v>2</v>
      </c>
      <c r="BW7" s="63"/>
      <c r="BX7" s="17" t="s">
        <v>870</v>
      </c>
      <c r="BY7" s="17" t="s">
        <v>870</v>
      </c>
      <c r="BZ7" s="17" t="s">
        <v>870</v>
      </c>
      <c r="CA7" s="17" t="s">
        <v>870</v>
      </c>
      <c r="CB7" s="17" t="s">
        <v>870</v>
      </c>
      <c r="CC7" s="17" t="s">
        <v>870</v>
      </c>
      <c r="CD7" s="17" t="s">
        <v>870</v>
      </c>
      <c r="CE7" s="17" t="s">
        <v>870</v>
      </c>
      <c r="CF7" s="17" t="s">
        <v>870</v>
      </c>
      <c r="CG7" s="17" t="s">
        <v>870</v>
      </c>
      <c r="CH7" s="17" t="s">
        <v>870</v>
      </c>
      <c r="CI7" s="17" t="s">
        <v>870</v>
      </c>
      <c r="CJ7" s="17" t="s">
        <v>870</v>
      </c>
      <c r="CK7" s="17" t="s">
        <v>870</v>
      </c>
      <c r="CL7" s="17" t="s">
        <v>870</v>
      </c>
      <c r="CM7" s="17" t="s">
        <v>870</v>
      </c>
      <c r="CN7" s="17" t="s">
        <v>870</v>
      </c>
      <c r="CO7" s="17" t="s">
        <v>870</v>
      </c>
      <c r="CP7" s="17" t="s">
        <v>870</v>
      </c>
      <c r="CQ7" s="17" t="s">
        <v>870</v>
      </c>
      <c r="CR7" s="17" t="s">
        <v>870</v>
      </c>
      <c r="CS7" s="17" t="s">
        <v>870</v>
      </c>
      <c r="CT7" s="17" t="s">
        <v>870</v>
      </c>
      <c r="CU7" s="17" t="s">
        <v>870</v>
      </c>
      <c r="CV7" s="61" t="s">
        <v>2</v>
      </c>
      <c r="CW7" s="61" t="s">
        <v>2</v>
      </c>
      <c r="CX7" s="61" t="s">
        <v>2</v>
      </c>
      <c r="CY7" s="63"/>
      <c r="CZ7" s="63"/>
      <c r="DA7" s="63"/>
      <c r="DB7" s="62"/>
      <c r="DC7" s="63"/>
      <c r="DD7" s="62"/>
      <c r="DE7" s="62"/>
      <c r="DF7" s="62"/>
      <c r="DG7" s="62"/>
      <c r="DH7" s="62"/>
      <c r="DI7" s="62"/>
      <c r="DJ7" s="63"/>
      <c r="DK7" s="63"/>
      <c r="DL7" s="17" t="s">
        <v>870</v>
      </c>
      <c r="DM7" s="17" t="s">
        <v>870</v>
      </c>
      <c r="DN7" s="17" t="s">
        <v>870</v>
      </c>
      <c r="DO7" s="17" t="s">
        <v>870</v>
      </c>
      <c r="DP7" s="17" t="s">
        <v>870</v>
      </c>
      <c r="DQ7" s="17" t="s">
        <v>870</v>
      </c>
      <c r="DR7" s="17" t="s">
        <v>870</v>
      </c>
      <c r="DS7" s="17" t="s">
        <v>870</v>
      </c>
      <c r="DT7" s="17" t="s">
        <v>870</v>
      </c>
      <c r="DU7" s="17" t="s">
        <v>870</v>
      </c>
      <c r="DV7" s="17" t="s">
        <v>870</v>
      </c>
      <c r="DW7" s="17" t="s">
        <v>870</v>
      </c>
      <c r="DX7" s="17" t="s">
        <v>870</v>
      </c>
      <c r="DY7" s="17" t="s">
        <v>870</v>
      </c>
      <c r="DZ7" s="17" t="s">
        <v>870</v>
      </c>
      <c r="EA7" s="17" t="s">
        <v>870</v>
      </c>
      <c r="EB7" s="17" t="s">
        <v>870</v>
      </c>
      <c r="EC7" s="17" t="s">
        <v>870</v>
      </c>
      <c r="ED7" s="17" t="s">
        <v>870</v>
      </c>
      <c r="EE7" s="17" t="s">
        <v>870</v>
      </c>
      <c r="EF7" s="17" t="s">
        <v>870</v>
      </c>
      <c r="EG7" s="17" t="s">
        <v>870</v>
      </c>
      <c r="EH7" s="17" t="s">
        <v>870</v>
      </c>
      <c r="EI7" s="17" t="s">
        <v>870</v>
      </c>
      <c r="EJ7" s="17" t="s">
        <v>870</v>
      </c>
      <c r="EK7" s="17" t="s">
        <v>870</v>
      </c>
      <c r="EL7" s="17" t="s">
        <v>870</v>
      </c>
      <c r="EM7" s="17" t="s">
        <v>870</v>
      </c>
      <c r="EN7" s="17" t="s">
        <v>870</v>
      </c>
      <c r="EO7" s="17" t="s">
        <v>870</v>
      </c>
      <c r="EP7" s="17" t="s">
        <v>870</v>
      </c>
      <c r="EQ7" s="17" t="s">
        <v>870</v>
      </c>
      <c r="ER7" s="17" t="s">
        <v>870</v>
      </c>
      <c r="ES7" s="17" t="s">
        <v>870</v>
      </c>
      <c r="ET7" s="17" t="s">
        <v>870</v>
      </c>
      <c r="EU7" s="17" t="s">
        <v>870</v>
      </c>
      <c r="EV7" s="17" t="s">
        <v>870</v>
      </c>
      <c r="EW7" s="17" t="s">
        <v>870</v>
      </c>
      <c r="EX7" s="17" t="s">
        <v>870</v>
      </c>
      <c r="EY7" s="17" t="s">
        <v>870</v>
      </c>
      <c r="EZ7" s="17" t="s">
        <v>870</v>
      </c>
      <c r="FA7" s="17" t="s">
        <v>870</v>
      </c>
      <c r="FB7" s="17" t="s">
        <v>870</v>
      </c>
      <c r="FC7" s="17" t="s">
        <v>870</v>
      </c>
      <c r="FD7" s="17" t="s">
        <v>870</v>
      </c>
      <c r="FE7" s="17" t="s">
        <v>870</v>
      </c>
      <c r="FF7" s="17" t="s">
        <v>870</v>
      </c>
      <c r="FG7" s="17" t="s">
        <v>870</v>
      </c>
      <c r="FH7" s="17" t="s">
        <v>870</v>
      </c>
      <c r="FI7" s="17" t="s">
        <v>870</v>
      </c>
      <c r="FJ7" s="17" t="s">
        <v>870</v>
      </c>
      <c r="FK7" s="17" t="s">
        <v>870</v>
      </c>
      <c r="FL7" s="17" t="s">
        <v>870</v>
      </c>
      <c r="FM7" s="17" t="s">
        <v>870</v>
      </c>
      <c r="FN7" s="17" t="s">
        <v>870</v>
      </c>
      <c r="FO7" s="17" t="s">
        <v>870</v>
      </c>
      <c r="FP7" s="17" t="s">
        <v>870</v>
      </c>
      <c r="FQ7" s="17" t="s">
        <v>870</v>
      </c>
      <c r="FR7" s="17" t="s">
        <v>870</v>
      </c>
      <c r="FS7" s="17" t="s">
        <v>870</v>
      </c>
      <c r="FT7" s="17" t="s">
        <v>870</v>
      </c>
      <c r="FU7" s="17" t="s">
        <v>870</v>
      </c>
      <c r="FV7" s="17" t="s">
        <v>870</v>
      </c>
      <c r="FW7" s="17" t="s">
        <v>870</v>
      </c>
      <c r="FX7" s="17" t="s">
        <v>870</v>
      </c>
      <c r="FY7" s="17" t="s">
        <v>870</v>
      </c>
      <c r="FZ7" s="17" t="s">
        <v>870</v>
      </c>
      <c r="GA7" s="17" t="s">
        <v>870</v>
      </c>
      <c r="GB7" s="17" t="s">
        <v>870</v>
      </c>
      <c r="GC7" s="17" t="s">
        <v>870</v>
      </c>
      <c r="GD7" s="17" t="s">
        <v>870</v>
      </c>
      <c r="GE7" s="17" t="s">
        <v>870</v>
      </c>
      <c r="GF7" s="17" t="s">
        <v>870</v>
      </c>
      <c r="GG7" s="17" t="s">
        <v>870</v>
      </c>
      <c r="GH7" s="17" t="s">
        <v>870</v>
      </c>
      <c r="GI7" s="17" t="s">
        <v>870</v>
      </c>
      <c r="GJ7" s="17" t="s">
        <v>870</v>
      </c>
      <c r="GK7" s="17" t="s">
        <v>870</v>
      </c>
      <c r="GL7" s="17" t="s">
        <v>870</v>
      </c>
      <c r="GM7" s="17" t="s">
        <v>870</v>
      </c>
      <c r="GN7" s="17" t="s">
        <v>870</v>
      </c>
      <c r="GO7" s="17" t="s">
        <v>870</v>
      </c>
      <c r="GP7" s="17" t="s">
        <v>870</v>
      </c>
      <c r="GQ7" s="17" t="s">
        <v>870</v>
      </c>
      <c r="GR7" s="17" t="s">
        <v>870</v>
      </c>
      <c r="GS7" s="17" t="s">
        <v>870</v>
      </c>
      <c r="GT7" s="17" t="s">
        <v>870</v>
      </c>
      <c r="GU7" s="17" t="s">
        <v>870</v>
      </c>
      <c r="GV7" s="17" t="s">
        <v>870</v>
      </c>
      <c r="GW7" s="17" t="s">
        <v>870</v>
      </c>
      <c r="GX7" s="17" t="s">
        <v>870</v>
      </c>
      <c r="GY7" s="17" t="s">
        <v>870</v>
      </c>
      <c r="GZ7" s="17" t="s">
        <v>870</v>
      </c>
      <c r="HA7" s="17" t="s">
        <v>870</v>
      </c>
      <c r="HB7" s="17" t="s">
        <v>870</v>
      </c>
      <c r="HC7" s="17" t="s">
        <v>870</v>
      </c>
      <c r="HD7" s="17" t="s">
        <v>870</v>
      </c>
      <c r="HE7" s="17" t="s">
        <v>870</v>
      </c>
      <c r="HF7" s="17" t="s">
        <v>870</v>
      </c>
      <c r="HG7" s="17" t="s">
        <v>870</v>
      </c>
      <c r="HH7" s="17" t="s">
        <v>870</v>
      </c>
      <c r="HI7" s="17" t="s">
        <v>870</v>
      </c>
      <c r="HJ7" s="17" t="s">
        <v>870</v>
      </c>
      <c r="HK7" s="17" t="s">
        <v>870</v>
      </c>
      <c r="HL7" s="17" t="s">
        <v>870</v>
      </c>
      <c r="HM7" s="17" t="s">
        <v>870</v>
      </c>
      <c r="HN7" s="17" t="s">
        <v>870</v>
      </c>
      <c r="HO7" s="17" t="s">
        <v>870</v>
      </c>
      <c r="HP7" s="17" t="s">
        <v>870</v>
      </c>
      <c r="HQ7" s="17" t="s">
        <v>870</v>
      </c>
      <c r="HR7" s="17" t="s">
        <v>870</v>
      </c>
      <c r="HS7" s="17" t="s">
        <v>870</v>
      </c>
      <c r="HT7" s="17" t="s">
        <v>870</v>
      </c>
      <c r="HU7" s="17" t="s">
        <v>870</v>
      </c>
      <c r="HV7" s="17" t="s">
        <v>870</v>
      </c>
      <c r="HW7" s="17" t="s">
        <v>870</v>
      </c>
      <c r="HX7" s="17" t="s">
        <v>870</v>
      </c>
      <c r="HY7" s="17" t="s">
        <v>870</v>
      </c>
      <c r="HZ7" s="17" t="s">
        <v>870</v>
      </c>
      <c r="IA7" s="17" t="s">
        <v>870</v>
      </c>
      <c r="IB7" s="17" t="s">
        <v>870</v>
      </c>
      <c r="IC7" s="17" t="s">
        <v>870</v>
      </c>
      <c r="ID7" s="72" t="s">
        <v>1552</v>
      </c>
      <c r="IE7" s="17" t="s">
        <v>870</v>
      </c>
      <c r="IF7" s="17" t="s">
        <v>870</v>
      </c>
      <c r="IG7" s="17" t="s">
        <v>870</v>
      </c>
      <c r="IH7" s="17" t="s">
        <v>870</v>
      </c>
      <c r="II7" s="17" t="s">
        <v>870</v>
      </c>
      <c r="IJ7" s="17" t="s">
        <v>870</v>
      </c>
      <c r="IK7" s="17" t="s">
        <v>870</v>
      </c>
      <c r="IL7" s="17" t="s">
        <v>870</v>
      </c>
      <c r="IM7" s="17" t="s">
        <v>870</v>
      </c>
      <c r="IN7" s="17" t="s">
        <v>870</v>
      </c>
      <c r="IO7" s="17" t="s">
        <v>870</v>
      </c>
    </row>
    <row r="8" spans="1:267" x14ac:dyDescent="0.25">
      <c r="A8" t="s">
        <v>22</v>
      </c>
      <c r="B8" s="63"/>
      <c r="C8" s="63"/>
      <c r="D8" s="63"/>
      <c r="E8" s="63"/>
      <c r="F8" s="17" t="s">
        <v>870</v>
      </c>
      <c r="G8" s="63"/>
      <c r="H8" s="63"/>
      <c r="I8" s="62"/>
      <c r="J8" s="63"/>
      <c r="K8" s="63"/>
      <c r="L8" s="63"/>
      <c r="M8" s="63"/>
      <c r="N8" s="63"/>
      <c r="O8" s="63"/>
      <c r="P8" s="63"/>
      <c r="Q8" s="63"/>
      <c r="R8" s="17" t="s">
        <v>870</v>
      </c>
      <c r="S8" s="17" t="s">
        <v>870</v>
      </c>
      <c r="T8" s="63"/>
      <c r="U8" s="63"/>
      <c r="V8" s="63"/>
      <c r="W8" s="63"/>
      <c r="X8" s="63"/>
      <c r="Y8" s="63"/>
      <c r="Z8" s="62"/>
      <c r="AA8" s="61" t="s">
        <v>2</v>
      </c>
      <c r="AB8" s="63"/>
      <c r="AC8" s="63"/>
      <c r="AD8" s="63"/>
      <c r="AE8" s="63"/>
      <c r="AF8" s="61" t="s">
        <v>2</v>
      </c>
      <c r="AG8" s="63"/>
      <c r="AH8" s="63"/>
      <c r="AI8" s="61" t="s">
        <v>2</v>
      </c>
      <c r="AJ8" s="61" t="s">
        <v>2</v>
      </c>
      <c r="AK8" s="63"/>
      <c r="AL8" s="61" t="s">
        <v>2</v>
      </c>
      <c r="AM8" s="63"/>
      <c r="AN8" s="63"/>
      <c r="AO8" s="63"/>
      <c r="AP8" s="63"/>
      <c r="AQ8" s="63"/>
      <c r="AR8" s="63"/>
      <c r="AS8" s="62"/>
      <c r="AT8" s="17" t="s">
        <v>870</v>
      </c>
      <c r="AU8" s="17" t="s">
        <v>870</v>
      </c>
      <c r="AV8" s="17" t="s">
        <v>870</v>
      </c>
      <c r="AW8" s="17" t="s">
        <v>870</v>
      </c>
      <c r="AX8" s="17" t="s">
        <v>870</v>
      </c>
      <c r="AY8" s="17" t="s">
        <v>870</v>
      </c>
      <c r="AZ8" s="63"/>
      <c r="BA8" s="61" t="s">
        <v>2</v>
      </c>
      <c r="BB8" s="63"/>
      <c r="BC8" s="63"/>
      <c r="BD8" s="17" t="s">
        <v>870</v>
      </c>
      <c r="BE8" s="17" t="s">
        <v>870</v>
      </c>
      <c r="BF8" s="17" t="s">
        <v>870</v>
      </c>
      <c r="BG8" s="17" t="s">
        <v>870</v>
      </c>
      <c r="BH8" s="17" t="s">
        <v>870</v>
      </c>
      <c r="BI8" s="17" t="s">
        <v>870</v>
      </c>
      <c r="BJ8" s="17" t="s">
        <v>870</v>
      </c>
      <c r="BK8" s="17" t="s">
        <v>870</v>
      </c>
      <c r="BL8" s="17" t="s">
        <v>870</v>
      </c>
      <c r="BM8" s="17" t="s">
        <v>870</v>
      </c>
      <c r="BN8" s="17" t="s">
        <v>870</v>
      </c>
      <c r="BO8" s="17" t="s">
        <v>870</v>
      </c>
      <c r="BP8" s="17" t="s">
        <v>870</v>
      </c>
      <c r="BQ8" s="17" t="s">
        <v>870</v>
      </c>
      <c r="BR8" s="17" t="s">
        <v>870</v>
      </c>
      <c r="BS8" s="17" t="s">
        <v>870</v>
      </c>
      <c r="BT8" s="17" t="s">
        <v>870</v>
      </c>
      <c r="BU8" s="17" t="s">
        <v>870</v>
      </c>
      <c r="BV8" s="62"/>
      <c r="BW8" s="63"/>
      <c r="BX8" s="63"/>
      <c r="BY8" s="63"/>
      <c r="BZ8" s="63"/>
      <c r="CA8" s="63"/>
      <c r="CB8" s="62"/>
      <c r="CC8" s="63"/>
      <c r="CD8" s="63"/>
      <c r="CE8" s="63"/>
      <c r="CF8" s="63"/>
      <c r="CG8" s="63"/>
      <c r="CH8" s="63"/>
      <c r="CI8" s="63"/>
      <c r="CJ8" s="63"/>
      <c r="CK8" s="63"/>
      <c r="CL8" s="63"/>
      <c r="CM8" s="61" t="s">
        <v>2</v>
      </c>
      <c r="CN8" s="61" t="s">
        <v>2</v>
      </c>
      <c r="CO8" s="63"/>
      <c r="CP8" s="62"/>
      <c r="CQ8" s="63"/>
      <c r="CR8" s="63"/>
      <c r="CS8" s="63"/>
      <c r="CT8" s="63"/>
      <c r="CU8" s="63"/>
      <c r="CV8" s="63"/>
      <c r="CW8" s="61" t="s">
        <v>2</v>
      </c>
      <c r="CX8" s="62"/>
      <c r="CY8" s="63"/>
      <c r="CZ8" s="61" t="s">
        <v>2</v>
      </c>
      <c r="DA8" s="63"/>
      <c r="DB8" s="63"/>
      <c r="DC8" s="63"/>
      <c r="DD8" s="63"/>
      <c r="DE8" s="63"/>
      <c r="DF8" s="62"/>
      <c r="DG8" s="61" t="s">
        <v>2</v>
      </c>
      <c r="DH8" s="63"/>
      <c r="DI8" s="63"/>
      <c r="DJ8" s="62"/>
      <c r="DK8" s="63"/>
      <c r="DL8" s="63"/>
      <c r="DM8" s="62"/>
      <c r="DN8" s="63"/>
      <c r="DO8" s="63"/>
      <c r="DP8" s="63"/>
      <c r="DQ8" s="61" t="s">
        <v>2</v>
      </c>
      <c r="DR8" s="63"/>
      <c r="DS8" s="61" t="s">
        <v>2</v>
      </c>
      <c r="DT8" s="17" t="s">
        <v>870</v>
      </c>
      <c r="DU8" s="17" t="s">
        <v>870</v>
      </c>
      <c r="DV8" s="17" t="s">
        <v>870</v>
      </c>
      <c r="DW8" s="17" t="s">
        <v>870</v>
      </c>
      <c r="DX8" s="17" t="s">
        <v>870</v>
      </c>
      <c r="DY8" s="17" t="s">
        <v>870</v>
      </c>
      <c r="DZ8" s="63"/>
      <c r="EA8" s="63"/>
      <c r="EB8" s="17" t="s">
        <v>870</v>
      </c>
      <c r="EC8" s="17" t="s">
        <v>870</v>
      </c>
      <c r="ED8" s="61" t="s">
        <v>2</v>
      </c>
      <c r="EE8" s="62"/>
      <c r="EF8" s="62"/>
      <c r="EG8" s="61" t="s">
        <v>2</v>
      </c>
      <c r="EH8" s="17" t="s">
        <v>870</v>
      </c>
      <c r="EI8" s="17" t="s">
        <v>870</v>
      </c>
      <c r="EJ8" s="63"/>
      <c r="EK8" s="63"/>
      <c r="EL8" s="63"/>
      <c r="EM8" s="63"/>
      <c r="EN8" s="63"/>
      <c r="EO8" s="61" t="s">
        <v>2</v>
      </c>
      <c r="EP8" s="63"/>
      <c r="EQ8" s="63"/>
      <c r="ER8" s="63"/>
      <c r="ES8" s="63"/>
      <c r="ET8" s="63"/>
      <c r="EU8" s="63"/>
      <c r="EV8" s="63"/>
      <c r="EW8" s="61" t="s">
        <v>2</v>
      </c>
      <c r="EX8" s="63"/>
      <c r="EY8" s="62"/>
      <c r="EZ8" s="17" t="s">
        <v>870</v>
      </c>
      <c r="FA8" s="17" t="s">
        <v>870</v>
      </c>
      <c r="FB8" s="63"/>
      <c r="FC8" s="63"/>
      <c r="FD8" s="61" t="s">
        <v>2</v>
      </c>
      <c r="FE8" s="63"/>
      <c r="FF8" s="62"/>
      <c r="FG8" s="63"/>
      <c r="FH8" s="63"/>
      <c r="FI8" s="62"/>
      <c r="FJ8" s="63"/>
      <c r="FK8" s="63"/>
      <c r="FL8" s="63"/>
      <c r="FM8" s="62"/>
      <c r="FN8" s="61" t="s">
        <v>2</v>
      </c>
      <c r="FO8" s="61" t="s">
        <v>2</v>
      </c>
      <c r="FP8" s="61" t="s">
        <v>2</v>
      </c>
      <c r="FQ8" s="63"/>
      <c r="FR8" s="61" t="s">
        <v>2</v>
      </c>
      <c r="FS8" s="63"/>
      <c r="FT8" s="17" t="s">
        <v>870</v>
      </c>
      <c r="FU8" s="17" t="s">
        <v>870</v>
      </c>
      <c r="FV8" s="62"/>
      <c r="FW8" s="62"/>
      <c r="FX8" s="62"/>
      <c r="FY8" s="63"/>
      <c r="FZ8" s="62"/>
      <c r="GA8" s="63"/>
      <c r="GB8" s="63"/>
      <c r="GC8" s="62"/>
      <c r="GD8" s="63"/>
      <c r="GE8" s="61" t="s">
        <v>2</v>
      </c>
      <c r="GF8" s="63"/>
      <c r="GG8" s="62"/>
      <c r="GH8" s="63"/>
      <c r="GI8" s="62"/>
      <c r="GJ8" s="62"/>
      <c r="GK8" s="63"/>
      <c r="GL8" s="62"/>
      <c r="GM8" s="63"/>
      <c r="GN8" s="61" t="s">
        <v>2</v>
      </c>
      <c r="GO8" s="62"/>
      <c r="GP8" s="62"/>
      <c r="GQ8" s="63"/>
      <c r="GR8" s="62"/>
      <c r="GS8" s="61" t="s">
        <v>2</v>
      </c>
      <c r="GT8" s="61" t="s">
        <v>2</v>
      </c>
      <c r="GU8" s="63"/>
      <c r="GV8" s="63"/>
      <c r="GW8" s="62"/>
      <c r="GX8" s="63"/>
      <c r="GY8" s="63"/>
      <c r="GZ8" s="63"/>
      <c r="HA8" s="63"/>
      <c r="HB8" s="63"/>
      <c r="HC8" s="63"/>
      <c r="HD8" s="62"/>
      <c r="HE8" s="63"/>
      <c r="HF8" s="63"/>
      <c r="HG8" s="62"/>
      <c r="HH8" s="63"/>
      <c r="HI8" s="63"/>
      <c r="HJ8" s="63"/>
      <c r="HK8" s="63"/>
      <c r="HL8" s="61" t="s">
        <v>2</v>
      </c>
      <c r="HM8" s="62"/>
      <c r="HN8" s="63"/>
      <c r="HO8" s="62"/>
      <c r="HP8" s="61" t="s">
        <v>2</v>
      </c>
      <c r="HQ8" s="62"/>
      <c r="HR8" s="62"/>
      <c r="HS8" s="62"/>
      <c r="HT8" s="61" t="s">
        <v>2</v>
      </c>
      <c r="HU8" s="62"/>
      <c r="HV8" s="63"/>
      <c r="HW8" s="62"/>
      <c r="HX8" s="63"/>
      <c r="HY8" s="63"/>
      <c r="HZ8" s="61" t="s">
        <v>2</v>
      </c>
      <c r="IA8" s="63"/>
      <c r="IB8" s="17" t="s">
        <v>870</v>
      </c>
      <c r="IC8" s="17" t="s">
        <v>870</v>
      </c>
      <c r="ID8" s="72" t="s">
        <v>1552</v>
      </c>
      <c r="IE8" s="17" t="s">
        <v>870</v>
      </c>
      <c r="IF8" s="17" t="s">
        <v>870</v>
      </c>
      <c r="IG8" s="17" t="s">
        <v>870</v>
      </c>
      <c r="IH8" s="17" t="s">
        <v>870</v>
      </c>
      <c r="II8" s="17" t="s">
        <v>870</v>
      </c>
      <c r="IJ8" s="63"/>
      <c r="IK8" s="62"/>
      <c r="IL8" s="62"/>
      <c r="IM8" s="62"/>
      <c r="IN8" s="61" t="s">
        <v>2</v>
      </c>
      <c r="IO8" s="63"/>
    </row>
    <row r="9" spans="1:267" x14ac:dyDescent="0.25">
      <c r="A9" t="s">
        <v>34</v>
      </c>
      <c r="B9" s="17" t="s">
        <v>870</v>
      </c>
      <c r="C9" s="17" t="s">
        <v>870</v>
      </c>
      <c r="D9" s="17" t="s">
        <v>870</v>
      </c>
      <c r="E9" s="17" t="s">
        <v>870</v>
      </c>
      <c r="F9" s="17" t="s">
        <v>870</v>
      </c>
      <c r="G9" s="17" t="s">
        <v>870</v>
      </c>
      <c r="H9" s="17" t="s">
        <v>870</v>
      </c>
      <c r="I9" s="17" t="s">
        <v>870</v>
      </c>
      <c r="J9" s="17" t="s">
        <v>870</v>
      </c>
      <c r="K9" s="17" t="s">
        <v>870</v>
      </c>
      <c r="L9" s="17" t="s">
        <v>870</v>
      </c>
      <c r="M9" s="17" t="s">
        <v>870</v>
      </c>
      <c r="N9" s="17" t="s">
        <v>870</v>
      </c>
      <c r="O9" s="17" t="s">
        <v>870</v>
      </c>
      <c r="P9" s="17" t="s">
        <v>870</v>
      </c>
      <c r="Q9" s="17" t="s">
        <v>870</v>
      </c>
      <c r="R9" s="17" t="s">
        <v>870</v>
      </c>
      <c r="S9" s="17" t="s">
        <v>870</v>
      </c>
      <c r="T9" s="17" t="s">
        <v>870</v>
      </c>
      <c r="U9" s="17" t="s">
        <v>870</v>
      </c>
      <c r="V9" s="17" t="s">
        <v>870</v>
      </c>
      <c r="W9" s="17" t="s">
        <v>870</v>
      </c>
      <c r="X9" s="17" t="s">
        <v>870</v>
      </c>
      <c r="Y9" s="17" t="s">
        <v>870</v>
      </c>
      <c r="Z9" s="17" t="s">
        <v>870</v>
      </c>
      <c r="AA9" s="17" t="s">
        <v>870</v>
      </c>
      <c r="AB9" s="17" t="s">
        <v>870</v>
      </c>
      <c r="AC9" s="17" t="s">
        <v>870</v>
      </c>
      <c r="AD9" s="17" t="s">
        <v>870</v>
      </c>
      <c r="AE9" s="17" t="s">
        <v>870</v>
      </c>
      <c r="AF9" s="61" t="s">
        <v>2</v>
      </c>
      <c r="AG9" s="61" t="s">
        <v>2</v>
      </c>
      <c r="AH9" s="17" t="s">
        <v>870</v>
      </c>
      <c r="AI9" s="17" t="s">
        <v>870</v>
      </c>
      <c r="AJ9" s="62"/>
      <c r="AK9" s="61" t="s">
        <v>2</v>
      </c>
      <c r="AL9" s="17" t="s">
        <v>870</v>
      </c>
      <c r="AM9" s="62"/>
      <c r="AN9" s="17" t="s">
        <v>870</v>
      </c>
      <c r="AO9" s="17" t="s">
        <v>870</v>
      </c>
      <c r="AP9" s="17" t="s">
        <v>870</v>
      </c>
      <c r="AQ9" s="17" t="s">
        <v>870</v>
      </c>
      <c r="AR9" s="17" t="s">
        <v>870</v>
      </c>
      <c r="AS9" s="17" t="s">
        <v>870</v>
      </c>
      <c r="AT9" s="17" t="s">
        <v>870</v>
      </c>
      <c r="AU9" s="17" t="s">
        <v>870</v>
      </c>
      <c r="AV9" s="17" t="s">
        <v>870</v>
      </c>
      <c r="AW9" s="17" t="s">
        <v>870</v>
      </c>
      <c r="AX9" s="17" t="s">
        <v>870</v>
      </c>
      <c r="AY9" s="17" t="s">
        <v>870</v>
      </c>
      <c r="AZ9" s="17" t="s">
        <v>870</v>
      </c>
      <c r="BA9" s="17" t="s">
        <v>870</v>
      </c>
      <c r="BB9" s="17" t="s">
        <v>870</v>
      </c>
      <c r="BC9" s="17" t="s">
        <v>870</v>
      </c>
      <c r="BD9" s="17" t="s">
        <v>870</v>
      </c>
      <c r="BE9" s="17" t="s">
        <v>870</v>
      </c>
      <c r="BF9" s="17" t="s">
        <v>870</v>
      </c>
      <c r="BG9" s="17" t="s">
        <v>870</v>
      </c>
      <c r="BH9" s="17" t="s">
        <v>870</v>
      </c>
      <c r="BI9" s="17" t="s">
        <v>870</v>
      </c>
      <c r="BJ9" s="17" t="s">
        <v>870</v>
      </c>
      <c r="BK9" s="17" t="s">
        <v>870</v>
      </c>
      <c r="BL9" s="17" t="s">
        <v>870</v>
      </c>
      <c r="BM9" s="17" t="s">
        <v>870</v>
      </c>
      <c r="BN9" s="17" t="s">
        <v>870</v>
      </c>
      <c r="BO9" s="17" t="s">
        <v>870</v>
      </c>
      <c r="BP9" s="17" t="s">
        <v>870</v>
      </c>
      <c r="BQ9" s="17" t="s">
        <v>870</v>
      </c>
      <c r="BR9" s="17" t="s">
        <v>870</v>
      </c>
      <c r="BS9" s="17" t="s">
        <v>870</v>
      </c>
      <c r="BT9" s="17" t="s">
        <v>870</v>
      </c>
      <c r="BU9" s="17" t="s">
        <v>870</v>
      </c>
      <c r="BV9" s="17" t="s">
        <v>870</v>
      </c>
      <c r="BW9" s="17" t="s">
        <v>870</v>
      </c>
      <c r="BX9" s="17" t="s">
        <v>870</v>
      </c>
      <c r="BY9" s="17" t="s">
        <v>870</v>
      </c>
      <c r="BZ9" s="17" t="s">
        <v>870</v>
      </c>
      <c r="CA9" s="17" t="s">
        <v>870</v>
      </c>
      <c r="CB9" s="17" t="s">
        <v>870</v>
      </c>
      <c r="CC9" s="17" t="s">
        <v>870</v>
      </c>
      <c r="CD9" s="17" t="s">
        <v>870</v>
      </c>
      <c r="CE9" s="17" t="s">
        <v>870</v>
      </c>
      <c r="CF9" s="17" t="s">
        <v>870</v>
      </c>
      <c r="CG9" s="17" t="s">
        <v>870</v>
      </c>
      <c r="CH9" s="17" t="s">
        <v>870</v>
      </c>
      <c r="CI9" s="17" t="s">
        <v>870</v>
      </c>
      <c r="CJ9" s="17" t="s">
        <v>870</v>
      </c>
      <c r="CK9" s="17" t="s">
        <v>870</v>
      </c>
      <c r="CL9" s="17" t="s">
        <v>870</v>
      </c>
      <c r="CM9" s="17" t="s">
        <v>870</v>
      </c>
      <c r="CN9" s="17" t="s">
        <v>870</v>
      </c>
      <c r="CO9" s="17" t="s">
        <v>870</v>
      </c>
      <c r="CP9" s="17" t="s">
        <v>870</v>
      </c>
      <c r="CQ9" s="17" t="s">
        <v>870</v>
      </c>
      <c r="CR9" s="17" t="s">
        <v>870</v>
      </c>
      <c r="CS9" s="17" t="s">
        <v>870</v>
      </c>
      <c r="CT9" s="17" t="s">
        <v>870</v>
      </c>
      <c r="CU9" s="17" t="s">
        <v>870</v>
      </c>
      <c r="CV9" s="17" t="s">
        <v>870</v>
      </c>
      <c r="CW9" s="17" t="s">
        <v>870</v>
      </c>
      <c r="CX9" s="17" t="s">
        <v>870</v>
      </c>
      <c r="CY9" s="17" t="s">
        <v>870</v>
      </c>
      <c r="CZ9" s="17" t="s">
        <v>870</v>
      </c>
      <c r="DA9" s="17" t="s">
        <v>870</v>
      </c>
      <c r="DB9" s="63"/>
      <c r="DC9" s="63"/>
      <c r="DD9" s="17" t="s">
        <v>870</v>
      </c>
      <c r="DE9" s="17" t="s">
        <v>870</v>
      </c>
      <c r="DF9" s="63"/>
      <c r="DG9" s="61" t="s">
        <v>2</v>
      </c>
      <c r="DH9" s="61" t="s">
        <v>2</v>
      </c>
      <c r="DI9" s="61" t="s">
        <v>2</v>
      </c>
      <c r="DJ9" s="17" t="s">
        <v>870</v>
      </c>
      <c r="DK9" s="63"/>
      <c r="DL9" s="17" t="s">
        <v>870</v>
      </c>
      <c r="DM9" s="63"/>
      <c r="DN9" s="17" t="s">
        <v>870</v>
      </c>
      <c r="DO9" s="17" t="s">
        <v>870</v>
      </c>
      <c r="DP9" s="17" t="s">
        <v>870</v>
      </c>
      <c r="DQ9" s="17" t="s">
        <v>870</v>
      </c>
      <c r="DR9" s="61" t="s">
        <v>2</v>
      </c>
      <c r="DS9" s="61" t="s">
        <v>2</v>
      </c>
      <c r="DT9" s="63"/>
      <c r="DU9" s="63"/>
      <c r="DV9" s="61" t="s">
        <v>2</v>
      </c>
      <c r="DW9" s="63"/>
      <c r="DX9" s="17" t="s">
        <v>870</v>
      </c>
      <c r="DY9" s="17" t="s">
        <v>870</v>
      </c>
      <c r="DZ9" s="63"/>
      <c r="EA9" s="63"/>
      <c r="EB9" s="62"/>
      <c r="EC9" s="17" t="s">
        <v>870</v>
      </c>
      <c r="ED9" s="61" t="s">
        <v>2</v>
      </c>
      <c r="EE9" s="61" t="s">
        <v>2</v>
      </c>
      <c r="EF9" s="17" t="s">
        <v>870</v>
      </c>
      <c r="EG9" s="17" t="s">
        <v>870</v>
      </c>
      <c r="EH9" s="17" t="s">
        <v>870</v>
      </c>
      <c r="EI9" s="17" t="s">
        <v>870</v>
      </c>
      <c r="EJ9" s="61" t="s">
        <v>2</v>
      </c>
      <c r="EK9" s="63"/>
      <c r="EL9" s="17" t="s">
        <v>870</v>
      </c>
      <c r="EM9" s="17" t="s">
        <v>870</v>
      </c>
      <c r="EN9" s="17" t="s">
        <v>870</v>
      </c>
      <c r="EO9" s="17" t="s">
        <v>870</v>
      </c>
      <c r="EP9" s="17" t="s">
        <v>870</v>
      </c>
      <c r="EQ9" s="17" t="s">
        <v>870</v>
      </c>
      <c r="ER9" s="17" t="s">
        <v>870</v>
      </c>
      <c r="ES9" s="17" t="s">
        <v>870</v>
      </c>
      <c r="ET9" s="62"/>
      <c r="EU9" s="61" t="s">
        <v>2</v>
      </c>
      <c r="EV9" s="61" t="s">
        <v>2</v>
      </c>
      <c r="EW9" s="61" t="s">
        <v>2</v>
      </c>
      <c r="EX9" s="17" t="s">
        <v>870</v>
      </c>
      <c r="EY9" s="17" t="s">
        <v>870</v>
      </c>
      <c r="EZ9" s="61" t="s">
        <v>2</v>
      </c>
      <c r="FA9" s="61" t="s">
        <v>2</v>
      </c>
      <c r="FB9" s="61" t="s">
        <v>2</v>
      </c>
      <c r="FC9" s="62"/>
      <c r="FD9" s="17" t="s">
        <v>870</v>
      </c>
      <c r="FE9" s="17" t="s">
        <v>870</v>
      </c>
      <c r="FF9" s="17" t="s">
        <v>870</v>
      </c>
      <c r="FG9" s="17" t="s">
        <v>870</v>
      </c>
      <c r="FH9" s="17" t="s">
        <v>870</v>
      </c>
      <c r="FI9" s="17" t="s">
        <v>870</v>
      </c>
      <c r="FJ9" s="17" t="s">
        <v>870</v>
      </c>
      <c r="FK9" s="17" t="s">
        <v>870</v>
      </c>
      <c r="FL9" s="17" t="s">
        <v>870</v>
      </c>
      <c r="FM9" s="17" t="s">
        <v>870</v>
      </c>
      <c r="FN9" s="17" t="s">
        <v>870</v>
      </c>
      <c r="FO9" s="17" t="s">
        <v>870</v>
      </c>
      <c r="FP9" s="17" t="s">
        <v>870</v>
      </c>
      <c r="FQ9" s="17" t="s">
        <v>870</v>
      </c>
      <c r="FR9" s="17" t="s">
        <v>870</v>
      </c>
      <c r="FS9" s="17" t="s">
        <v>870</v>
      </c>
      <c r="FT9" s="17" t="s">
        <v>870</v>
      </c>
      <c r="FU9" s="17" t="s">
        <v>870</v>
      </c>
      <c r="FV9" s="17" t="s">
        <v>870</v>
      </c>
      <c r="FW9" s="17" t="s">
        <v>870</v>
      </c>
      <c r="FX9" s="17" t="s">
        <v>870</v>
      </c>
      <c r="FY9" s="17" t="s">
        <v>870</v>
      </c>
      <c r="FZ9" s="17" t="s">
        <v>870</v>
      </c>
      <c r="GA9" s="17" t="s">
        <v>870</v>
      </c>
      <c r="GB9" s="17" t="s">
        <v>870</v>
      </c>
      <c r="GC9" s="17" t="s">
        <v>870</v>
      </c>
      <c r="GD9" s="17" t="s">
        <v>870</v>
      </c>
      <c r="GE9" s="17" t="s">
        <v>870</v>
      </c>
      <c r="GF9" s="17" t="s">
        <v>870</v>
      </c>
      <c r="GG9" s="17" t="s">
        <v>870</v>
      </c>
      <c r="GH9" s="17" t="s">
        <v>870</v>
      </c>
      <c r="GI9" s="17" t="s">
        <v>870</v>
      </c>
      <c r="GJ9" s="17" t="s">
        <v>870</v>
      </c>
      <c r="GK9" s="17" t="s">
        <v>870</v>
      </c>
      <c r="GL9" s="17" t="s">
        <v>870</v>
      </c>
      <c r="GM9" s="17" t="s">
        <v>870</v>
      </c>
      <c r="GN9" s="17" t="s">
        <v>870</v>
      </c>
      <c r="GO9" s="17" t="s">
        <v>870</v>
      </c>
      <c r="GP9" s="17" t="s">
        <v>870</v>
      </c>
      <c r="GQ9" s="17" t="s">
        <v>870</v>
      </c>
      <c r="GR9" s="17" t="s">
        <v>870</v>
      </c>
      <c r="GS9" s="17" t="s">
        <v>870</v>
      </c>
      <c r="GT9" s="17" t="s">
        <v>870</v>
      </c>
      <c r="GU9" s="17" t="s">
        <v>870</v>
      </c>
      <c r="GV9" s="17" t="s">
        <v>870</v>
      </c>
      <c r="GW9" s="17" t="s">
        <v>870</v>
      </c>
      <c r="GX9" s="17" t="s">
        <v>870</v>
      </c>
      <c r="GY9" s="17" t="s">
        <v>870</v>
      </c>
      <c r="GZ9" s="17" t="s">
        <v>870</v>
      </c>
      <c r="HA9" s="17" t="s">
        <v>870</v>
      </c>
      <c r="HB9" s="17" t="s">
        <v>870</v>
      </c>
      <c r="HC9" s="17" t="s">
        <v>870</v>
      </c>
      <c r="HD9" s="17" t="s">
        <v>870</v>
      </c>
      <c r="HE9" s="17" t="s">
        <v>870</v>
      </c>
      <c r="HF9" s="17" t="s">
        <v>870</v>
      </c>
      <c r="HG9" s="17" t="s">
        <v>870</v>
      </c>
      <c r="HH9" s="17" t="s">
        <v>870</v>
      </c>
      <c r="HI9" s="17" t="s">
        <v>870</v>
      </c>
      <c r="HJ9" s="17" t="s">
        <v>870</v>
      </c>
      <c r="HK9" s="17" t="s">
        <v>870</v>
      </c>
      <c r="HL9" s="17" t="s">
        <v>870</v>
      </c>
      <c r="HM9" s="17" t="s">
        <v>870</v>
      </c>
      <c r="HN9" s="17" t="s">
        <v>870</v>
      </c>
      <c r="HO9" s="17" t="s">
        <v>870</v>
      </c>
      <c r="HP9" s="17" t="s">
        <v>870</v>
      </c>
      <c r="HQ9" s="17" t="s">
        <v>870</v>
      </c>
      <c r="HR9" s="17" t="s">
        <v>870</v>
      </c>
      <c r="HS9" s="17" t="s">
        <v>870</v>
      </c>
      <c r="HT9" s="17" t="s">
        <v>870</v>
      </c>
      <c r="HU9" s="17" t="s">
        <v>870</v>
      </c>
      <c r="HV9" s="17" t="s">
        <v>870</v>
      </c>
      <c r="HW9" s="17" t="s">
        <v>870</v>
      </c>
      <c r="HX9" s="17" t="s">
        <v>870</v>
      </c>
      <c r="HY9" s="17" t="s">
        <v>870</v>
      </c>
      <c r="HZ9" s="17" t="s">
        <v>870</v>
      </c>
      <c r="IA9" s="17" t="s">
        <v>870</v>
      </c>
      <c r="IB9" s="17" t="s">
        <v>870</v>
      </c>
      <c r="IC9" s="17" t="s">
        <v>870</v>
      </c>
      <c r="ID9" s="72" t="s">
        <v>1552</v>
      </c>
      <c r="IE9" s="17" t="s">
        <v>870</v>
      </c>
      <c r="IF9" s="17" t="s">
        <v>870</v>
      </c>
      <c r="IG9" s="17" t="s">
        <v>870</v>
      </c>
      <c r="IH9" s="17" t="s">
        <v>870</v>
      </c>
      <c r="II9" s="17" t="s">
        <v>870</v>
      </c>
      <c r="IJ9" s="17" t="s">
        <v>870</v>
      </c>
      <c r="IK9" s="17" t="s">
        <v>870</v>
      </c>
      <c r="IL9" s="17" t="s">
        <v>870</v>
      </c>
      <c r="IM9" s="17" t="s">
        <v>870</v>
      </c>
      <c r="IN9" s="17" t="s">
        <v>870</v>
      </c>
      <c r="IO9" s="17" t="s">
        <v>870</v>
      </c>
    </row>
    <row r="10" spans="1:267" x14ac:dyDescent="0.25">
      <c r="A10" t="s">
        <v>324</v>
      </c>
      <c r="B10" s="17" t="s">
        <v>870</v>
      </c>
      <c r="C10" s="17" t="s">
        <v>870</v>
      </c>
      <c r="D10" s="17" t="s">
        <v>870</v>
      </c>
      <c r="E10" s="17" t="s">
        <v>870</v>
      </c>
      <c r="F10" s="17" t="s">
        <v>870</v>
      </c>
      <c r="G10" s="17" t="s">
        <v>870</v>
      </c>
      <c r="H10" s="17" t="s">
        <v>870</v>
      </c>
      <c r="I10" s="17" t="s">
        <v>870</v>
      </c>
      <c r="J10" s="17" t="s">
        <v>870</v>
      </c>
      <c r="K10" s="17" t="s">
        <v>870</v>
      </c>
      <c r="L10" s="17" t="s">
        <v>870</v>
      </c>
      <c r="M10" s="17" t="s">
        <v>870</v>
      </c>
      <c r="N10" s="17" t="s">
        <v>870</v>
      </c>
      <c r="O10" s="17" t="s">
        <v>870</v>
      </c>
      <c r="P10" s="17" t="s">
        <v>870</v>
      </c>
      <c r="Q10" s="17" t="s">
        <v>870</v>
      </c>
      <c r="R10" s="17" t="s">
        <v>870</v>
      </c>
      <c r="S10" s="17" t="s">
        <v>870</v>
      </c>
      <c r="T10" s="17" t="s">
        <v>870</v>
      </c>
      <c r="U10" s="17" t="s">
        <v>870</v>
      </c>
      <c r="V10" s="17" t="s">
        <v>870</v>
      </c>
      <c r="W10" s="17" t="s">
        <v>870</v>
      </c>
      <c r="X10" s="17" t="s">
        <v>870</v>
      </c>
      <c r="Y10" s="17" t="s">
        <v>870</v>
      </c>
      <c r="Z10" s="17" t="s">
        <v>870</v>
      </c>
      <c r="AA10" s="17" t="s">
        <v>870</v>
      </c>
      <c r="AB10" s="17" t="s">
        <v>870</v>
      </c>
      <c r="AC10" s="17" t="s">
        <v>870</v>
      </c>
      <c r="AD10" s="17" t="s">
        <v>870</v>
      </c>
      <c r="AE10" s="17" t="s">
        <v>870</v>
      </c>
      <c r="AF10" s="17" t="s">
        <v>870</v>
      </c>
      <c r="AG10" s="17" t="s">
        <v>870</v>
      </c>
      <c r="AH10" s="17" t="s">
        <v>870</v>
      </c>
      <c r="AI10" s="17" t="s">
        <v>870</v>
      </c>
      <c r="AJ10" s="17" t="s">
        <v>870</v>
      </c>
      <c r="AK10" s="17" t="s">
        <v>870</v>
      </c>
      <c r="AL10" s="17" t="s">
        <v>870</v>
      </c>
      <c r="AM10" s="17" t="s">
        <v>870</v>
      </c>
      <c r="AN10" s="17" t="s">
        <v>870</v>
      </c>
      <c r="AO10" s="17" t="s">
        <v>870</v>
      </c>
      <c r="AP10" s="17" t="s">
        <v>870</v>
      </c>
      <c r="AQ10" s="17" t="s">
        <v>870</v>
      </c>
      <c r="AR10" s="17" t="s">
        <v>870</v>
      </c>
      <c r="AS10" s="17" t="s">
        <v>870</v>
      </c>
      <c r="AT10" s="17" t="s">
        <v>870</v>
      </c>
      <c r="AU10" s="17" t="s">
        <v>870</v>
      </c>
      <c r="AV10" s="17" t="s">
        <v>870</v>
      </c>
      <c r="AW10" s="17" t="s">
        <v>870</v>
      </c>
      <c r="AX10" s="17" t="s">
        <v>870</v>
      </c>
      <c r="AY10" s="17" t="s">
        <v>870</v>
      </c>
      <c r="AZ10" s="17" t="s">
        <v>870</v>
      </c>
      <c r="BA10" s="17" t="s">
        <v>870</v>
      </c>
      <c r="BB10" s="17" t="s">
        <v>870</v>
      </c>
      <c r="BC10" s="17" t="s">
        <v>870</v>
      </c>
      <c r="BD10" s="17" t="s">
        <v>870</v>
      </c>
      <c r="BE10" s="17" t="s">
        <v>870</v>
      </c>
      <c r="BF10" s="17" t="s">
        <v>870</v>
      </c>
      <c r="BG10" s="17" t="s">
        <v>870</v>
      </c>
      <c r="BH10" s="17" t="s">
        <v>870</v>
      </c>
      <c r="BI10" s="17" t="s">
        <v>870</v>
      </c>
      <c r="BJ10" s="17" t="s">
        <v>870</v>
      </c>
      <c r="BK10" s="17" t="s">
        <v>870</v>
      </c>
      <c r="BL10" s="17" t="s">
        <v>870</v>
      </c>
      <c r="BM10" s="17" t="s">
        <v>870</v>
      </c>
      <c r="BN10" s="17" t="s">
        <v>870</v>
      </c>
      <c r="BO10" s="17" t="s">
        <v>870</v>
      </c>
      <c r="BP10" s="17" t="s">
        <v>870</v>
      </c>
      <c r="BQ10" s="17" t="s">
        <v>870</v>
      </c>
      <c r="BR10" s="17" t="s">
        <v>870</v>
      </c>
      <c r="BS10" s="17" t="s">
        <v>870</v>
      </c>
      <c r="BT10" s="17" t="s">
        <v>870</v>
      </c>
      <c r="BU10" s="17" t="s">
        <v>870</v>
      </c>
      <c r="BV10" s="17" t="s">
        <v>870</v>
      </c>
      <c r="BW10" s="17" t="s">
        <v>870</v>
      </c>
      <c r="BX10" s="17" t="s">
        <v>870</v>
      </c>
      <c r="BY10" s="17" t="s">
        <v>870</v>
      </c>
      <c r="BZ10" s="17" t="s">
        <v>870</v>
      </c>
      <c r="CA10" s="17" t="s">
        <v>870</v>
      </c>
      <c r="CB10" s="17" t="s">
        <v>870</v>
      </c>
      <c r="CC10" s="17" t="s">
        <v>870</v>
      </c>
      <c r="CD10" s="17" t="s">
        <v>870</v>
      </c>
      <c r="CE10" s="17" t="s">
        <v>870</v>
      </c>
      <c r="CF10" s="17" t="s">
        <v>870</v>
      </c>
      <c r="CG10" s="17" t="s">
        <v>870</v>
      </c>
      <c r="CH10" s="17" t="s">
        <v>870</v>
      </c>
      <c r="CI10" s="17" t="s">
        <v>870</v>
      </c>
      <c r="CJ10" s="17" t="s">
        <v>870</v>
      </c>
      <c r="CK10" s="17" t="s">
        <v>870</v>
      </c>
      <c r="CL10" s="17" t="s">
        <v>870</v>
      </c>
      <c r="CM10" s="17" t="s">
        <v>870</v>
      </c>
      <c r="CN10" s="17" t="s">
        <v>870</v>
      </c>
      <c r="CO10" s="17" t="s">
        <v>870</v>
      </c>
      <c r="CP10" s="17" t="s">
        <v>870</v>
      </c>
      <c r="CQ10" s="17" t="s">
        <v>870</v>
      </c>
      <c r="CR10" s="17" t="s">
        <v>870</v>
      </c>
      <c r="CS10" s="17" t="s">
        <v>870</v>
      </c>
      <c r="CT10" s="17" t="s">
        <v>870</v>
      </c>
      <c r="CU10" s="17" t="s">
        <v>870</v>
      </c>
      <c r="CV10" s="17" t="s">
        <v>870</v>
      </c>
      <c r="CW10" s="17" t="s">
        <v>870</v>
      </c>
      <c r="CX10" s="17" t="s">
        <v>870</v>
      </c>
      <c r="CY10" s="17" t="s">
        <v>870</v>
      </c>
      <c r="CZ10" s="17" t="s">
        <v>870</v>
      </c>
      <c r="DA10" s="17" t="s">
        <v>870</v>
      </c>
      <c r="DB10" s="17" t="s">
        <v>870</v>
      </c>
      <c r="DC10" s="17" t="s">
        <v>870</v>
      </c>
      <c r="DD10" s="17" t="s">
        <v>870</v>
      </c>
      <c r="DE10" s="17" t="s">
        <v>870</v>
      </c>
      <c r="DF10" s="17" t="s">
        <v>870</v>
      </c>
      <c r="DG10" s="17" t="s">
        <v>870</v>
      </c>
      <c r="DH10" s="17" t="s">
        <v>870</v>
      </c>
      <c r="DI10" s="17" t="s">
        <v>870</v>
      </c>
      <c r="DJ10" s="17" t="s">
        <v>870</v>
      </c>
      <c r="DK10" s="17" t="s">
        <v>870</v>
      </c>
      <c r="DL10" s="17" t="s">
        <v>870</v>
      </c>
      <c r="DM10" s="17" t="s">
        <v>870</v>
      </c>
      <c r="DN10" s="17" t="s">
        <v>870</v>
      </c>
      <c r="DO10" s="17" t="s">
        <v>870</v>
      </c>
      <c r="DP10" s="17" t="s">
        <v>870</v>
      </c>
      <c r="DQ10" s="17" t="s">
        <v>870</v>
      </c>
      <c r="DR10" s="17" t="s">
        <v>870</v>
      </c>
      <c r="DS10" s="17" t="s">
        <v>870</v>
      </c>
      <c r="DT10" s="17" t="s">
        <v>870</v>
      </c>
      <c r="DU10" s="17" t="s">
        <v>870</v>
      </c>
      <c r="DV10" s="17" t="s">
        <v>870</v>
      </c>
      <c r="DW10" s="17" t="s">
        <v>870</v>
      </c>
      <c r="DX10" s="17" t="s">
        <v>870</v>
      </c>
      <c r="DY10" s="17" t="s">
        <v>870</v>
      </c>
      <c r="DZ10" s="17" t="s">
        <v>870</v>
      </c>
      <c r="EA10" s="17" t="s">
        <v>870</v>
      </c>
      <c r="EB10" s="17" t="s">
        <v>870</v>
      </c>
      <c r="EC10" s="17" t="s">
        <v>870</v>
      </c>
      <c r="ED10" s="17" t="s">
        <v>870</v>
      </c>
      <c r="EE10" s="17" t="s">
        <v>870</v>
      </c>
      <c r="EF10" s="17" t="s">
        <v>870</v>
      </c>
      <c r="EG10" s="17" t="s">
        <v>870</v>
      </c>
      <c r="EH10" s="63"/>
      <c r="EI10" s="63"/>
      <c r="EJ10" s="17" t="s">
        <v>870</v>
      </c>
      <c r="EK10" s="17" t="s">
        <v>870</v>
      </c>
      <c r="EL10" s="17" t="s">
        <v>870</v>
      </c>
      <c r="EM10" s="17" t="s">
        <v>870</v>
      </c>
      <c r="EN10" s="61" t="s">
        <v>2</v>
      </c>
      <c r="EO10" s="61" t="s">
        <v>2</v>
      </c>
      <c r="EP10" s="17" t="s">
        <v>870</v>
      </c>
      <c r="EQ10" s="17" t="s">
        <v>870</v>
      </c>
      <c r="ER10" s="17" t="s">
        <v>870</v>
      </c>
      <c r="ES10" s="17" t="s">
        <v>870</v>
      </c>
      <c r="ET10" s="17" t="s">
        <v>870</v>
      </c>
      <c r="EU10" s="63"/>
      <c r="EV10" s="61" t="s">
        <v>2</v>
      </c>
      <c r="EW10" s="62"/>
      <c r="EX10" s="63"/>
      <c r="EY10" s="61" t="s">
        <v>2</v>
      </c>
      <c r="EZ10" s="61" t="s">
        <v>2</v>
      </c>
      <c r="FA10" s="63"/>
      <c r="FB10" s="62"/>
      <c r="FC10" s="62"/>
      <c r="FD10" s="17" t="s">
        <v>870</v>
      </c>
      <c r="FE10" s="63"/>
      <c r="FF10" s="17" t="s">
        <v>870</v>
      </c>
      <c r="FG10" s="17" t="s">
        <v>870</v>
      </c>
      <c r="FH10" s="63"/>
      <c r="FI10" s="17" t="s">
        <v>870</v>
      </c>
      <c r="FJ10" s="17" t="s">
        <v>870</v>
      </c>
      <c r="FK10" s="17" t="s">
        <v>870</v>
      </c>
      <c r="FL10" s="62"/>
      <c r="FM10" s="63"/>
      <c r="FN10" s="17" t="s">
        <v>870</v>
      </c>
      <c r="FO10" s="17" t="s">
        <v>870</v>
      </c>
      <c r="FP10" s="61" t="s">
        <v>2</v>
      </c>
      <c r="FQ10" s="63"/>
      <c r="FR10" s="61" t="s">
        <v>2</v>
      </c>
      <c r="FS10" s="61" t="s">
        <v>2</v>
      </c>
      <c r="FT10" s="61" t="s">
        <v>2</v>
      </c>
      <c r="FU10" s="61" t="s">
        <v>2</v>
      </c>
      <c r="FV10" s="61" t="s">
        <v>2</v>
      </c>
      <c r="FW10" s="61" t="s">
        <v>2</v>
      </c>
      <c r="FX10" s="17" t="s">
        <v>870</v>
      </c>
      <c r="FY10" s="17" t="s">
        <v>870</v>
      </c>
      <c r="FZ10" s="17" t="s">
        <v>870</v>
      </c>
      <c r="GA10" s="17" t="s">
        <v>870</v>
      </c>
      <c r="GB10" s="17" t="s">
        <v>870</v>
      </c>
      <c r="GC10" s="61" t="s">
        <v>2</v>
      </c>
      <c r="GD10" s="62"/>
      <c r="GE10" s="61" t="s">
        <v>2</v>
      </c>
      <c r="GF10" s="62"/>
      <c r="GG10" s="62"/>
      <c r="GH10" s="62"/>
      <c r="GI10" s="61" t="s">
        <v>2</v>
      </c>
      <c r="GJ10" s="62"/>
      <c r="GK10" s="61" t="s">
        <v>2</v>
      </c>
      <c r="GL10" s="62"/>
      <c r="GM10" s="62"/>
      <c r="GN10" s="61" t="s">
        <v>2</v>
      </c>
      <c r="GO10" s="62"/>
      <c r="GP10" s="61" t="s">
        <v>2</v>
      </c>
      <c r="GQ10" s="63"/>
      <c r="GR10" s="61" t="s">
        <v>2</v>
      </c>
      <c r="GS10" s="61" t="s">
        <v>2</v>
      </c>
      <c r="GT10" s="61" t="s">
        <v>2</v>
      </c>
      <c r="GU10" s="62"/>
      <c r="GV10" s="63"/>
      <c r="GW10" s="61" t="s">
        <v>2</v>
      </c>
      <c r="GX10" s="61" t="s">
        <v>2</v>
      </c>
      <c r="GY10" s="63"/>
      <c r="GZ10" s="62"/>
      <c r="HA10" s="61" t="s">
        <v>2</v>
      </c>
      <c r="HB10" s="17" t="s">
        <v>870</v>
      </c>
      <c r="HC10" s="17" t="s">
        <v>870</v>
      </c>
      <c r="HD10" s="17" t="s">
        <v>870</v>
      </c>
      <c r="HE10" s="17" t="s">
        <v>870</v>
      </c>
      <c r="HF10" s="61" t="s">
        <v>2</v>
      </c>
      <c r="HG10" s="61" t="s">
        <v>2</v>
      </c>
      <c r="HH10" s="17" t="s">
        <v>870</v>
      </c>
      <c r="HI10" s="17" t="s">
        <v>870</v>
      </c>
      <c r="HJ10" s="62"/>
      <c r="HK10" s="62"/>
      <c r="HL10" s="17" t="s">
        <v>870</v>
      </c>
      <c r="HM10" s="17" t="s">
        <v>870</v>
      </c>
      <c r="HN10" s="17" t="s">
        <v>870</v>
      </c>
      <c r="HO10" s="17" t="s">
        <v>870</v>
      </c>
      <c r="HP10" s="17" t="s">
        <v>870</v>
      </c>
      <c r="HQ10" s="17" t="s">
        <v>870</v>
      </c>
      <c r="HR10" s="17" t="s">
        <v>870</v>
      </c>
      <c r="HS10" s="17" t="s">
        <v>870</v>
      </c>
      <c r="HT10" s="17" t="s">
        <v>870</v>
      </c>
      <c r="HU10" s="17" t="s">
        <v>870</v>
      </c>
      <c r="HV10" s="17" t="s">
        <v>870</v>
      </c>
      <c r="HW10" s="17" t="s">
        <v>870</v>
      </c>
      <c r="HX10" s="17" t="s">
        <v>870</v>
      </c>
      <c r="HY10" s="17" t="s">
        <v>870</v>
      </c>
      <c r="HZ10" s="62"/>
      <c r="IA10" s="61" t="s">
        <v>2</v>
      </c>
      <c r="IB10" s="61" t="s">
        <v>2</v>
      </c>
      <c r="IC10" s="61" t="s">
        <v>2</v>
      </c>
      <c r="ID10" s="72" t="s">
        <v>1552</v>
      </c>
      <c r="IE10" s="61" t="s">
        <v>2</v>
      </c>
      <c r="IF10" s="63"/>
      <c r="IG10" s="62"/>
      <c r="IH10" s="61" t="s">
        <v>2</v>
      </c>
      <c r="II10" s="61" t="s">
        <v>2</v>
      </c>
      <c r="IJ10" s="17" t="s">
        <v>870</v>
      </c>
      <c r="IK10" s="17" t="s">
        <v>870</v>
      </c>
      <c r="IL10" s="17" t="s">
        <v>870</v>
      </c>
      <c r="IM10" s="17" t="s">
        <v>870</v>
      </c>
      <c r="IN10" s="17" t="s">
        <v>870</v>
      </c>
      <c r="IO10" s="17" t="s">
        <v>870</v>
      </c>
    </row>
    <row r="11" spans="1:267" x14ac:dyDescent="0.25">
      <c r="A11" t="s">
        <v>255</v>
      </c>
      <c r="B11" s="17" t="s">
        <v>870</v>
      </c>
      <c r="C11" s="17" t="s">
        <v>870</v>
      </c>
      <c r="D11" s="17" t="s">
        <v>870</v>
      </c>
      <c r="E11" s="17" t="s">
        <v>870</v>
      </c>
      <c r="F11" s="17" t="s">
        <v>870</v>
      </c>
      <c r="G11" s="17" t="s">
        <v>870</v>
      </c>
      <c r="H11" s="17" t="s">
        <v>870</v>
      </c>
      <c r="I11" s="17" t="s">
        <v>870</v>
      </c>
      <c r="J11" s="17" t="s">
        <v>870</v>
      </c>
      <c r="K11" s="17" t="s">
        <v>870</v>
      </c>
      <c r="L11" s="17" t="s">
        <v>870</v>
      </c>
      <c r="M11" s="17" t="s">
        <v>870</v>
      </c>
      <c r="N11" s="17" t="s">
        <v>870</v>
      </c>
      <c r="O11" s="17" t="s">
        <v>870</v>
      </c>
      <c r="P11" s="17" t="s">
        <v>870</v>
      </c>
      <c r="Q11" s="17" t="s">
        <v>870</v>
      </c>
      <c r="R11" s="17" t="s">
        <v>870</v>
      </c>
      <c r="S11" s="17" t="s">
        <v>870</v>
      </c>
      <c r="T11" s="17" t="s">
        <v>870</v>
      </c>
      <c r="U11" s="17" t="s">
        <v>870</v>
      </c>
      <c r="V11" s="17" t="s">
        <v>870</v>
      </c>
      <c r="W11" s="17" t="s">
        <v>870</v>
      </c>
      <c r="X11" s="17" t="s">
        <v>870</v>
      </c>
      <c r="Y11" s="17" t="s">
        <v>870</v>
      </c>
      <c r="Z11" s="17" t="s">
        <v>870</v>
      </c>
      <c r="AA11" s="17" t="s">
        <v>870</v>
      </c>
      <c r="AB11" s="17" t="s">
        <v>870</v>
      </c>
      <c r="AC11" s="17" t="s">
        <v>870</v>
      </c>
      <c r="AD11" s="17" t="s">
        <v>870</v>
      </c>
      <c r="AE11" s="17" t="s">
        <v>870</v>
      </c>
      <c r="AF11" s="17" t="s">
        <v>870</v>
      </c>
      <c r="AG11" s="17" t="s">
        <v>870</v>
      </c>
      <c r="AH11" s="17" t="s">
        <v>870</v>
      </c>
      <c r="AI11" s="17" t="s">
        <v>870</v>
      </c>
      <c r="AJ11" s="17" t="s">
        <v>870</v>
      </c>
      <c r="AK11" s="17" t="s">
        <v>870</v>
      </c>
      <c r="AL11" s="17" t="s">
        <v>870</v>
      </c>
      <c r="AM11" s="17" t="s">
        <v>870</v>
      </c>
      <c r="AN11" s="17" t="s">
        <v>870</v>
      </c>
      <c r="AO11" s="17" t="s">
        <v>870</v>
      </c>
      <c r="AP11" s="17" t="s">
        <v>870</v>
      </c>
      <c r="AQ11" s="17" t="s">
        <v>870</v>
      </c>
      <c r="AR11" s="17" t="s">
        <v>870</v>
      </c>
      <c r="AS11" s="17" t="s">
        <v>870</v>
      </c>
      <c r="AT11" s="17" t="s">
        <v>870</v>
      </c>
      <c r="AU11" s="17" t="s">
        <v>870</v>
      </c>
      <c r="AV11" s="17" t="s">
        <v>870</v>
      </c>
      <c r="AW11" s="17" t="s">
        <v>870</v>
      </c>
      <c r="AX11" s="17" t="s">
        <v>870</v>
      </c>
      <c r="AY11" s="17" t="s">
        <v>870</v>
      </c>
      <c r="AZ11" s="17" t="s">
        <v>870</v>
      </c>
      <c r="BA11" s="17" t="s">
        <v>870</v>
      </c>
      <c r="BB11" s="17" t="s">
        <v>870</v>
      </c>
      <c r="BC11" s="17" t="s">
        <v>870</v>
      </c>
      <c r="BD11" s="17" t="s">
        <v>870</v>
      </c>
      <c r="BE11" s="17" t="s">
        <v>870</v>
      </c>
      <c r="BF11" s="17" t="s">
        <v>870</v>
      </c>
      <c r="BG11" s="17" t="s">
        <v>870</v>
      </c>
      <c r="BH11" s="17" t="s">
        <v>870</v>
      </c>
      <c r="BI11" s="17" t="s">
        <v>870</v>
      </c>
      <c r="BJ11" s="17" t="s">
        <v>870</v>
      </c>
      <c r="BK11" s="17" t="s">
        <v>870</v>
      </c>
      <c r="BL11" s="17" t="s">
        <v>870</v>
      </c>
      <c r="BM11" s="17" t="s">
        <v>870</v>
      </c>
      <c r="BN11" s="17" t="s">
        <v>870</v>
      </c>
      <c r="BO11" s="17" t="s">
        <v>870</v>
      </c>
      <c r="BP11" s="17" t="s">
        <v>870</v>
      </c>
      <c r="BQ11" s="17" t="s">
        <v>870</v>
      </c>
      <c r="BR11" s="17" t="s">
        <v>870</v>
      </c>
      <c r="BS11" s="17" t="s">
        <v>870</v>
      </c>
      <c r="BT11" s="17" t="s">
        <v>870</v>
      </c>
      <c r="BU11" s="17" t="s">
        <v>870</v>
      </c>
      <c r="BV11" s="17" t="s">
        <v>870</v>
      </c>
      <c r="BW11" s="17" t="s">
        <v>870</v>
      </c>
      <c r="BX11" s="17" t="s">
        <v>870</v>
      </c>
      <c r="BY11" s="17" t="s">
        <v>870</v>
      </c>
      <c r="BZ11" s="17" t="s">
        <v>870</v>
      </c>
      <c r="CA11" s="17" t="s">
        <v>870</v>
      </c>
      <c r="CB11" s="17" t="s">
        <v>870</v>
      </c>
      <c r="CC11" s="17" t="s">
        <v>870</v>
      </c>
      <c r="CD11" s="17" t="s">
        <v>870</v>
      </c>
      <c r="CE11" s="17" t="s">
        <v>870</v>
      </c>
      <c r="CF11" s="17" t="s">
        <v>870</v>
      </c>
      <c r="CG11" s="17" t="s">
        <v>870</v>
      </c>
      <c r="CH11" s="17" t="s">
        <v>870</v>
      </c>
      <c r="CI11" s="17" t="s">
        <v>870</v>
      </c>
      <c r="CJ11" s="17" t="s">
        <v>870</v>
      </c>
      <c r="CK11" s="17" t="s">
        <v>870</v>
      </c>
      <c r="CL11" s="17" t="s">
        <v>870</v>
      </c>
      <c r="CM11" s="17" t="s">
        <v>870</v>
      </c>
      <c r="CN11" s="17" t="s">
        <v>870</v>
      </c>
      <c r="CO11" s="17" t="s">
        <v>870</v>
      </c>
      <c r="CP11" s="17" t="s">
        <v>870</v>
      </c>
      <c r="CQ11" s="17" t="s">
        <v>870</v>
      </c>
      <c r="CR11" s="17" t="s">
        <v>870</v>
      </c>
      <c r="CS11" s="17" t="s">
        <v>870</v>
      </c>
      <c r="CT11" s="17" t="s">
        <v>870</v>
      </c>
      <c r="CU11" s="17" t="s">
        <v>870</v>
      </c>
      <c r="CV11" s="63"/>
      <c r="CW11" s="63"/>
      <c r="CX11" s="63"/>
      <c r="CY11" s="63"/>
      <c r="CZ11" s="63"/>
      <c r="DA11" s="63"/>
      <c r="DB11" s="63"/>
      <c r="DC11" s="63"/>
      <c r="DD11" s="63"/>
      <c r="DE11" s="63"/>
      <c r="DF11" s="62"/>
      <c r="DG11" s="61" t="s">
        <v>2</v>
      </c>
      <c r="DH11" s="63"/>
      <c r="DI11" s="63"/>
      <c r="DJ11" s="61" t="s">
        <v>2</v>
      </c>
      <c r="DK11" s="63"/>
      <c r="DL11" s="63"/>
      <c r="DM11" s="61" t="s">
        <v>2</v>
      </c>
      <c r="DN11" s="63"/>
      <c r="DO11" s="63"/>
      <c r="DP11" s="62"/>
      <c r="DQ11" s="63"/>
      <c r="DR11" s="62"/>
      <c r="DS11" s="61" t="s">
        <v>2</v>
      </c>
      <c r="DT11" s="63"/>
      <c r="DU11" s="63"/>
      <c r="DV11" s="63"/>
      <c r="DW11" s="62"/>
      <c r="DX11" s="62"/>
      <c r="DY11" s="63"/>
      <c r="DZ11" s="63"/>
      <c r="EA11" s="63"/>
      <c r="EB11" s="62"/>
      <c r="EC11" s="61" t="s">
        <v>2</v>
      </c>
      <c r="ED11" s="62"/>
      <c r="EE11" s="63"/>
      <c r="EF11" s="63"/>
      <c r="EG11" s="61" t="s">
        <v>2</v>
      </c>
      <c r="EH11" s="63"/>
      <c r="EI11" s="63"/>
      <c r="EJ11" s="62"/>
      <c r="EK11" s="63"/>
      <c r="EL11" s="63"/>
      <c r="EM11" s="63"/>
      <c r="EN11" s="62"/>
      <c r="EO11" s="62"/>
      <c r="EP11" s="61" t="s">
        <v>2</v>
      </c>
      <c r="EQ11" s="61" t="s">
        <v>2</v>
      </c>
      <c r="ER11" s="62"/>
      <c r="ES11" s="63"/>
      <c r="ET11" s="63"/>
      <c r="EU11" s="63"/>
      <c r="EV11" s="62"/>
      <c r="EW11" s="63"/>
      <c r="EX11" s="63"/>
      <c r="EY11" s="61" t="s">
        <v>2</v>
      </c>
      <c r="EZ11" s="63"/>
      <c r="FA11" s="63"/>
      <c r="FB11" s="62"/>
      <c r="FC11" s="63"/>
      <c r="FD11" s="63"/>
      <c r="FE11" s="63"/>
      <c r="FF11" s="61" t="s">
        <v>2</v>
      </c>
      <c r="FG11" s="63"/>
      <c r="FH11" s="61" t="s">
        <v>2</v>
      </c>
      <c r="FI11" s="62"/>
      <c r="FJ11" s="61" t="s">
        <v>2</v>
      </c>
      <c r="FK11" s="63"/>
      <c r="FL11" s="62"/>
      <c r="FM11" s="61" t="s">
        <v>2</v>
      </c>
      <c r="FN11" s="62"/>
      <c r="FO11" s="63"/>
      <c r="FP11" s="63"/>
      <c r="FQ11" s="63"/>
      <c r="FR11" s="63"/>
      <c r="FS11" s="63"/>
      <c r="FT11" s="61" t="s">
        <v>2</v>
      </c>
      <c r="FU11" s="63"/>
      <c r="FV11" s="61" t="s">
        <v>2</v>
      </c>
      <c r="FW11" s="61" t="s">
        <v>2</v>
      </c>
      <c r="FX11" s="62"/>
      <c r="FY11" s="61" t="s">
        <v>2</v>
      </c>
      <c r="FZ11" s="61" t="s">
        <v>2</v>
      </c>
      <c r="GA11" s="63"/>
      <c r="GB11" s="63"/>
      <c r="GC11" s="63"/>
      <c r="GD11" s="17" t="s">
        <v>870</v>
      </c>
      <c r="GE11" s="61" t="s">
        <v>2</v>
      </c>
      <c r="GF11" s="63"/>
      <c r="GG11" s="61" t="s">
        <v>2</v>
      </c>
      <c r="GH11" s="63"/>
      <c r="GI11" s="63"/>
      <c r="GJ11" s="63"/>
      <c r="GK11" s="63"/>
      <c r="GL11" s="63"/>
      <c r="GM11" s="63"/>
      <c r="GN11" s="63"/>
      <c r="GO11" s="63"/>
      <c r="GP11" s="63"/>
      <c r="GQ11" s="63"/>
      <c r="GR11" s="17" t="s">
        <v>870</v>
      </c>
      <c r="GS11" s="17" t="s">
        <v>870</v>
      </c>
      <c r="GT11" s="63"/>
      <c r="GU11" s="63"/>
      <c r="GV11" s="61" t="s">
        <v>2</v>
      </c>
      <c r="GW11" s="63"/>
      <c r="GX11" s="17" t="s">
        <v>870</v>
      </c>
      <c r="GY11" s="17" t="s">
        <v>870</v>
      </c>
      <c r="GZ11" s="17" t="s">
        <v>870</v>
      </c>
      <c r="HA11" s="17" t="s">
        <v>870</v>
      </c>
      <c r="HB11" s="61" t="s">
        <v>2</v>
      </c>
      <c r="HC11" s="63"/>
      <c r="HD11" s="63"/>
      <c r="HE11" s="63"/>
      <c r="HF11" s="62"/>
      <c r="HG11" s="62"/>
      <c r="HH11" s="17" t="s">
        <v>870</v>
      </c>
      <c r="HI11" s="17" t="s">
        <v>870</v>
      </c>
      <c r="HJ11" s="63"/>
      <c r="HK11" s="61" t="s">
        <v>2</v>
      </c>
      <c r="HL11" s="61" t="s">
        <v>2</v>
      </c>
      <c r="HM11" s="61" t="s">
        <v>2</v>
      </c>
      <c r="HN11" s="17" t="s">
        <v>870</v>
      </c>
      <c r="HO11" s="17" t="s">
        <v>870</v>
      </c>
      <c r="HP11" s="17" t="s">
        <v>870</v>
      </c>
      <c r="HQ11" s="17" t="s">
        <v>870</v>
      </c>
      <c r="HR11" s="17" t="s">
        <v>870</v>
      </c>
      <c r="HS11" s="17" t="s">
        <v>870</v>
      </c>
      <c r="HT11" s="17" t="s">
        <v>870</v>
      </c>
      <c r="HU11" s="17" t="s">
        <v>870</v>
      </c>
      <c r="HV11" s="17" t="s">
        <v>870</v>
      </c>
      <c r="HW11" s="17" t="s">
        <v>870</v>
      </c>
      <c r="HX11" s="17" t="s">
        <v>870</v>
      </c>
      <c r="HY11" s="17" t="s">
        <v>870</v>
      </c>
      <c r="HZ11" s="17" t="s">
        <v>870</v>
      </c>
      <c r="IA11" s="17" t="s">
        <v>870</v>
      </c>
      <c r="IB11" s="17" t="s">
        <v>870</v>
      </c>
      <c r="IC11" s="17" t="s">
        <v>870</v>
      </c>
      <c r="ID11" s="72" t="s">
        <v>1552</v>
      </c>
      <c r="IE11" s="17" t="s">
        <v>870</v>
      </c>
      <c r="IF11" s="17" t="s">
        <v>870</v>
      </c>
      <c r="IG11" s="17" t="s">
        <v>870</v>
      </c>
      <c r="IH11" s="17" t="s">
        <v>870</v>
      </c>
      <c r="II11" s="17" t="s">
        <v>870</v>
      </c>
      <c r="IJ11" s="17" t="s">
        <v>870</v>
      </c>
      <c r="IK11" s="17" t="s">
        <v>870</v>
      </c>
      <c r="IL11" s="17" t="s">
        <v>870</v>
      </c>
      <c r="IM11" s="17" t="s">
        <v>870</v>
      </c>
      <c r="IN11" s="17" t="s">
        <v>870</v>
      </c>
      <c r="IO11" s="17" t="s">
        <v>870</v>
      </c>
    </row>
    <row r="12" spans="1:267" x14ac:dyDescent="0.25">
      <c r="A12" t="s">
        <v>226</v>
      </c>
      <c r="B12" s="17" t="s">
        <v>870</v>
      </c>
      <c r="C12" s="17" t="s">
        <v>870</v>
      </c>
      <c r="D12" s="17" t="s">
        <v>870</v>
      </c>
      <c r="E12" s="17" t="s">
        <v>870</v>
      </c>
      <c r="F12" s="17" t="s">
        <v>870</v>
      </c>
      <c r="G12" s="17" t="s">
        <v>870</v>
      </c>
      <c r="H12" s="17" t="s">
        <v>870</v>
      </c>
      <c r="I12" s="17" t="s">
        <v>870</v>
      </c>
      <c r="J12" s="17" t="s">
        <v>870</v>
      </c>
      <c r="K12" s="17" t="s">
        <v>870</v>
      </c>
      <c r="L12" s="17" t="s">
        <v>870</v>
      </c>
      <c r="M12" s="17" t="s">
        <v>870</v>
      </c>
      <c r="N12" s="17" t="s">
        <v>870</v>
      </c>
      <c r="O12" s="17" t="s">
        <v>870</v>
      </c>
      <c r="P12" s="17" t="s">
        <v>870</v>
      </c>
      <c r="Q12" s="17" t="s">
        <v>870</v>
      </c>
      <c r="R12" s="17" t="s">
        <v>870</v>
      </c>
      <c r="S12" s="17" t="s">
        <v>870</v>
      </c>
      <c r="T12" s="17" t="s">
        <v>870</v>
      </c>
      <c r="U12" s="17" t="s">
        <v>870</v>
      </c>
      <c r="V12" s="17" t="s">
        <v>870</v>
      </c>
      <c r="W12" s="17" t="s">
        <v>870</v>
      </c>
      <c r="X12" s="17" t="s">
        <v>870</v>
      </c>
      <c r="Y12" s="17" t="s">
        <v>870</v>
      </c>
      <c r="Z12" s="17" t="s">
        <v>870</v>
      </c>
      <c r="AA12" s="17" t="s">
        <v>870</v>
      </c>
      <c r="AB12" s="17" t="s">
        <v>870</v>
      </c>
      <c r="AC12" s="17" t="s">
        <v>870</v>
      </c>
      <c r="AD12" s="17" t="s">
        <v>870</v>
      </c>
      <c r="AE12" s="17" t="s">
        <v>870</v>
      </c>
      <c r="AF12" s="17" t="s">
        <v>870</v>
      </c>
      <c r="AG12" s="17" t="s">
        <v>870</v>
      </c>
      <c r="AH12" s="17" t="s">
        <v>870</v>
      </c>
      <c r="AI12" s="17" t="s">
        <v>870</v>
      </c>
      <c r="AJ12" s="17" t="s">
        <v>870</v>
      </c>
      <c r="AK12" s="17" t="s">
        <v>870</v>
      </c>
      <c r="AL12" s="17" t="s">
        <v>870</v>
      </c>
      <c r="AM12" s="17" t="s">
        <v>870</v>
      </c>
      <c r="AN12" s="17" t="s">
        <v>870</v>
      </c>
      <c r="AO12" s="17" t="s">
        <v>870</v>
      </c>
      <c r="AP12" s="17" t="s">
        <v>870</v>
      </c>
      <c r="AQ12" s="17" t="s">
        <v>870</v>
      </c>
      <c r="AR12" s="17" t="s">
        <v>870</v>
      </c>
      <c r="AS12" s="17" t="s">
        <v>870</v>
      </c>
      <c r="AT12" s="17" t="s">
        <v>870</v>
      </c>
      <c r="AU12" s="17" t="s">
        <v>870</v>
      </c>
      <c r="AV12" s="17" t="s">
        <v>870</v>
      </c>
      <c r="AW12" s="17" t="s">
        <v>870</v>
      </c>
      <c r="AX12" s="17" t="s">
        <v>870</v>
      </c>
      <c r="AY12" s="17" t="s">
        <v>870</v>
      </c>
      <c r="AZ12" s="17" t="s">
        <v>870</v>
      </c>
      <c r="BA12" s="17" t="s">
        <v>870</v>
      </c>
      <c r="BB12" s="17" t="s">
        <v>870</v>
      </c>
      <c r="BC12" s="17" t="s">
        <v>870</v>
      </c>
      <c r="BD12" s="17" t="s">
        <v>870</v>
      </c>
      <c r="BE12" s="17" t="s">
        <v>870</v>
      </c>
      <c r="BF12" s="17" t="s">
        <v>870</v>
      </c>
      <c r="BG12" s="17" t="s">
        <v>870</v>
      </c>
      <c r="BH12" s="17" t="s">
        <v>870</v>
      </c>
      <c r="BI12" s="17" t="s">
        <v>870</v>
      </c>
      <c r="BJ12" s="17" t="s">
        <v>870</v>
      </c>
      <c r="BK12" s="17" t="s">
        <v>870</v>
      </c>
      <c r="BL12" s="17" t="s">
        <v>870</v>
      </c>
      <c r="BM12" s="17" t="s">
        <v>870</v>
      </c>
      <c r="BN12" s="17" t="s">
        <v>870</v>
      </c>
      <c r="BO12" s="17" t="s">
        <v>870</v>
      </c>
      <c r="BP12" s="17" t="s">
        <v>870</v>
      </c>
      <c r="BQ12" s="17" t="s">
        <v>870</v>
      </c>
      <c r="BR12" s="17" t="s">
        <v>870</v>
      </c>
      <c r="BS12" s="17" t="s">
        <v>870</v>
      </c>
      <c r="BT12" s="17" t="s">
        <v>870</v>
      </c>
      <c r="BU12" s="17" t="s">
        <v>870</v>
      </c>
      <c r="BV12" s="17" t="s">
        <v>870</v>
      </c>
      <c r="BW12" s="17" t="s">
        <v>870</v>
      </c>
      <c r="BX12" s="17" t="s">
        <v>870</v>
      </c>
      <c r="BY12" s="17" t="s">
        <v>870</v>
      </c>
      <c r="BZ12" s="17" t="s">
        <v>870</v>
      </c>
      <c r="CA12" s="17" t="s">
        <v>870</v>
      </c>
      <c r="CB12" s="61" t="s">
        <v>2</v>
      </c>
      <c r="CC12" s="63"/>
      <c r="CD12" s="17" t="s">
        <v>870</v>
      </c>
      <c r="CE12" s="17" t="s">
        <v>870</v>
      </c>
      <c r="CF12" s="63"/>
      <c r="CG12" s="63"/>
      <c r="CH12" s="63"/>
      <c r="CI12" s="63"/>
      <c r="CJ12" s="63"/>
      <c r="CK12" s="61" t="s">
        <v>2</v>
      </c>
      <c r="CL12" s="62"/>
      <c r="CM12" s="63"/>
      <c r="CN12" s="63"/>
      <c r="CO12" s="63"/>
      <c r="CP12" s="17" t="s">
        <v>870</v>
      </c>
      <c r="CQ12" s="17" t="s">
        <v>870</v>
      </c>
      <c r="CR12" s="63"/>
      <c r="CS12" s="61" t="s">
        <v>2</v>
      </c>
      <c r="CT12" s="63"/>
      <c r="CU12" s="63"/>
      <c r="CV12" s="63"/>
      <c r="CW12" s="61" t="s">
        <v>2</v>
      </c>
      <c r="CX12" s="61" t="s">
        <v>2</v>
      </c>
      <c r="CY12" s="63"/>
      <c r="CZ12" s="63"/>
      <c r="DA12" s="63"/>
      <c r="DB12" s="62"/>
      <c r="DC12" s="63"/>
      <c r="DD12" s="63"/>
      <c r="DE12" s="63"/>
      <c r="DF12" s="17" t="s">
        <v>870</v>
      </c>
      <c r="DG12" s="17" t="s">
        <v>870</v>
      </c>
      <c r="DH12" s="63"/>
      <c r="DI12" s="63"/>
      <c r="DJ12" s="63"/>
      <c r="DK12" s="63"/>
      <c r="DL12" s="61" t="s">
        <v>2</v>
      </c>
      <c r="DM12" s="61" t="s">
        <v>2</v>
      </c>
      <c r="DN12" s="17" t="s">
        <v>870</v>
      </c>
      <c r="DO12" s="17" t="s">
        <v>870</v>
      </c>
      <c r="DP12" s="61" t="s">
        <v>2</v>
      </c>
      <c r="DQ12" s="61" t="s">
        <v>2</v>
      </c>
      <c r="DR12" s="17" t="s">
        <v>870</v>
      </c>
      <c r="DS12" s="17" t="s">
        <v>870</v>
      </c>
      <c r="DT12" s="63"/>
      <c r="DU12" s="62"/>
      <c r="DV12" s="17" t="s">
        <v>870</v>
      </c>
      <c r="DW12" s="17" t="s">
        <v>870</v>
      </c>
      <c r="DX12" s="63"/>
      <c r="DY12" s="63"/>
      <c r="DZ12" s="63"/>
      <c r="EA12" s="62"/>
      <c r="EB12" s="62"/>
      <c r="EC12" s="63"/>
      <c r="ED12" s="61" t="s">
        <v>2</v>
      </c>
      <c r="EE12" s="17" t="s">
        <v>870</v>
      </c>
      <c r="EF12" s="63"/>
      <c r="EG12" s="61" t="s">
        <v>2</v>
      </c>
      <c r="EH12" s="17" t="s">
        <v>870</v>
      </c>
      <c r="EI12" s="17" t="s">
        <v>870</v>
      </c>
      <c r="EJ12" s="63"/>
      <c r="EK12" s="63"/>
      <c r="EL12" s="63"/>
      <c r="EM12" s="63"/>
      <c r="EN12" s="17" t="s">
        <v>870</v>
      </c>
      <c r="EO12" s="17" t="s">
        <v>870</v>
      </c>
      <c r="EP12" s="63"/>
      <c r="EQ12" s="63"/>
      <c r="ER12" s="63"/>
      <c r="ES12" s="63"/>
      <c r="ET12" s="17" t="s">
        <v>870</v>
      </c>
      <c r="EU12" s="17" t="s">
        <v>870</v>
      </c>
      <c r="EV12" s="17" t="s">
        <v>870</v>
      </c>
      <c r="EW12" s="17" t="s">
        <v>870</v>
      </c>
      <c r="EX12" s="17" t="s">
        <v>870</v>
      </c>
      <c r="EY12" s="17" t="s">
        <v>870</v>
      </c>
      <c r="EZ12" s="61" t="s">
        <v>2</v>
      </c>
      <c r="FA12" s="63"/>
      <c r="FB12" s="61" t="s">
        <v>2</v>
      </c>
      <c r="FC12" s="63"/>
      <c r="FD12" s="63"/>
      <c r="FE12" s="17" t="s">
        <v>870</v>
      </c>
      <c r="FF12" s="61" t="s">
        <v>2</v>
      </c>
      <c r="FG12" s="61" t="s">
        <v>2</v>
      </c>
      <c r="FH12" s="17" t="s">
        <v>870</v>
      </c>
      <c r="FI12" s="17" t="s">
        <v>870</v>
      </c>
      <c r="FJ12" s="63"/>
      <c r="FK12" s="17" t="s">
        <v>870</v>
      </c>
      <c r="FL12" s="63"/>
      <c r="FM12" s="63"/>
      <c r="FN12" s="63"/>
      <c r="FO12" s="63"/>
      <c r="FP12" s="17" t="s">
        <v>870</v>
      </c>
      <c r="FQ12" s="17" t="s">
        <v>870</v>
      </c>
      <c r="FR12" s="62"/>
      <c r="FS12" s="63"/>
      <c r="FT12" s="17" t="s">
        <v>870</v>
      </c>
      <c r="FU12" s="17" t="s">
        <v>870</v>
      </c>
      <c r="FV12" s="17" t="s">
        <v>870</v>
      </c>
      <c r="FW12" s="17" t="s">
        <v>870</v>
      </c>
      <c r="FX12" s="17" t="s">
        <v>870</v>
      </c>
      <c r="FY12" s="17" t="s">
        <v>870</v>
      </c>
      <c r="FZ12" s="17" t="s">
        <v>870</v>
      </c>
      <c r="GA12" s="17" t="s">
        <v>870</v>
      </c>
      <c r="GB12" s="17" t="s">
        <v>870</v>
      </c>
      <c r="GC12" s="17" t="s">
        <v>870</v>
      </c>
      <c r="GD12" s="17" t="s">
        <v>870</v>
      </c>
      <c r="GE12" s="17" t="s">
        <v>870</v>
      </c>
      <c r="GF12" s="17" t="s">
        <v>870</v>
      </c>
      <c r="GG12" s="17" t="s">
        <v>870</v>
      </c>
      <c r="GH12" s="17" t="s">
        <v>870</v>
      </c>
      <c r="GI12" s="17" t="s">
        <v>870</v>
      </c>
      <c r="GJ12" s="17" t="s">
        <v>870</v>
      </c>
      <c r="GK12" s="17" t="s">
        <v>870</v>
      </c>
      <c r="GL12" s="17" t="s">
        <v>870</v>
      </c>
      <c r="GM12" s="17" t="s">
        <v>870</v>
      </c>
      <c r="GN12" s="17" t="s">
        <v>870</v>
      </c>
      <c r="GO12" s="17" t="s">
        <v>870</v>
      </c>
      <c r="GP12" s="17" t="s">
        <v>870</v>
      </c>
      <c r="GQ12" s="17" t="s">
        <v>870</v>
      </c>
      <c r="GR12" s="17" t="s">
        <v>870</v>
      </c>
      <c r="GS12" s="17" t="s">
        <v>870</v>
      </c>
      <c r="GT12" s="17" t="s">
        <v>870</v>
      </c>
      <c r="GU12" s="17" t="s">
        <v>870</v>
      </c>
      <c r="GV12" s="17" t="s">
        <v>870</v>
      </c>
      <c r="GW12" s="17" t="s">
        <v>870</v>
      </c>
      <c r="GX12" s="17" t="s">
        <v>870</v>
      </c>
      <c r="GY12" s="17" t="s">
        <v>870</v>
      </c>
      <c r="GZ12" s="17" t="s">
        <v>870</v>
      </c>
      <c r="HA12" s="17" t="s">
        <v>870</v>
      </c>
      <c r="HB12" s="17" t="s">
        <v>870</v>
      </c>
      <c r="HC12" s="17" t="s">
        <v>870</v>
      </c>
      <c r="HD12" s="17" t="s">
        <v>870</v>
      </c>
      <c r="HE12" s="17" t="s">
        <v>870</v>
      </c>
      <c r="HF12" s="17" t="s">
        <v>870</v>
      </c>
      <c r="HG12" s="17" t="s">
        <v>870</v>
      </c>
      <c r="HH12" s="17" t="s">
        <v>870</v>
      </c>
      <c r="HI12" s="17" t="s">
        <v>870</v>
      </c>
      <c r="HJ12" s="17" t="s">
        <v>870</v>
      </c>
      <c r="HK12" s="17" t="s">
        <v>870</v>
      </c>
      <c r="HL12" s="17" t="s">
        <v>870</v>
      </c>
      <c r="HM12" s="17" t="s">
        <v>870</v>
      </c>
      <c r="HN12" s="17" t="s">
        <v>870</v>
      </c>
      <c r="HO12" s="17" t="s">
        <v>870</v>
      </c>
      <c r="HP12" s="17" t="s">
        <v>870</v>
      </c>
      <c r="HQ12" s="17" t="s">
        <v>870</v>
      </c>
      <c r="HR12" s="17" t="s">
        <v>870</v>
      </c>
      <c r="HS12" s="17" t="s">
        <v>870</v>
      </c>
      <c r="HT12" s="17" t="s">
        <v>870</v>
      </c>
      <c r="HU12" s="17" t="s">
        <v>870</v>
      </c>
      <c r="HV12" s="17" t="s">
        <v>870</v>
      </c>
      <c r="HW12" s="17" t="s">
        <v>870</v>
      </c>
      <c r="HX12" s="17" t="s">
        <v>870</v>
      </c>
      <c r="HY12" s="17" t="s">
        <v>870</v>
      </c>
      <c r="HZ12" s="17" t="s">
        <v>870</v>
      </c>
      <c r="IA12" s="17" t="s">
        <v>870</v>
      </c>
      <c r="IB12" s="17" t="s">
        <v>870</v>
      </c>
      <c r="IC12" s="17" t="s">
        <v>870</v>
      </c>
      <c r="ID12" s="72" t="s">
        <v>1552</v>
      </c>
      <c r="IE12" s="17" t="s">
        <v>870</v>
      </c>
      <c r="IF12" s="17" t="s">
        <v>870</v>
      </c>
      <c r="IG12" s="17" t="s">
        <v>870</v>
      </c>
      <c r="IH12" s="17" t="s">
        <v>870</v>
      </c>
      <c r="II12" s="17" t="s">
        <v>870</v>
      </c>
      <c r="IJ12" s="17" t="s">
        <v>870</v>
      </c>
      <c r="IK12" s="17" t="s">
        <v>870</v>
      </c>
      <c r="IL12" s="17" t="s">
        <v>870</v>
      </c>
      <c r="IM12" s="17" t="s">
        <v>870</v>
      </c>
      <c r="IN12" s="17" t="s">
        <v>870</v>
      </c>
      <c r="IO12" s="17" t="s">
        <v>870</v>
      </c>
    </row>
    <row r="13" spans="1:267" x14ac:dyDescent="0.25">
      <c r="A13" t="s">
        <v>10</v>
      </c>
      <c r="B13" s="62"/>
      <c r="C13" s="61" t="s">
        <v>2</v>
      </c>
      <c r="D13" s="17" t="s">
        <v>870</v>
      </c>
      <c r="E13" s="17" t="s">
        <v>870</v>
      </c>
      <c r="F13" s="17" t="s">
        <v>870</v>
      </c>
      <c r="G13" s="17" t="s">
        <v>870</v>
      </c>
      <c r="H13" s="17" t="s">
        <v>870</v>
      </c>
      <c r="I13" s="17" t="s">
        <v>870</v>
      </c>
      <c r="J13" s="17" t="s">
        <v>870</v>
      </c>
      <c r="K13" s="17" t="s">
        <v>870</v>
      </c>
      <c r="L13" s="17" t="s">
        <v>870</v>
      </c>
      <c r="M13" s="17" t="s">
        <v>870</v>
      </c>
      <c r="N13" s="17" t="s">
        <v>870</v>
      </c>
      <c r="O13" s="17" t="s">
        <v>870</v>
      </c>
      <c r="P13" s="17" t="s">
        <v>870</v>
      </c>
      <c r="Q13" s="17" t="s">
        <v>870</v>
      </c>
      <c r="R13" s="17" t="s">
        <v>870</v>
      </c>
      <c r="S13" s="17" t="s">
        <v>870</v>
      </c>
      <c r="T13" s="62"/>
      <c r="U13" s="63"/>
      <c r="V13" s="17" t="s">
        <v>870</v>
      </c>
      <c r="W13" s="17" t="s">
        <v>870</v>
      </c>
      <c r="X13" s="17" t="s">
        <v>870</v>
      </c>
      <c r="Y13" s="17" t="s">
        <v>870</v>
      </c>
      <c r="Z13" s="17" t="s">
        <v>870</v>
      </c>
      <c r="AA13" s="17" t="s">
        <v>870</v>
      </c>
      <c r="AB13" s="17" t="s">
        <v>870</v>
      </c>
      <c r="AC13" s="17" t="s">
        <v>870</v>
      </c>
      <c r="AD13" s="17" t="s">
        <v>870</v>
      </c>
      <c r="AE13" s="63"/>
      <c r="AF13" s="61" t="s">
        <v>2</v>
      </c>
      <c r="AG13" s="17" t="s">
        <v>870</v>
      </c>
      <c r="AH13" s="17" t="s">
        <v>870</v>
      </c>
      <c r="AI13" s="17" t="s">
        <v>870</v>
      </c>
      <c r="AJ13" s="61" t="s">
        <v>2</v>
      </c>
      <c r="AK13" s="63"/>
      <c r="AL13" s="63"/>
      <c r="AM13" s="63"/>
      <c r="AN13" s="17" t="s">
        <v>870</v>
      </c>
      <c r="AO13" s="17" t="s">
        <v>870</v>
      </c>
      <c r="AP13" s="17" t="s">
        <v>870</v>
      </c>
      <c r="AQ13" s="17" t="s">
        <v>870</v>
      </c>
      <c r="AR13" s="17" t="s">
        <v>870</v>
      </c>
      <c r="AS13" s="17" t="s">
        <v>870</v>
      </c>
      <c r="AT13" s="17" t="s">
        <v>870</v>
      </c>
      <c r="AU13" s="17" t="s">
        <v>870</v>
      </c>
      <c r="AV13" s="61" t="s">
        <v>2</v>
      </c>
      <c r="AW13" s="63"/>
      <c r="AX13" s="63"/>
      <c r="AY13" s="62"/>
      <c r="AZ13" s="63"/>
      <c r="BA13" s="63"/>
      <c r="BB13" s="17" t="s">
        <v>870</v>
      </c>
      <c r="BC13" s="63"/>
      <c r="BD13" s="17" t="s">
        <v>870</v>
      </c>
      <c r="BE13" s="17" t="s">
        <v>870</v>
      </c>
      <c r="BF13" s="17" t="s">
        <v>870</v>
      </c>
      <c r="BG13" s="17" t="s">
        <v>870</v>
      </c>
      <c r="BH13" s="17" t="s">
        <v>870</v>
      </c>
      <c r="BI13" s="17" t="s">
        <v>870</v>
      </c>
      <c r="BJ13" s="17" t="s">
        <v>870</v>
      </c>
      <c r="BK13" s="17" t="s">
        <v>870</v>
      </c>
      <c r="BL13" s="62"/>
      <c r="BM13" s="63"/>
      <c r="BN13" s="17" t="s">
        <v>870</v>
      </c>
      <c r="BO13" s="17" t="s">
        <v>870</v>
      </c>
      <c r="BP13" s="17" t="s">
        <v>870</v>
      </c>
      <c r="BQ13" s="17" t="s">
        <v>870</v>
      </c>
      <c r="BR13" s="17" t="s">
        <v>870</v>
      </c>
      <c r="BS13" s="17" t="s">
        <v>870</v>
      </c>
      <c r="BT13" s="61" t="s">
        <v>2</v>
      </c>
      <c r="BU13" s="62"/>
      <c r="BV13" s="17" t="s">
        <v>870</v>
      </c>
      <c r="BW13" s="17" t="s">
        <v>870</v>
      </c>
      <c r="BX13" s="17" t="s">
        <v>870</v>
      </c>
      <c r="BY13" s="17" t="s">
        <v>870</v>
      </c>
      <c r="BZ13" s="17" t="s">
        <v>870</v>
      </c>
      <c r="CA13" s="17" t="s">
        <v>870</v>
      </c>
      <c r="CB13" s="17" t="s">
        <v>870</v>
      </c>
      <c r="CC13" s="17" t="s">
        <v>870</v>
      </c>
      <c r="CD13" s="17" t="s">
        <v>870</v>
      </c>
      <c r="CE13" s="17" t="s">
        <v>870</v>
      </c>
      <c r="CF13" s="17" t="s">
        <v>870</v>
      </c>
      <c r="CG13" s="17" t="s">
        <v>870</v>
      </c>
      <c r="CH13" s="63"/>
      <c r="CI13" s="61" t="s">
        <v>2</v>
      </c>
      <c r="CJ13" s="61" t="s">
        <v>2</v>
      </c>
      <c r="CK13" s="62"/>
      <c r="CL13" s="17" t="s">
        <v>870</v>
      </c>
      <c r="CM13" s="17" t="s">
        <v>870</v>
      </c>
      <c r="CN13" s="62"/>
      <c r="CO13" s="61" t="s">
        <v>2</v>
      </c>
      <c r="CP13" s="17" t="s">
        <v>870</v>
      </c>
      <c r="CQ13" s="17" t="s">
        <v>870</v>
      </c>
      <c r="CR13" s="17" t="s">
        <v>870</v>
      </c>
      <c r="CS13" s="17" t="s">
        <v>870</v>
      </c>
      <c r="CT13" s="17" t="s">
        <v>870</v>
      </c>
      <c r="CU13" s="17" t="s">
        <v>870</v>
      </c>
      <c r="CV13" s="17" t="s">
        <v>870</v>
      </c>
      <c r="CW13" s="17" t="s">
        <v>870</v>
      </c>
      <c r="CX13" s="17" t="s">
        <v>870</v>
      </c>
      <c r="CY13" s="17" t="s">
        <v>870</v>
      </c>
      <c r="CZ13" s="17" t="s">
        <v>870</v>
      </c>
      <c r="DA13" s="17" t="s">
        <v>870</v>
      </c>
      <c r="DB13" s="17" t="s">
        <v>870</v>
      </c>
      <c r="DC13" s="17" t="s">
        <v>870</v>
      </c>
      <c r="DD13" s="62"/>
      <c r="DE13" s="61" t="s">
        <v>2</v>
      </c>
      <c r="DF13" s="63"/>
      <c r="DG13" s="63"/>
      <c r="DH13" s="61" t="s">
        <v>2</v>
      </c>
      <c r="DI13" s="63"/>
      <c r="DJ13" s="61" t="s">
        <v>2</v>
      </c>
      <c r="DK13" s="63"/>
      <c r="DL13" s="17" t="s">
        <v>870</v>
      </c>
      <c r="DM13" s="17" t="s">
        <v>870</v>
      </c>
      <c r="DN13" s="17" t="s">
        <v>870</v>
      </c>
      <c r="DO13" s="17" t="s">
        <v>870</v>
      </c>
      <c r="DP13" s="17" t="s">
        <v>870</v>
      </c>
      <c r="DQ13" s="17" t="s">
        <v>870</v>
      </c>
      <c r="DR13" s="62"/>
      <c r="DS13" s="61" t="s">
        <v>2</v>
      </c>
      <c r="DT13" s="17" t="s">
        <v>870</v>
      </c>
      <c r="DU13" s="17" t="s">
        <v>870</v>
      </c>
      <c r="DV13" s="17" t="s">
        <v>870</v>
      </c>
      <c r="DW13" s="17" t="s">
        <v>870</v>
      </c>
      <c r="DX13" s="17" t="s">
        <v>870</v>
      </c>
      <c r="DY13" s="17" t="s">
        <v>870</v>
      </c>
      <c r="DZ13" s="63"/>
      <c r="EA13" s="17" t="s">
        <v>870</v>
      </c>
      <c r="EB13" s="17" t="s">
        <v>870</v>
      </c>
      <c r="EC13" s="17" t="s">
        <v>870</v>
      </c>
      <c r="ED13" s="17" t="s">
        <v>870</v>
      </c>
      <c r="EE13" s="62"/>
      <c r="EF13" s="17" t="s">
        <v>870</v>
      </c>
      <c r="EG13" s="17" t="s">
        <v>870</v>
      </c>
      <c r="EH13" s="17" t="s">
        <v>870</v>
      </c>
      <c r="EI13" s="17" t="s">
        <v>870</v>
      </c>
      <c r="EJ13" s="17" t="s">
        <v>870</v>
      </c>
      <c r="EK13" s="17" t="s">
        <v>870</v>
      </c>
      <c r="EL13" s="63"/>
      <c r="EM13" s="63"/>
      <c r="EN13" s="17" t="s">
        <v>870</v>
      </c>
      <c r="EO13" s="17" t="s">
        <v>870</v>
      </c>
      <c r="EP13" s="17" t="s">
        <v>870</v>
      </c>
      <c r="EQ13" s="17" t="s">
        <v>870</v>
      </c>
      <c r="ER13" s="17" t="s">
        <v>870</v>
      </c>
      <c r="ES13" s="17" t="s">
        <v>870</v>
      </c>
      <c r="ET13" s="17" t="s">
        <v>870</v>
      </c>
      <c r="EU13" s="17" t="s">
        <v>870</v>
      </c>
      <c r="EV13" s="17" t="s">
        <v>870</v>
      </c>
      <c r="EW13" s="17" t="s">
        <v>870</v>
      </c>
      <c r="EX13" s="17" t="s">
        <v>870</v>
      </c>
      <c r="EY13" s="17" t="s">
        <v>870</v>
      </c>
      <c r="EZ13" s="17" t="s">
        <v>870</v>
      </c>
      <c r="FA13" s="61" t="s">
        <v>2</v>
      </c>
      <c r="FB13" s="17" t="s">
        <v>870</v>
      </c>
      <c r="FC13" s="17" t="s">
        <v>870</v>
      </c>
      <c r="FD13" s="17" t="s">
        <v>870</v>
      </c>
      <c r="FE13" s="17" t="s">
        <v>870</v>
      </c>
      <c r="FF13" s="17" t="s">
        <v>870</v>
      </c>
      <c r="FG13" s="17" t="s">
        <v>870</v>
      </c>
      <c r="FH13" s="63"/>
      <c r="FI13" s="17" t="s">
        <v>870</v>
      </c>
      <c r="FJ13" s="63"/>
      <c r="FK13" s="62"/>
      <c r="FL13" s="17" t="s">
        <v>870</v>
      </c>
      <c r="FM13" s="17" t="s">
        <v>870</v>
      </c>
      <c r="FN13" s="17" t="s">
        <v>870</v>
      </c>
      <c r="FO13" s="17" t="s">
        <v>870</v>
      </c>
      <c r="FP13" s="17" t="s">
        <v>870</v>
      </c>
      <c r="FQ13" s="17" t="s">
        <v>870</v>
      </c>
      <c r="FR13" s="17" t="s">
        <v>870</v>
      </c>
      <c r="FS13" s="17" t="s">
        <v>870</v>
      </c>
      <c r="FT13" s="17" t="s">
        <v>870</v>
      </c>
      <c r="FU13" s="17" t="s">
        <v>870</v>
      </c>
      <c r="FV13" s="17" t="s">
        <v>870</v>
      </c>
      <c r="FW13" s="17" t="s">
        <v>870</v>
      </c>
      <c r="FX13" s="17" t="s">
        <v>870</v>
      </c>
      <c r="FY13" s="17" t="s">
        <v>870</v>
      </c>
      <c r="FZ13" s="17" t="s">
        <v>870</v>
      </c>
      <c r="GA13" s="17" t="s">
        <v>870</v>
      </c>
      <c r="GB13" s="17" t="s">
        <v>870</v>
      </c>
      <c r="GC13" s="17" t="s">
        <v>870</v>
      </c>
      <c r="GD13" s="17" t="s">
        <v>870</v>
      </c>
      <c r="GE13" s="17" t="s">
        <v>870</v>
      </c>
      <c r="GF13" s="17" t="s">
        <v>870</v>
      </c>
      <c r="GG13" s="17" t="s">
        <v>870</v>
      </c>
      <c r="GH13" s="17" t="s">
        <v>870</v>
      </c>
      <c r="GI13" s="17" t="s">
        <v>870</v>
      </c>
      <c r="GJ13" s="17" t="s">
        <v>870</v>
      </c>
      <c r="GK13" s="17" t="s">
        <v>870</v>
      </c>
      <c r="GL13" s="17" t="s">
        <v>870</v>
      </c>
      <c r="GM13" s="17" t="s">
        <v>870</v>
      </c>
      <c r="GN13" s="17" t="s">
        <v>870</v>
      </c>
      <c r="GO13" s="17" t="s">
        <v>870</v>
      </c>
      <c r="GP13" s="17" t="s">
        <v>870</v>
      </c>
      <c r="GQ13" s="17" t="s">
        <v>870</v>
      </c>
      <c r="GR13" s="17" t="s">
        <v>870</v>
      </c>
      <c r="GS13" s="17" t="s">
        <v>870</v>
      </c>
      <c r="GT13" s="17" t="s">
        <v>870</v>
      </c>
      <c r="GU13" s="17" t="s">
        <v>870</v>
      </c>
      <c r="GV13" s="17" t="s">
        <v>870</v>
      </c>
      <c r="GW13" s="17" t="s">
        <v>870</v>
      </c>
      <c r="GX13" s="17" t="s">
        <v>870</v>
      </c>
      <c r="GY13" s="17" t="s">
        <v>870</v>
      </c>
      <c r="GZ13" s="17" t="s">
        <v>870</v>
      </c>
      <c r="HA13" s="17" t="s">
        <v>870</v>
      </c>
      <c r="HB13" s="17" t="s">
        <v>870</v>
      </c>
      <c r="HC13" s="17" t="s">
        <v>870</v>
      </c>
      <c r="HD13" s="17" t="s">
        <v>870</v>
      </c>
      <c r="HE13" s="17" t="s">
        <v>870</v>
      </c>
      <c r="HF13" s="17" t="s">
        <v>870</v>
      </c>
      <c r="HG13" s="17" t="s">
        <v>870</v>
      </c>
      <c r="HH13" s="17" t="s">
        <v>870</v>
      </c>
      <c r="HI13" s="17" t="s">
        <v>870</v>
      </c>
      <c r="HJ13" s="17" t="s">
        <v>870</v>
      </c>
      <c r="HK13" s="17" t="s">
        <v>870</v>
      </c>
      <c r="HL13" s="17" t="s">
        <v>870</v>
      </c>
      <c r="HM13" s="17" t="s">
        <v>870</v>
      </c>
      <c r="HN13" s="17" t="s">
        <v>870</v>
      </c>
      <c r="HO13" s="17" t="s">
        <v>870</v>
      </c>
      <c r="HP13" s="17" t="s">
        <v>870</v>
      </c>
      <c r="HQ13" s="17" t="s">
        <v>870</v>
      </c>
      <c r="HR13" s="17" t="s">
        <v>870</v>
      </c>
      <c r="HS13" s="17" t="s">
        <v>870</v>
      </c>
      <c r="HT13" s="17" t="s">
        <v>870</v>
      </c>
      <c r="HU13" s="17" t="s">
        <v>870</v>
      </c>
      <c r="HV13" s="17" t="s">
        <v>870</v>
      </c>
      <c r="HW13" s="17" t="s">
        <v>870</v>
      </c>
      <c r="HX13" s="17" t="s">
        <v>870</v>
      </c>
      <c r="HY13" s="17" t="s">
        <v>870</v>
      </c>
      <c r="HZ13" s="17" t="s">
        <v>870</v>
      </c>
      <c r="IA13" s="17" t="s">
        <v>870</v>
      </c>
      <c r="IB13" s="17" t="s">
        <v>870</v>
      </c>
      <c r="IC13" s="17" t="s">
        <v>870</v>
      </c>
      <c r="ID13" s="72" t="s">
        <v>1552</v>
      </c>
      <c r="IE13" s="17" t="s">
        <v>870</v>
      </c>
      <c r="IF13" s="17" t="s">
        <v>870</v>
      </c>
      <c r="IG13" s="17" t="s">
        <v>870</v>
      </c>
      <c r="IH13" s="17" t="s">
        <v>870</v>
      </c>
      <c r="II13" s="17" t="s">
        <v>870</v>
      </c>
      <c r="IJ13" s="17" t="s">
        <v>870</v>
      </c>
      <c r="IK13" s="17" t="s">
        <v>870</v>
      </c>
      <c r="IL13" s="17" t="s">
        <v>870</v>
      </c>
      <c r="IM13" s="17" t="s">
        <v>870</v>
      </c>
      <c r="IN13" s="17" t="s">
        <v>870</v>
      </c>
      <c r="IO13" s="17" t="s">
        <v>870</v>
      </c>
    </row>
    <row r="14" spans="1:267" x14ac:dyDescent="0.25">
      <c r="A14" t="s">
        <v>17</v>
      </c>
      <c r="B14" s="17" t="s">
        <v>870</v>
      </c>
      <c r="C14" s="17" t="s">
        <v>870</v>
      </c>
      <c r="D14" s="17" t="s">
        <v>870</v>
      </c>
      <c r="E14" s="17" t="s">
        <v>870</v>
      </c>
      <c r="F14" s="17" t="s">
        <v>870</v>
      </c>
      <c r="G14" s="17" t="s">
        <v>870</v>
      </c>
      <c r="H14" s="17" t="s">
        <v>870</v>
      </c>
      <c r="I14" s="17" t="s">
        <v>870</v>
      </c>
      <c r="J14" s="17" t="s">
        <v>870</v>
      </c>
      <c r="K14" s="17" t="s">
        <v>870</v>
      </c>
      <c r="L14" s="17" t="s">
        <v>870</v>
      </c>
      <c r="M14" s="17" t="s">
        <v>870</v>
      </c>
      <c r="N14" s="17" t="s">
        <v>870</v>
      </c>
      <c r="O14" s="17" t="s">
        <v>870</v>
      </c>
      <c r="P14" s="17" t="s">
        <v>870</v>
      </c>
      <c r="Q14" s="17" t="s">
        <v>870</v>
      </c>
      <c r="R14" s="17" t="s">
        <v>870</v>
      </c>
      <c r="S14" s="17" t="s">
        <v>870</v>
      </c>
      <c r="T14" s="17" t="s">
        <v>870</v>
      </c>
      <c r="U14" s="63"/>
      <c r="V14" s="17" t="s">
        <v>870</v>
      </c>
      <c r="W14" s="17" t="s">
        <v>870</v>
      </c>
      <c r="X14" s="17" t="s">
        <v>870</v>
      </c>
      <c r="Y14" s="17" t="s">
        <v>870</v>
      </c>
      <c r="Z14" s="17" t="s">
        <v>870</v>
      </c>
      <c r="AA14" s="17" t="s">
        <v>870</v>
      </c>
      <c r="AB14" s="17" t="s">
        <v>870</v>
      </c>
      <c r="AC14" s="17" t="s">
        <v>870</v>
      </c>
      <c r="AD14" s="17" t="s">
        <v>870</v>
      </c>
      <c r="AE14" s="17" t="s">
        <v>870</v>
      </c>
      <c r="AF14" s="17" t="s">
        <v>870</v>
      </c>
      <c r="AG14" s="17" t="s">
        <v>870</v>
      </c>
      <c r="AH14" s="61" t="s">
        <v>2</v>
      </c>
      <c r="AI14" s="61" t="s">
        <v>2</v>
      </c>
      <c r="AJ14" s="63"/>
      <c r="AK14" s="63"/>
      <c r="AL14" s="63"/>
      <c r="AM14" s="63"/>
      <c r="AN14" s="62"/>
      <c r="AO14" s="63"/>
      <c r="AP14" s="63"/>
      <c r="AQ14" s="62"/>
      <c r="AR14" s="61" t="s">
        <v>2</v>
      </c>
      <c r="AS14" s="61" t="s">
        <v>2</v>
      </c>
      <c r="AT14" s="63"/>
      <c r="AU14" s="63"/>
      <c r="AV14" s="63"/>
      <c r="AW14" s="63"/>
      <c r="AX14" s="63"/>
      <c r="AY14" s="63"/>
      <c r="AZ14" s="17" t="s">
        <v>870</v>
      </c>
      <c r="BA14" s="17" t="s">
        <v>870</v>
      </c>
      <c r="BB14" s="63"/>
      <c r="BC14" s="63"/>
      <c r="BD14" s="63"/>
      <c r="BE14" s="61" t="s">
        <v>2</v>
      </c>
      <c r="BF14" s="17" t="s">
        <v>870</v>
      </c>
      <c r="BG14" s="17" t="s">
        <v>870</v>
      </c>
      <c r="BH14" s="17" t="s">
        <v>870</v>
      </c>
      <c r="BI14" s="17" t="s">
        <v>870</v>
      </c>
      <c r="BJ14" s="17" t="s">
        <v>870</v>
      </c>
      <c r="BK14" s="17" t="s">
        <v>870</v>
      </c>
      <c r="BL14" s="63"/>
      <c r="BM14" s="63"/>
      <c r="BN14" s="63"/>
      <c r="BO14" s="63"/>
      <c r="BP14" s="63"/>
      <c r="BQ14" s="63"/>
      <c r="BR14" s="63"/>
      <c r="BS14" s="63"/>
      <c r="BT14" s="62"/>
      <c r="BU14" s="63"/>
      <c r="BV14" s="62"/>
      <c r="BW14" s="62"/>
      <c r="BX14" s="62"/>
      <c r="BY14" s="63"/>
      <c r="BZ14" s="63"/>
      <c r="CA14" s="63"/>
      <c r="CB14" s="61" t="s">
        <v>2</v>
      </c>
      <c r="CC14" s="63"/>
      <c r="CD14" s="63"/>
      <c r="CE14" s="63"/>
      <c r="CF14" s="63"/>
      <c r="CG14" s="63"/>
      <c r="CH14" s="63"/>
      <c r="CI14" s="63"/>
      <c r="CJ14" s="63"/>
      <c r="CK14" s="63"/>
      <c r="CL14" s="63"/>
      <c r="CM14" s="63"/>
      <c r="CN14" s="17" t="s">
        <v>870</v>
      </c>
      <c r="CO14" s="17" t="s">
        <v>870</v>
      </c>
      <c r="CP14" s="61" t="s">
        <v>2</v>
      </c>
      <c r="CQ14" s="61" t="s">
        <v>2</v>
      </c>
      <c r="CR14" s="63"/>
      <c r="CS14" s="63"/>
      <c r="CT14" s="62"/>
      <c r="CU14" s="17" t="s">
        <v>870</v>
      </c>
      <c r="CV14" s="63"/>
      <c r="CW14" s="63"/>
      <c r="CX14" s="63"/>
      <c r="CY14" s="63"/>
      <c r="CZ14" s="63"/>
      <c r="DA14" s="63"/>
      <c r="DB14" s="63"/>
      <c r="DC14" s="63"/>
      <c r="DD14" s="61" t="s">
        <v>2</v>
      </c>
      <c r="DE14" s="63"/>
      <c r="DF14" s="63"/>
      <c r="DG14" s="63"/>
      <c r="DH14" s="17" t="s">
        <v>870</v>
      </c>
      <c r="DI14" s="17" t="s">
        <v>870</v>
      </c>
      <c r="DJ14" s="63"/>
      <c r="DK14" s="63"/>
      <c r="DL14" s="63"/>
      <c r="DM14" s="63"/>
      <c r="DN14" s="63"/>
      <c r="DO14" s="63"/>
      <c r="DP14" s="17" t="s">
        <v>870</v>
      </c>
      <c r="DQ14" s="17" t="s">
        <v>870</v>
      </c>
      <c r="DR14" s="17" t="s">
        <v>870</v>
      </c>
      <c r="DS14" s="17" t="s">
        <v>870</v>
      </c>
      <c r="DT14" s="63"/>
      <c r="DU14" s="62"/>
      <c r="DV14" s="63"/>
      <c r="DW14" s="63"/>
      <c r="DX14" s="61" t="s">
        <v>2</v>
      </c>
      <c r="DY14" s="63"/>
      <c r="DZ14" s="63"/>
      <c r="EA14" s="63"/>
      <c r="EB14" s="17" t="s">
        <v>870</v>
      </c>
      <c r="EC14" s="17" t="s">
        <v>870</v>
      </c>
      <c r="ED14" s="62"/>
      <c r="EE14" s="63"/>
      <c r="EF14" s="63"/>
      <c r="EG14" s="63"/>
      <c r="EH14" s="17" t="s">
        <v>870</v>
      </c>
      <c r="EI14" s="17" t="s">
        <v>870</v>
      </c>
      <c r="EJ14" s="63"/>
      <c r="EK14" s="61" t="s">
        <v>2</v>
      </c>
      <c r="EL14" s="17" t="s">
        <v>870</v>
      </c>
      <c r="EM14" s="17" t="s">
        <v>870</v>
      </c>
      <c r="EN14" s="63"/>
      <c r="EO14" s="63"/>
      <c r="EP14" s="63"/>
      <c r="EQ14" s="63"/>
      <c r="ER14" s="63"/>
      <c r="ES14" s="63"/>
      <c r="ET14" s="63"/>
      <c r="EU14" s="63"/>
      <c r="EV14" s="63"/>
      <c r="EW14" s="62"/>
      <c r="EX14" s="63"/>
      <c r="EY14" s="62"/>
      <c r="EZ14" s="61" t="s">
        <v>2</v>
      </c>
      <c r="FA14" s="62"/>
      <c r="FB14" s="63"/>
      <c r="FC14" s="63"/>
      <c r="FD14" s="63"/>
      <c r="FE14" s="63"/>
      <c r="FF14" s="61" t="s">
        <v>2</v>
      </c>
      <c r="FG14" s="63"/>
      <c r="FH14" s="17" t="s">
        <v>870</v>
      </c>
      <c r="FI14" s="17" t="s">
        <v>870</v>
      </c>
      <c r="FJ14" s="63"/>
      <c r="FK14" s="61" t="s">
        <v>2</v>
      </c>
      <c r="FL14" s="63"/>
      <c r="FM14" s="63"/>
      <c r="FN14" s="62"/>
      <c r="FO14" s="63"/>
      <c r="FP14" s="63"/>
      <c r="FQ14" s="62"/>
      <c r="FR14" s="63"/>
      <c r="FS14" s="63"/>
      <c r="FT14" s="17" t="s">
        <v>870</v>
      </c>
      <c r="FU14" s="17" t="s">
        <v>870</v>
      </c>
      <c r="FV14" s="17" t="s">
        <v>870</v>
      </c>
      <c r="FW14" s="17" t="s">
        <v>870</v>
      </c>
      <c r="FX14" s="61" t="s">
        <v>2</v>
      </c>
      <c r="FY14" s="63"/>
      <c r="FZ14" s="17" t="s">
        <v>870</v>
      </c>
      <c r="GA14" s="17" t="s">
        <v>870</v>
      </c>
      <c r="GB14" s="17" t="s">
        <v>870</v>
      </c>
      <c r="GC14" s="17" t="s">
        <v>870</v>
      </c>
      <c r="GD14" s="17" t="s">
        <v>870</v>
      </c>
      <c r="GE14" s="17" t="s">
        <v>870</v>
      </c>
      <c r="GF14" s="17" t="s">
        <v>870</v>
      </c>
      <c r="GG14" s="17" t="s">
        <v>870</v>
      </c>
      <c r="GH14" s="17" t="s">
        <v>870</v>
      </c>
      <c r="GI14" s="17" t="s">
        <v>870</v>
      </c>
      <c r="GJ14" s="17" t="s">
        <v>870</v>
      </c>
      <c r="GK14" s="17" t="s">
        <v>870</v>
      </c>
      <c r="GL14" s="17" t="s">
        <v>870</v>
      </c>
      <c r="GM14" s="17" t="s">
        <v>870</v>
      </c>
      <c r="GN14" s="17" t="s">
        <v>870</v>
      </c>
      <c r="GO14" s="17" t="s">
        <v>870</v>
      </c>
      <c r="GP14" s="17" t="s">
        <v>870</v>
      </c>
      <c r="GQ14" s="17" t="s">
        <v>870</v>
      </c>
      <c r="GR14" s="17" t="s">
        <v>870</v>
      </c>
      <c r="GS14" s="17" t="s">
        <v>870</v>
      </c>
      <c r="GT14" s="17" t="s">
        <v>870</v>
      </c>
      <c r="GU14" s="17" t="s">
        <v>870</v>
      </c>
      <c r="GV14" s="17" t="s">
        <v>870</v>
      </c>
      <c r="GW14" s="17" t="s">
        <v>870</v>
      </c>
      <c r="GX14" s="17" t="s">
        <v>870</v>
      </c>
      <c r="GY14" s="17" t="s">
        <v>870</v>
      </c>
      <c r="GZ14" s="17" t="s">
        <v>870</v>
      </c>
      <c r="HA14" s="17" t="s">
        <v>870</v>
      </c>
      <c r="HB14" s="17" t="s">
        <v>870</v>
      </c>
      <c r="HC14" s="17" t="s">
        <v>870</v>
      </c>
      <c r="HD14" s="17" t="s">
        <v>870</v>
      </c>
      <c r="HE14" s="17" t="s">
        <v>870</v>
      </c>
      <c r="HF14" s="17" t="s">
        <v>870</v>
      </c>
      <c r="HG14" s="17" t="s">
        <v>870</v>
      </c>
      <c r="HH14" s="17" t="s">
        <v>870</v>
      </c>
      <c r="HI14" s="17" t="s">
        <v>870</v>
      </c>
      <c r="HJ14" s="17" t="s">
        <v>870</v>
      </c>
      <c r="HK14" s="17" t="s">
        <v>870</v>
      </c>
      <c r="HL14" s="17" t="s">
        <v>870</v>
      </c>
      <c r="HM14" s="17" t="s">
        <v>870</v>
      </c>
      <c r="HN14" s="17" t="s">
        <v>870</v>
      </c>
      <c r="HO14" s="17" t="s">
        <v>870</v>
      </c>
      <c r="HP14" s="17" t="s">
        <v>870</v>
      </c>
      <c r="HQ14" s="17" t="s">
        <v>870</v>
      </c>
      <c r="HR14" s="17" t="s">
        <v>870</v>
      </c>
      <c r="HS14" s="17" t="s">
        <v>870</v>
      </c>
      <c r="HT14" s="17" t="s">
        <v>870</v>
      </c>
      <c r="HU14" s="17" t="s">
        <v>870</v>
      </c>
      <c r="HV14" s="17" t="s">
        <v>870</v>
      </c>
      <c r="HW14" s="63"/>
      <c r="HX14" s="17" t="s">
        <v>870</v>
      </c>
      <c r="HY14" s="17" t="s">
        <v>870</v>
      </c>
      <c r="HZ14" s="17" t="s">
        <v>870</v>
      </c>
      <c r="IA14" s="17" t="s">
        <v>870</v>
      </c>
      <c r="IB14" s="17" t="s">
        <v>870</v>
      </c>
      <c r="IC14" s="17" t="s">
        <v>870</v>
      </c>
      <c r="ID14" s="72" t="s">
        <v>1552</v>
      </c>
      <c r="IE14" s="17" t="s">
        <v>870</v>
      </c>
      <c r="IF14" s="17" t="s">
        <v>870</v>
      </c>
      <c r="IG14" s="17" t="s">
        <v>870</v>
      </c>
      <c r="IH14" s="17" t="s">
        <v>870</v>
      </c>
      <c r="II14" s="17" t="s">
        <v>870</v>
      </c>
      <c r="IJ14" s="17" t="s">
        <v>870</v>
      </c>
      <c r="IK14" s="17" t="s">
        <v>870</v>
      </c>
      <c r="IL14" s="17" t="s">
        <v>870</v>
      </c>
      <c r="IM14" s="17" t="s">
        <v>870</v>
      </c>
      <c r="IN14" s="17" t="s">
        <v>870</v>
      </c>
      <c r="IO14" s="17" t="s">
        <v>870</v>
      </c>
    </row>
    <row r="15" spans="1:267" x14ac:dyDescent="0.25">
      <c r="A15" t="s">
        <v>434</v>
      </c>
      <c r="B15" s="17" t="s">
        <v>870</v>
      </c>
      <c r="C15" s="17" t="s">
        <v>870</v>
      </c>
      <c r="D15" s="17" t="s">
        <v>870</v>
      </c>
      <c r="E15" s="17" t="s">
        <v>870</v>
      </c>
      <c r="F15" s="17" t="s">
        <v>870</v>
      </c>
      <c r="G15" s="17" t="s">
        <v>870</v>
      </c>
      <c r="H15" s="17" t="s">
        <v>870</v>
      </c>
      <c r="I15" s="17" t="s">
        <v>870</v>
      </c>
      <c r="J15" s="17" t="s">
        <v>870</v>
      </c>
      <c r="K15" s="17" t="s">
        <v>870</v>
      </c>
      <c r="L15" s="17" t="s">
        <v>870</v>
      </c>
      <c r="M15" s="17" t="s">
        <v>870</v>
      </c>
      <c r="N15" s="17" t="s">
        <v>870</v>
      </c>
      <c r="O15" s="17" t="s">
        <v>870</v>
      </c>
      <c r="P15" s="17" t="s">
        <v>870</v>
      </c>
      <c r="Q15" s="17" t="s">
        <v>870</v>
      </c>
      <c r="R15" s="17" t="s">
        <v>870</v>
      </c>
      <c r="S15" s="17" t="s">
        <v>870</v>
      </c>
      <c r="T15" s="17" t="s">
        <v>870</v>
      </c>
      <c r="U15" s="17" t="s">
        <v>870</v>
      </c>
      <c r="V15" s="17" t="s">
        <v>870</v>
      </c>
      <c r="W15" s="17" t="s">
        <v>870</v>
      </c>
      <c r="X15" s="17" t="s">
        <v>870</v>
      </c>
      <c r="Y15" s="17" t="s">
        <v>870</v>
      </c>
      <c r="Z15" s="17" t="s">
        <v>870</v>
      </c>
      <c r="AA15" s="17" t="s">
        <v>870</v>
      </c>
      <c r="AB15" s="17" t="s">
        <v>870</v>
      </c>
      <c r="AC15" s="17" t="s">
        <v>870</v>
      </c>
      <c r="AD15" s="17" t="s">
        <v>870</v>
      </c>
      <c r="AE15" s="17" t="s">
        <v>870</v>
      </c>
      <c r="AF15" s="17" t="s">
        <v>870</v>
      </c>
      <c r="AG15" s="17" t="s">
        <v>870</v>
      </c>
      <c r="AH15" s="17" t="s">
        <v>870</v>
      </c>
      <c r="AI15" s="17" t="s">
        <v>870</v>
      </c>
      <c r="AJ15" s="17" t="s">
        <v>870</v>
      </c>
      <c r="AK15" s="17" t="s">
        <v>870</v>
      </c>
      <c r="AL15" s="17" t="s">
        <v>870</v>
      </c>
      <c r="AM15" s="17" t="s">
        <v>870</v>
      </c>
      <c r="AN15" s="17" t="s">
        <v>870</v>
      </c>
      <c r="AO15" s="17" t="s">
        <v>870</v>
      </c>
      <c r="AP15" s="17" t="s">
        <v>870</v>
      </c>
      <c r="AQ15" s="17" t="s">
        <v>870</v>
      </c>
      <c r="AR15" s="17" t="s">
        <v>870</v>
      </c>
      <c r="AS15" s="17" t="s">
        <v>870</v>
      </c>
      <c r="AT15" s="17" t="s">
        <v>870</v>
      </c>
      <c r="AU15" s="17" t="s">
        <v>870</v>
      </c>
      <c r="AV15" s="17" t="s">
        <v>870</v>
      </c>
      <c r="AW15" s="17" t="s">
        <v>870</v>
      </c>
      <c r="AX15" s="17" t="s">
        <v>870</v>
      </c>
      <c r="AY15" s="17" t="s">
        <v>870</v>
      </c>
      <c r="AZ15" s="17" t="s">
        <v>870</v>
      </c>
      <c r="BA15" s="17" t="s">
        <v>870</v>
      </c>
      <c r="BB15" s="17" t="s">
        <v>870</v>
      </c>
      <c r="BC15" s="17" t="s">
        <v>870</v>
      </c>
      <c r="BD15" s="17" t="s">
        <v>870</v>
      </c>
      <c r="BE15" s="17" t="s">
        <v>870</v>
      </c>
      <c r="BF15" s="17" t="s">
        <v>870</v>
      </c>
      <c r="BG15" s="17" t="s">
        <v>870</v>
      </c>
      <c r="BH15" s="17" t="s">
        <v>870</v>
      </c>
      <c r="BI15" s="17" t="s">
        <v>870</v>
      </c>
      <c r="BJ15" s="17" t="s">
        <v>870</v>
      </c>
      <c r="BK15" s="17" t="s">
        <v>870</v>
      </c>
      <c r="BL15" s="17" t="s">
        <v>870</v>
      </c>
      <c r="BM15" s="17" t="s">
        <v>870</v>
      </c>
      <c r="BN15" s="17" t="s">
        <v>870</v>
      </c>
      <c r="BO15" s="17" t="s">
        <v>870</v>
      </c>
      <c r="BP15" s="17" t="s">
        <v>870</v>
      </c>
      <c r="BQ15" s="17" t="s">
        <v>870</v>
      </c>
      <c r="BR15" s="17" t="s">
        <v>870</v>
      </c>
      <c r="BS15" s="17" t="s">
        <v>870</v>
      </c>
      <c r="BT15" s="17" t="s">
        <v>870</v>
      </c>
      <c r="BU15" s="17" t="s">
        <v>870</v>
      </c>
      <c r="BV15" s="17" t="s">
        <v>870</v>
      </c>
      <c r="BW15" s="17" t="s">
        <v>870</v>
      </c>
      <c r="BX15" s="17" t="s">
        <v>870</v>
      </c>
      <c r="BY15" s="17" t="s">
        <v>870</v>
      </c>
      <c r="BZ15" s="17" t="s">
        <v>870</v>
      </c>
      <c r="CA15" s="17" t="s">
        <v>870</v>
      </c>
      <c r="CB15" s="17" t="s">
        <v>870</v>
      </c>
      <c r="CC15" s="17" t="s">
        <v>870</v>
      </c>
      <c r="CD15" s="17" t="s">
        <v>870</v>
      </c>
      <c r="CE15" s="17" t="s">
        <v>870</v>
      </c>
      <c r="CF15" s="17" t="s">
        <v>870</v>
      </c>
      <c r="CG15" s="17" t="s">
        <v>870</v>
      </c>
      <c r="CH15" s="17" t="s">
        <v>870</v>
      </c>
      <c r="CI15" s="17" t="s">
        <v>870</v>
      </c>
      <c r="CJ15" s="17" t="s">
        <v>870</v>
      </c>
      <c r="CK15" s="17" t="s">
        <v>870</v>
      </c>
      <c r="CL15" s="17" t="s">
        <v>870</v>
      </c>
      <c r="CM15" s="17" t="s">
        <v>870</v>
      </c>
      <c r="CN15" s="17" t="s">
        <v>870</v>
      </c>
      <c r="CO15" s="17" t="s">
        <v>870</v>
      </c>
      <c r="CP15" s="17" t="s">
        <v>870</v>
      </c>
      <c r="CQ15" s="17" t="s">
        <v>870</v>
      </c>
      <c r="CR15" s="17" t="s">
        <v>870</v>
      </c>
      <c r="CS15" s="17" t="s">
        <v>870</v>
      </c>
      <c r="CT15" s="17" t="s">
        <v>870</v>
      </c>
      <c r="CU15" s="17" t="s">
        <v>870</v>
      </c>
      <c r="CV15" s="17" t="s">
        <v>870</v>
      </c>
      <c r="CW15" s="17" t="s">
        <v>870</v>
      </c>
      <c r="CX15" s="17" t="s">
        <v>870</v>
      </c>
      <c r="CY15" s="17" t="s">
        <v>870</v>
      </c>
      <c r="CZ15" s="17" t="s">
        <v>870</v>
      </c>
      <c r="DA15" s="17" t="s">
        <v>870</v>
      </c>
      <c r="DB15" s="17" t="s">
        <v>870</v>
      </c>
      <c r="DC15" s="17" t="s">
        <v>870</v>
      </c>
      <c r="DD15" s="17" t="s">
        <v>870</v>
      </c>
      <c r="DE15" s="17" t="s">
        <v>870</v>
      </c>
      <c r="DF15" s="17" t="s">
        <v>870</v>
      </c>
      <c r="DG15" s="17" t="s">
        <v>870</v>
      </c>
      <c r="DH15" s="17" t="s">
        <v>870</v>
      </c>
      <c r="DI15" s="17" t="s">
        <v>870</v>
      </c>
      <c r="DJ15" s="17" t="s">
        <v>870</v>
      </c>
      <c r="DK15" s="17" t="s">
        <v>870</v>
      </c>
      <c r="DL15" s="17" t="s">
        <v>870</v>
      </c>
      <c r="DM15" s="17" t="s">
        <v>870</v>
      </c>
      <c r="DN15" s="17" t="s">
        <v>870</v>
      </c>
      <c r="DO15" s="17" t="s">
        <v>870</v>
      </c>
      <c r="DP15" s="17" t="s">
        <v>870</v>
      </c>
      <c r="DQ15" s="17" t="s">
        <v>870</v>
      </c>
      <c r="DR15" s="17" t="s">
        <v>870</v>
      </c>
      <c r="DS15" s="17" t="s">
        <v>870</v>
      </c>
      <c r="DT15" s="17" t="s">
        <v>870</v>
      </c>
      <c r="DU15" s="17" t="s">
        <v>870</v>
      </c>
      <c r="DV15" s="17" t="s">
        <v>870</v>
      </c>
      <c r="DW15" s="17" t="s">
        <v>870</v>
      </c>
      <c r="DX15" s="17" t="s">
        <v>870</v>
      </c>
      <c r="DY15" s="17" t="s">
        <v>870</v>
      </c>
      <c r="DZ15" s="17" t="s">
        <v>870</v>
      </c>
      <c r="EA15" s="17" t="s">
        <v>870</v>
      </c>
      <c r="EB15" s="17" t="s">
        <v>870</v>
      </c>
      <c r="EC15" s="17" t="s">
        <v>870</v>
      </c>
      <c r="ED15" s="17" t="s">
        <v>870</v>
      </c>
      <c r="EE15" s="17" t="s">
        <v>870</v>
      </c>
      <c r="EF15" s="17" t="s">
        <v>870</v>
      </c>
      <c r="EG15" s="17" t="s">
        <v>870</v>
      </c>
      <c r="EH15" s="17" t="s">
        <v>870</v>
      </c>
      <c r="EI15" s="17" t="s">
        <v>870</v>
      </c>
      <c r="EJ15" s="17" t="s">
        <v>870</v>
      </c>
      <c r="EK15" s="17" t="s">
        <v>870</v>
      </c>
      <c r="EL15" s="17" t="s">
        <v>870</v>
      </c>
      <c r="EM15" s="17" t="s">
        <v>870</v>
      </c>
      <c r="EN15" s="17" t="s">
        <v>870</v>
      </c>
      <c r="EO15" s="17" t="s">
        <v>870</v>
      </c>
      <c r="EP15" s="17" t="s">
        <v>870</v>
      </c>
      <c r="EQ15" s="17" t="s">
        <v>870</v>
      </c>
      <c r="ER15" s="17" t="s">
        <v>870</v>
      </c>
      <c r="ES15" s="17" t="s">
        <v>870</v>
      </c>
      <c r="ET15" s="17" t="s">
        <v>870</v>
      </c>
      <c r="EU15" s="17" t="s">
        <v>870</v>
      </c>
      <c r="EV15" s="17" t="s">
        <v>870</v>
      </c>
      <c r="EW15" s="17" t="s">
        <v>870</v>
      </c>
      <c r="EX15" s="17" t="s">
        <v>870</v>
      </c>
      <c r="EY15" s="17" t="s">
        <v>870</v>
      </c>
      <c r="EZ15" s="17" t="s">
        <v>870</v>
      </c>
      <c r="FA15" s="17" t="s">
        <v>870</v>
      </c>
      <c r="FB15" s="17" t="s">
        <v>870</v>
      </c>
      <c r="FC15" s="17" t="s">
        <v>870</v>
      </c>
      <c r="FD15" s="17" t="s">
        <v>870</v>
      </c>
      <c r="FE15" s="17" t="s">
        <v>870</v>
      </c>
      <c r="FF15" s="17" t="s">
        <v>870</v>
      </c>
      <c r="FG15" s="17" t="s">
        <v>870</v>
      </c>
      <c r="FH15" s="61" t="s">
        <v>2</v>
      </c>
      <c r="FI15" s="63"/>
      <c r="FJ15" s="61" t="s">
        <v>2</v>
      </c>
      <c r="FK15" s="63"/>
      <c r="FL15" s="61" t="s">
        <v>2</v>
      </c>
      <c r="FM15" s="63"/>
      <c r="FN15" s="61" t="s">
        <v>2</v>
      </c>
      <c r="FO15" s="63"/>
      <c r="FP15" s="63"/>
      <c r="FQ15" s="61" t="s">
        <v>2</v>
      </c>
      <c r="FR15" s="61" t="s">
        <v>2</v>
      </c>
      <c r="FS15" s="63"/>
      <c r="FT15" s="61" t="s">
        <v>2</v>
      </c>
      <c r="FU15" s="61" t="s">
        <v>2</v>
      </c>
      <c r="FV15" s="61" t="s">
        <v>2</v>
      </c>
      <c r="FW15" s="62"/>
      <c r="FX15" s="61" t="s">
        <v>2</v>
      </c>
      <c r="FY15" s="62"/>
      <c r="FZ15" s="61" t="s">
        <v>2</v>
      </c>
      <c r="GA15" s="63"/>
      <c r="GB15" s="63"/>
      <c r="GC15" s="62"/>
      <c r="GD15" s="63"/>
      <c r="GE15" s="61" t="s">
        <v>2</v>
      </c>
      <c r="GF15" s="61" t="s">
        <v>2</v>
      </c>
      <c r="GG15" s="61" t="s">
        <v>2</v>
      </c>
      <c r="GH15" s="61" t="s">
        <v>2</v>
      </c>
      <c r="GI15" s="61" t="s">
        <v>2</v>
      </c>
      <c r="GJ15" s="61" t="s">
        <v>2</v>
      </c>
      <c r="GK15" s="63"/>
      <c r="GL15" s="61" t="s">
        <v>2</v>
      </c>
      <c r="GM15" s="63"/>
      <c r="GN15" s="61" t="s">
        <v>2</v>
      </c>
      <c r="GO15" s="63"/>
      <c r="GP15" s="17" t="s">
        <v>870</v>
      </c>
      <c r="GQ15" s="17" t="s">
        <v>870</v>
      </c>
      <c r="GR15" s="63"/>
      <c r="GS15" s="61" t="s">
        <v>2</v>
      </c>
      <c r="GT15" s="61" t="s">
        <v>2</v>
      </c>
      <c r="GU15" s="63"/>
      <c r="GV15" s="63"/>
      <c r="GW15" s="63"/>
      <c r="GX15" s="63"/>
      <c r="GY15" s="61" t="s">
        <v>2</v>
      </c>
      <c r="GZ15" s="61" t="s">
        <v>2</v>
      </c>
      <c r="HA15" s="62"/>
      <c r="HB15" s="63"/>
      <c r="HC15" s="61" t="s">
        <v>2</v>
      </c>
      <c r="HD15" s="63"/>
      <c r="HE15" s="63"/>
      <c r="HF15" s="61" t="s">
        <v>2</v>
      </c>
      <c r="HG15" s="61" t="s">
        <v>2</v>
      </c>
      <c r="HH15" s="63"/>
      <c r="HI15" s="63"/>
      <c r="HJ15" s="61" t="s">
        <v>2</v>
      </c>
      <c r="HK15" s="62"/>
      <c r="HL15" s="61" t="s">
        <v>2</v>
      </c>
      <c r="HM15" s="63"/>
      <c r="HN15" s="61" t="s">
        <v>2</v>
      </c>
      <c r="HO15" s="61" t="s">
        <v>2</v>
      </c>
      <c r="HP15" s="63"/>
      <c r="HQ15" s="63"/>
      <c r="HR15" s="63"/>
      <c r="HS15" s="61" t="s">
        <v>2</v>
      </c>
      <c r="HT15" s="61" t="s">
        <v>2</v>
      </c>
      <c r="HU15" s="63"/>
      <c r="HV15" s="63"/>
      <c r="HW15" s="61" t="s">
        <v>2</v>
      </c>
      <c r="HX15" s="63"/>
      <c r="HY15" s="62"/>
      <c r="HZ15" s="61" t="s">
        <v>2</v>
      </c>
      <c r="IA15" s="61" t="s">
        <v>2</v>
      </c>
      <c r="IB15" s="61" t="s">
        <v>2</v>
      </c>
      <c r="IC15" s="62"/>
      <c r="ID15" s="72" t="s">
        <v>1552</v>
      </c>
      <c r="IE15" s="62"/>
      <c r="IF15" s="17" t="s">
        <v>870</v>
      </c>
      <c r="IG15" s="63"/>
      <c r="IH15" s="61" t="s">
        <v>2</v>
      </c>
      <c r="II15" s="63"/>
      <c r="IJ15" s="17" t="s">
        <v>870</v>
      </c>
      <c r="IK15" s="17" t="s">
        <v>870</v>
      </c>
      <c r="IL15" s="63"/>
      <c r="IM15" s="61" t="s">
        <v>2</v>
      </c>
      <c r="IN15" s="61" t="s">
        <v>2</v>
      </c>
      <c r="IO15" s="62"/>
    </row>
    <row r="16" spans="1:267" x14ac:dyDescent="0.25">
      <c r="A16" t="s">
        <v>16</v>
      </c>
      <c r="B16" s="17" t="s">
        <v>870</v>
      </c>
      <c r="C16" s="17" t="s">
        <v>870</v>
      </c>
      <c r="D16" s="63"/>
      <c r="E16" s="63"/>
      <c r="F16" s="61" t="s">
        <v>2</v>
      </c>
      <c r="G16" s="61" t="s">
        <v>2</v>
      </c>
      <c r="H16" s="63"/>
      <c r="I16" s="61" t="s">
        <v>2</v>
      </c>
      <c r="J16" s="63"/>
      <c r="K16" s="17" t="s">
        <v>870</v>
      </c>
      <c r="L16" s="17" t="s">
        <v>870</v>
      </c>
      <c r="M16" s="62"/>
      <c r="N16" s="62"/>
      <c r="O16" s="63"/>
      <c r="P16" s="62"/>
      <c r="Q16" s="63"/>
      <c r="R16" s="63"/>
      <c r="S16" s="63"/>
      <c r="T16" s="63"/>
      <c r="U16" s="62"/>
      <c r="V16" s="17" t="s">
        <v>870</v>
      </c>
      <c r="W16" s="17" t="s">
        <v>870</v>
      </c>
      <c r="X16" s="63"/>
      <c r="Y16" s="17" t="s">
        <v>870</v>
      </c>
      <c r="Z16" s="17" t="s">
        <v>870</v>
      </c>
      <c r="AA16" s="17" t="s">
        <v>870</v>
      </c>
      <c r="AB16" s="17" t="s">
        <v>870</v>
      </c>
      <c r="AC16" s="63"/>
      <c r="AD16" s="17" t="s">
        <v>870</v>
      </c>
      <c r="AE16" s="17" t="s">
        <v>870</v>
      </c>
      <c r="AF16" s="17" t="s">
        <v>870</v>
      </c>
      <c r="AG16" s="17" t="s">
        <v>870</v>
      </c>
      <c r="AH16" s="61" t="s">
        <v>2</v>
      </c>
      <c r="AI16" s="61" t="s">
        <v>2</v>
      </c>
      <c r="AJ16" s="17" t="s">
        <v>870</v>
      </c>
      <c r="AK16" s="17" t="s">
        <v>870</v>
      </c>
      <c r="AL16" s="62"/>
      <c r="AM16" s="17" t="s">
        <v>870</v>
      </c>
      <c r="AN16" s="17" t="s">
        <v>870</v>
      </c>
      <c r="AO16" s="17" t="s">
        <v>870</v>
      </c>
      <c r="AP16" s="62"/>
      <c r="AQ16" s="63"/>
      <c r="AR16" s="17" t="s">
        <v>870</v>
      </c>
      <c r="AS16" s="17" t="s">
        <v>870</v>
      </c>
      <c r="AT16" s="17" t="s">
        <v>870</v>
      </c>
      <c r="AU16" s="17" t="s">
        <v>870</v>
      </c>
      <c r="AV16" s="17" t="s">
        <v>870</v>
      </c>
      <c r="AW16" s="17" t="s">
        <v>870</v>
      </c>
      <c r="AX16" s="63"/>
      <c r="AY16" s="62"/>
      <c r="AZ16" s="17" t="s">
        <v>870</v>
      </c>
      <c r="BA16" s="17" t="s">
        <v>870</v>
      </c>
      <c r="BB16" s="17" t="s">
        <v>870</v>
      </c>
      <c r="BC16" s="17" t="s">
        <v>870</v>
      </c>
      <c r="BD16" s="62"/>
      <c r="BE16" s="61" t="s">
        <v>2</v>
      </c>
      <c r="BF16" s="63"/>
      <c r="BG16" s="63"/>
      <c r="BH16" s="17" t="s">
        <v>870</v>
      </c>
      <c r="BI16" s="17" t="s">
        <v>870</v>
      </c>
      <c r="BJ16" s="17" t="s">
        <v>870</v>
      </c>
      <c r="BK16" s="61" t="s">
        <v>2</v>
      </c>
      <c r="BL16" s="17" t="s">
        <v>870</v>
      </c>
      <c r="BM16" s="17" t="s">
        <v>870</v>
      </c>
      <c r="BN16" s="63"/>
      <c r="BO16" s="63"/>
      <c r="BP16" s="17" t="s">
        <v>870</v>
      </c>
      <c r="BQ16" s="17" t="s">
        <v>870</v>
      </c>
      <c r="BR16" s="63"/>
      <c r="BS16" s="63"/>
      <c r="BT16" s="17" t="s">
        <v>870</v>
      </c>
      <c r="BU16" s="17" t="s">
        <v>870</v>
      </c>
      <c r="BV16" s="17" t="s">
        <v>870</v>
      </c>
      <c r="BW16" s="17" t="s">
        <v>870</v>
      </c>
      <c r="BX16" s="61" t="s">
        <v>2</v>
      </c>
      <c r="BY16" s="61" t="s">
        <v>2</v>
      </c>
      <c r="BZ16" s="17" t="s">
        <v>870</v>
      </c>
      <c r="CA16" s="17" t="s">
        <v>870</v>
      </c>
      <c r="CB16" s="17" t="s">
        <v>870</v>
      </c>
      <c r="CC16" s="17" t="s">
        <v>870</v>
      </c>
      <c r="CD16" s="17" t="s">
        <v>870</v>
      </c>
      <c r="CE16" s="17" t="s">
        <v>870</v>
      </c>
      <c r="CF16" s="17" t="s">
        <v>870</v>
      </c>
      <c r="CG16" s="17" t="s">
        <v>870</v>
      </c>
      <c r="CH16" s="17" t="s">
        <v>870</v>
      </c>
      <c r="CI16" s="17" t="s">
        <v>870</v>
      </c>
      <c r="CJ16" s="17" t="s">
        <v>870</v>
      </c>
      <c r="CK16" s="17" t="s">
        <v>870</v>
      </c>
      <c r="CL16" s="17" t="s">
        <v>870</v>
      </c>
      <c r="CM16" s="17" t="s">
        <v>870</v>
      </c>
      <c r="CN16" s="17" t="s">
        <v>870</v>
      </c>
      <c r="CO16" s="17" t="s">
        <v>870</v>
      </c>
      <c r="CP16" s="17" t="s">
        <v>870</v>
      </c>
      <c r="CQ16" s="17" t="s">
        <v>870</v>
      </c>
      <c r="CR16" s="17" t="s">
        <v>870</v>
      </c>
      <c r="CS16" s="17" t="s">
        <v>870</v>
      </c>
      <c r="CT16" s="17" t="s">
        <v>870</v>
      </c>
      <c r="CU16" s="63"/>
      <c r="CV16" s="17" t="s">
        <v>870</v>
      </c>
      <c r="CW16" s="17" t="s">
        <v>870</v>
      </c>
      <c r="CX16" s="17" t="s">
        <v>870</v>
      </c>
      <c r="CY16" s="17" t="s">
        <v>870</v>
      </c>
      <c r="CZ16" s="17" t="s">
        <v>870</v>
      </c>
      <c r="DA16" s="17" t="s">
        <v>870</v>
      </c>
      <c r="DB16" s="17" t="s">
        <v>870</v>
      </c>
      <c r="DC16" s="17" t="s">
        <v>870</v>
      </c>
      <c r="DD16" s="17" t="s">
        <v>870</v>
      </c>
      <c r="DE16" s="17" t="s">
        <v>870</v>
      </c>
      <c r="DF16" s="17" t="s">
        <v>870</v>
      </c>
      <c r="DG16" s="17" t="s">
        <v>870</v>
      </c>
      <c r="DH16" s="17" t="s">
        <v>870</v>
      </c>
      <c r="DI16" s="17" t="s">
        <v>870</v>
      </c>
      <c r="DJ16" s="17" t="s">
        <v>870</v>
      </c>
      <c r="DK16" s="17" t="s">
        <v>870</v>
      </c>
      <c r="DL16" s="17" t="s">
        <v>870</v>
      </c>
      <c r="DM16" s="17" t="s">
        <v>870</v>
      </c>
      <c r="DN16" s="17" t="s">
        <v>870</v>
      </c>
      <c r="DO16" s="17" t="s">
        <v>870</v>
      </c>
      <c r="DP16" s="17" t="s">
        <v>870</v>
      </c>
      <c r="DQ16" s="17" t="s">
        <v>870</v>
      </c>
      <c r="DR16" s="17" t="s">
        <v>870</v>
      </c>
      <c r="DS16" s="17" t="s">
        <v>870</v>
      </c>
      <c r="DT16" s="17" t="s">
        <v>870</v>
      </c>
      <c r="DU16" s="17" t="s">
        <v>870</v>
      </c>
      <c r="DV16" s="17" t="s">
        <v>870</v>
      </c>
      <c r="DW16" s="17" t="s">
        <v>870</v>
      </c>
      <c r="DX16" s="17" t="s">
        <v>870</v>
      </c>
      <c r="DY16" s="17" t="s">
        <v>870</v>
      </c>
      <c r="DZ16" s="17" t="s">
        <v>870</v>
      </c>
      <c r="EA16" s="17" t="s">
        <v>870</v>
      </c>
      <c r="EB16" s="63"/>
      <c r="EC16" s="17" t="s">
        <v>870</v>
      </c>
      <c r="ED16" s="17" t="s">
        <v>870</v>
      </c>
      <c r="EE16" s="17" t="s">
        <v>870</v>
      </c>
      <c r="EF16" s="17" t="s">
        <v>870</v>
      </c>
      <c r="EG16" s="17" t="s">
        <v>870</v>
      </c>
      <c r="EH16" s="17" t="s">
        <v>870</v>
      </c>
      <c r="EI16" s="17" t="s">
        <v>870</v>
      </c>
      <c r="EJ16" s="17" t="s">
        <v>870</v>
      </c>
      <c r="EK16" s="17" t="s">
        <v>870</v>
      </c>
      <c r="EL16" s="17" t="s">
        <v>870</v>
      </c>
      <c r="EM16" s="17" t="s">
        <v>870</v>
      </c>
      <c r="EN16" s="17" t="s">
        <v>870</v>
      </c>
      <c r="EO16" s="17" t="s">
        <v>870</v>
      </c>
      <c r="EP16" s="17" t="s">
        <v>870</v>
      </c>
      <c r="EQ16" s="17" t="s">
        <v>870</v>
      </c>
      <c r="ER16" s="17" t="s">
        <v>870</v>
      </c>
      <c r="ES16" s="17" t="s">
        <v>870</v>
      </c>
      <c r="ET16" s="17" t="s">
        <v>870</v>
      </c>
      <c r="EU16" s="17" t="s">
        <v>870</v>
      </c>
      <c r="EV16" s="17" t="s">
        <v>870</v>
      </c>
      <c r="EW16" s="17" t="s">
        <v>870</v>
      </c>
      <c r="EX16" s="17" t="s">
        <v>870</v>
      </c>
      <c r="EY16" s="17" t="s">
        <v>870</v>
      </c>
      <c r="EZ16" s="17" t="s">
        <v>870</v>
      </c>
      <c r="FA16" s="17" t="s">
        <v>870</v>
      </c>
      <c r="FB16" s="17" t="s">
        <v>870</v>
      </c>
      <c r="FC16" s="17" t="s">
        <v>870</v>
      </c>
      <c r="FD16" s="17" t="s">
        <v>870</v>
      </c>
      <c r="FE16" s="17" t="s">
        <v>870</v>
      </c>
      <c r="FF16" s="17" t="s">
        <v>870</v>
      </c>
      <c r="FG16" s="17" t="s">
        <v>870</v>
      </c>
      <c r="FH16" s="17" t="s">
        <v>870</v>
      </c>
      <c r="FI16" s="17" t="s">
        <v>870</v>
      </c>
      <c r="FJ16" s="62"/>
      <c r="FK16" s="17" t="s">
        <v>870</v>
      </c>
      <c r="FL16" s="17" t="s">
        <v>870</v>
      </c>
      <c r="FM16" s="17" t="s">
        <v>870</v>
      </c>
      <c r="FN16" s="17" t="s">
        <v>870</v>
      </c>
      <c r="FO16" s="17" t="s">
        <v>870</v>
      </c>
      <c r="FP16" s="17" t="s">
        <v>870</v>
      </c>
      <c r="FQ16" s="17" t="s">
        <v>870</v>
      </c>
      <c r="FR16" s="17" t="s">
        <v>870</v>
      </c>
      <c r="FS16" s="17" t="s">
        <v>870</v>
      </c>
      <c r="FT16" s="17" t="s">
        <v>870</v>
      </c>
      <c r="FU16" s="17" t="s">
        <v>870</v>
      </c>
      <c r="FV16" s="17" t="s">
        <v>870</v>
      </c>
      <c r="FW16" s="17" t="s">
        <v>870</v>
      </c>
      <c r="FX16" s="17" t="s">
        <v>870</v>
      </c>
      <c r="FY16" s="17" t="s">
        <v>870</v>
      </c>
      <c r="FZ16" s="17" t="s">
        <v>870</v>
      </c>
      <c r="GA16" s="17" t="s">
        <v>870</v>
      </c>
      <c r="GB16" s="17" t="s">
        <v>870</v>
      </c>
      <c r="GC16" s="17" t="s">
        <v>870</v>
      </c>
      <c r="GD16" s="17" t="s">
        <v>870</v>
      </c>
      <c r="GE16" s="17" t="s">
        <v>870</v>
      </c>
      <c r="GF16" s="17" t="s">
        <v>870</v>
      </c>
      <c r="GG16" s="17" t="s">
        <v>870</v>
      </c>
      <c r="GH16" s="17" t="s">
        <v>870</v>
      </c>
      <c r="GI16" s="17" t="s">
        <v>870</v>
      </c>
      <c r="GJ16" s="17" t="s">
        <v>870</v>
      </c>
      <c r="GK16" s="17" t="s">
        <v>870</v>
      </c>
      <c r="GL16" s="17" t="s">
        <v>870</v>
      </c>
      <c r="GM16" s="17" t="s">
        <v>870</v>
      </c>
      <c r="GN16" s="17" t="s">
        <v>870</v>
      </c>
      <c r="GO16" s="17" t="s">
        <v>870</v>
      </c>
      <c r="GP16" s="17" t="s">
        <v>870</v>
      </c>
      <c r="GQ16" s="17" t="s">
        <v>870</v>
      </c>
      <c r="GR16" s="17" t="s">
        <v>870</v>
      </c>
      <c r="GS16" s="17" t="s">
        <v>870</v>
      </c>
      <c r="GT16" s="63"/>
      <c r="GU16" s="61" t="s">
        <v>2</v>
      </c>
      <c r="GV16" s="17" t="s">
        <v>870</v>
      </c>
      <c r="GW16" s="17" t="s">
        <v>870</v>
      </c>
      <c r="GX16" s="63"/>
      <c r="GY16" s="62"/>
      <c r="GZ16" s="17" t="s">
        <v>870</v>
      </c>
      <c r="HA16" s="17" t="s">
        <v>870</v>
      </c>
      <c r="HB16" s="17" t="s">
        <v>870</v>
      </c>
      <c r="HC16" s="17" t="s">
        <v>870</v>
      </c>
      <c r="HD16" s="17" t="s">
        <v>870</v>
      </c>
      <c r="HE16" s="17" t="s">
        <v>870</v>
      </c>
      <c r="HF16" s="17" t="s">
        <v>870</v>
      </c>
      <c r="HG16" s="17" t="s">
        <v>870</v>
      </c>
      <c r="HH16" s="17" t="s">
        <v>870</v>
      </c>
      <c r="HI16" s="17" t="s">
        <v>870</v>
      </c>
      <c r="HJ16" s="17" t="s">
        <v>870</v>
      </c>
      <c r="HK16" s="17" t="s">
        <v>870</v>
      </c>
      <c r="HL16" s="17" t="s">
        <v>870</v>
      </c>
      <c r="HM16" s="17" t="s">
        <v>870</v>
      </c>
      <c r="HN16" s="17" t="s">
        <v>870</v>
      </c>
      <c r="HO16" s="17" t="s">
        <v>870</v>
      </c>
      <c r="HP16" s="17" t="s">
        <v>870</v>
      </c>
      <c r="HQ16" s="17" t="s">
        <v>870</v>
      </c>
      <c r="HR16" s="17" t="s">
        <v>870</v>
      </c>
      <c r="HS16" s="17" t="s">
        <v>870</v>
      </c>
      <c r="HT16" s="17" t="s">
        <v>870</v>
      </c>
      <c r="HU16" s="17" t="s">
        <v>870</v>
      </c>
      <c r="HV16" s="17" t="s">
        <v>870</v>
      </c>
      <c r="HW16" s="17" t="s">
        <v>870</v>
      </c>
      <c r="HX16" s="17" t="s">
        <v>870</v>
      </c>
      <c r="HY16" s="17" t="s">
        <v>870</v>
      </c>
      <c r="HZ16" s="17" t="s">
        <v>870</v>
      </c>
      <c r="IA16" s="17" t="s">
        <v>870</v>
      </c>
      <c r="IB16" s="17" t="s">
        <v>870</v>
      </c>
      <c r="IC16" s="17" t="s">
        <v>870</v>
      </c>
      <c r="ID16" s="72" t="s">
        <v>1552</v>
      </c>
      <c r="IE16" s="63"/>
      <c r="IF16" s="63"/>
      <c r="IG16" s="62"/>
      <c r="IH16" s="17" t="s">
        <v>870</v>
      </c>
      <c r="II16" s="17" t="s">
        <v>870</v>
      </c>
      <c r="IJ16" s="17" t="s">
        <v>870</v>
      </c>
      <c r="IK16" s="17" t="s">
        <v>870</v>
      </c>
      <c r="IL16" s="17" t="s">
        <v>870</v>
      </c>
      <c r="IM16" s="17" t="s">
        <v>870</v>
      </c>
      <c r="IN16" s="17" t="s">
        <v>870</v>
      </c>
      <c r="IO16" s="17" t="s">
        <v>870</v>
      </c>
    </row>
    <row r="17" spans="1:249" x14ac:dyDescent="0.25">
      <c r="A17" t="s">
        <v>18</v>
      </c>
      <c r="B17" s="17" t="s">
        <v>870</v>
      </c>
      <c r="C17" s="17" t="s">
        <v>870</v>
      </c>
      <c r="D17" s="17" t="s">
        <v>870</v>
      </c>
      <c r="E17" s="17" t="s">
        <v>870</v>
      </c>
      <c r="F17" s="17" t="s">
        <v>870</v>
      </c>
      <c r="G17" s="17" t="s">
        <v>870</v>
      </c>
      <c r="H17" s="17" t="s">
        <v>870</v>
      </c>
      <c r="I17" s="17" t="s">
        <v>870</v>
      </c>
      <c r="J17" s="17" t="s">
        <v>870</v>
      </c>
      <c r="K17" s="62"/>
      <c r="L17" s="61" t="s">
        <v>2</v>
      </c>
      <c r="M17" s="61" t="s">
        <v>2</v>
      </c>
      <c r="N17" s="63"/>
      <c r="O17" s="63"/>
      <c r="P17" s="63"/>
      <c r="Q17" s="63"/>
      <c r="R17" s="17" t="s">
        <v>870</v>
      </c>
      <c r="S17" s="17" t="s">
        <v>870</v>
      </c>
      <c r="T17" s="61" t="s">
        <v>2</v>
      </c>
      <c r="U17" s="63"/>
      <c r="V17" s="62"/>
      <c r="W17" s="63"/>
      <c r="X17" s="63"/>
      <c r="Y17" s="63"/>
      <c r="Z17" s="61" t="s">
        <v>2</v>
      </c>
      <c r="AA17" s="63"/>
      <c r="AB17" s="61" t="s">
        <v>2</v>
      </c>
      <c r="AC17" s="63"/>
      <c r="AD17" s="61" t="s">
        <v>2</v>
      </c>
      <c r="AE17" s="61" t="s">
        <v>2</v>
      </c>
      <c r="AF17" s="61" t="s">
        <v>2</v>
      </c>
      <c r="AG17" s="63"/>
      <c r="AH17" s="61" t="s">
        <v>2</v>
      </c>
      <c r="AI17" s="61" t="s">
        <v>2</v>
      </c>
      <c r="AJ17" s="17" t="s">
        <v>870</v>
      </c>
      <c r="AK17" s="17" t="s">
        <v>870</v>
      </c>
      <c r="AL17" s="63"/>
      <c r="AM17" s="62"/>
      <c r="AN17" s="63"/>
      <c r="AO17" s="63"/>
      <c r="AP17" s="63"/>
      <c r="AQ17" s="61" t="s">
        <v>2</v>
      </c>
      <c r="AR17" s="61" t="s">
        <v>2</v>
      </c>
      <c r="AS17" s="63"/>
      <c r="AT17" s="17" t="s">
        <v>870</v>
      </c>
      <c r="AU17" s="17" t="s">
        <v>870</v>
      </c>
      <c r="AV17" s="17" t="s">
        <v>870</v>
      </c>
      <c r="AW17" s="17" t="s">
        <v>870</v>
      </c>
      <c r="AX17" s="17" t="s">
        <v>870</v>
      </c>
      <c r="AY17" s="17" t="s">
        <v>870</v>
      </c>
      <c r="AZ17" s="63"/>
      <c r="BA17" s="61" t="s">
        <v>2</v>
      </c>
      <c r="BB17" s="17" t="s">
        <v>870</v>
      </c>
      <c r="BC17" s="17" t="s">
        <v>870</v>
      </c>
      <c r="BD17" s="17" t="s">
        <v>870</v>
      </c>
      <c r="BE17" s="17" t="s">
        <v>870</v>
      </c>
      <c r="BF17" s="17" t="s">
        <v>870</v>
      </c>
      <c r="BG17" s="17" t="s">
        <v>870</v>
      </c>
      <c r="BH17" s="17" t="s">
        <v>870</v>
      </c>
      <c r="BI17" s="17" t="s">
        <v>870</v>
      </c>
      <c r="BJ17" s="17" t="s">
        <v>870</v>
      </c>
      <c r="BK17" s="17" t="s">
        <v>870</v>
      </c>
      <c r="BL17" s="17" t="s">
        <v>870</v>
      </c>
      <c r="BM17" s="17" t="s">
        <v>870</v>
      </c>
      <c r="BN17" s="17" t="s">
        <v>870</v>
      </c>
      <c r="BO17" s="17" t="s">
        <v>870</v>
      </c>
      <c r="BP17" s="17" t="s">
        <v>870</v>
      </c>
      <c r="BQ17" s="17" t="s">
        <v>870</v>
      </c>
      <c r="BR17" s="17" t="s">
        <v>870</v>
      </c>
      <c r="BS17" s="17" t="s">
        <v>870</v>
      </c>
      <c r="BT17" s="17" t="s">
        <v>870</v>
      </c>
      <c r="BU17" s="17" t="s">
        <v>870</v>
      </c>
      <c r="BV17" s="17" t="s">
        <v>870</v>
      </c>
      <c r="BW17" s="17" t="s">
        <v>870</v>
      </c>
      <c r="BX17" s="17" t="s">
        <v>870</v>
      </c>
      <c r="BY17" s="17" t="s">
        <v>870</v>
      </c>
      <c r="BZ17" s="17" t="s">
        <v>870</v>
      </c>
      <c r="CA17" s="17" t="s">
        <v>870</v>
      </c>
      <c r="CB17" s="17" t="s">
        <v>870</v>
      </c>
      <c r="CC17" s="17" t="s">
        <v>870</v>
      </c>
      <c r="CD17" s="17" t="s">
        <v>870</v>
      </c>
      <c r="CE17" s="17" t="s">
        <v>870</v>
      </c>
      <c r="CF17" s="17" t="s">
        <v>870</v>
      </c>
      <c r="CG17" s="17" t="s">
        <v>870</v>
      </c>
      <c r="CH17" s="17" t="s">
        <v>870</v>
      </c>
      <c r="CI17" s="17" t="s">
        <v>870</v>
      </c>
      <c r="CJ17" s="17" t="s">
        <v>870</v>
      </c>
      <c r="CK17" s="17" t="s">
        <v>870</v>
      </c>
      <c r="CL17" s="17" t="s">
        <v>870</v>
      </c>
      <c r="CM17" s="17" t="s">
        <v>870</v>
      </c>
      <c r="CN17" s="17" t="s">
        <v>870</v>
      </c>
      <c r="CO17" s="17" t="s">
        <v>870</v>
      </c>
      <c r="CP17" s="17" t="s">
        <v>870</v>
      </c>
      <c r="CQ17" s="17" t="s">
        <v>870</v>
      </c>
      <c r="CR17" s="17" t="s">
        <v>870</v>
      </c>
      <c r="CS17" s="17" t="s">
        <v>870</v>
      </c>
      <c r="CT17" s="17" t="s">
        <v>870</v>
      </c>
      <c r="CU17" s="17" t="s">
        <v>870</v>
      </c>
      <c r="CV17" s="17" t="s">
        <v>870</v>
      </c>
      <c r="CW17" s="17" t="s">
        <v>870</v>
      </c>
      <c r="CX17" s="17" t="s">
        <v>870</v>
      </c>
      <c r="CY17" s="17" t="s">
        <v>870</v>
      </c>
      <c r="CZ17" s="17" t="s">
        <v>870</v>
      </c>
      <c r="DA17" s="17" t="s">
        <v>870</v>
      </c>
      <c r="DB17" s="17" t="s">
        <v>870</v>
      </c>
      <c r="DC17" s="17" t="s">
        <v>870</v>
      </c>
      <c r="DD17" s="17" t="s">
        <v>870</v>
      </c>
      <c r="DE17" s="17" t="s">
        <v>870</v>
      </c>
      <c r="DF17" s="17" t="s">
        <v>870</v>
      </c>
      <c r="DG17" s="17" t="s">
        <v>870</v>
      </c>
      <c r="DH17" s="17" t="s">
        <v>870</v>
      </c>
      <c r="DI17" s="17" t="s">
        <v>870</v>
      </c>
      <c r="DJ17" s="17" t="s">
        <v>870</v>
      </c>
      <c r="DK17" s="17" t="s">
        <v>870</v>
      </c>
      <c r="DL17" s="17" t="s">
        <v>870</v>
      </c>
      <c r="DM17" s="17" t="s">
        <v>870</v>
      </c>
      <c r="DN17" s="17" t="s">
        <v>870</v>
      </c>
      <c r="DO17" s="17" t="s">
        <v>870</v>
      </c>
      <c r="DP17" s="17" t="s">
        <v>870</v>
      </c>
      <c r="DQ17" s="17" t="s">
        <v>870</v>
      </c>
      <c r="DR17" s="17" t="s">
        <v>870</v>
      </c>
      <c r="DS17" s="17" t="s">
        <v>870</v>
      </c>
      <c r="DT17" s="17" t="s">
        <v>870</v>
      </c>
      <c r="DU17" s="17" t="s">
        <v>870</v>
      </c>
      <c r="DV17" s="17" t="s">
        <v>870</v>
      </c>
      <c r="DW17" s="17" t="s">
        <v>870</v>
      </c>
      <c r="DX17" s="17" t="s">
        <v>870</v>
      </c>
      <c r="DY17" s="17" t="s">
        <v>870</v>
      </c>
      <c r="DZ17" s="17" t="s">
        <v>870</v>
      </c>
      <c r="EA17" s="17" t="s">
        <v>870</v>
      </c>
      <c r="EB17" s="17" t="s">
        <v>870</v>
      </c>
      <c r="EC17" s="17" t="s">
        <v>870</v>
      </c>
      <c r="ED17" s="17" t="s">
        <v>870</v>
      </c>
      <c r="EE17" s="17" t="s">
        <v>870</v>
      </c>
      <c r="EF17" s="17" t="s">
        <v>870</v>
      </c>
      <c r="EG17" s="17" t="s">
        <v>870</v>
      </c>
      <c r="EH17" s="17" t="s">
        <v>870</v>
      </c>
      <c r="EI17" s="17" t="s">
        <v>870</v>
      </c>
      <c r="EJ17" s="17" t="s">
        <v>870</v>
      </c>
      <c r="EK17" s="17" t="s">
        <v>870</v>
      </c>
      <c r="EL17" s="17" t="s">
        <v>870</v>
      </c>
      <c r="EM17" s="17" t="s">
        <v>870</v>
      </c>
      <c r="EN17" s="17" t="s">
        <v>870</v>
      </c>
      <c r="EO17" s="17" t="s">
        <v>870</v>
      </c>
      <c r="EP17" s="17" t="s">
        <v>870</v>
      </c>
      <c r="EQ17" s="17" t="s">
        <v>870</v>
      </c>
      <c r="ER17" s="17" t="s">
        <v>870</v>
      </c>
      <c r="ES17" s="17" t="s">
        <v>870</v>
      </c>
      <c r="ET17" s="17" t="s">
        <v>870</v>
      </c>
      <c r="EU17" s="17" t="s">
        <v>870</v>
      </c>
      <c r="EV17" s="17" t="s">
        <v>870</v>
      </c>
      <c r="EW17" s="17" t="s">
        <v>870</v>
      </c>
      <c r="EX17" s="17" t="s">
        <v>870</v>
      </c>
      <c r="EY17" s="17" t="s">
        <v>870</v>
      </c>
      <c r="EZ17" s="17" t="s">
        <v>870</v>
      </c>
      <c r="FA17" s="17" t="s">
        <v>870</v>
      </c>
      <c r="FB17" s="17" t="s">
        <v>870</v>
      </c>
      <c r="FC17" s="17" t="s">
        <v>870</v>
      </c>
      <c r="FD17" s="17" t="s">
        <v>870</v>
      </c>
      <c r="FE17" s="17" t="s">
        <v>870</v>
      </c>
      <c r="FF17" s="17" t="s">
        <v>870</v>
      </c>
      <c r="FG17" s="17" t="s">
        <v>870</v>
      </c>
      <c r="FH17" s="17" t="s">
        <v>870</v>
      </c>
      <c r="FI17" s="17" t="s">
        <v>870</v>
      </c>
      <c r="FJ17" s="17" t="s">
        <v>870</v>
      </c>
      <c r="FK17" s="17" t="s">
        <v>870</v>
      </c>
      <c r="FL17" s="17" t="s">
        <v>870</v>
      </c>
      <c r="FM17" s="17" t="s">
        <v>870</v>
      </c>
      <c r="FN17" s="17" t="s">
        <v>870</v>
      </c>
      <c r="FO17" s="17" t="s">
        <v>870</v>
      </c>
      <c r="FP17" s="17" t="s">
        <v>870</v>
      </c>
      <c r="FQ17" s="17" t="s">
        <v>870</v>
      </c>
      <c r="FR17" s="17" t="s">
        <v>870</v>
      </c>
      <c r="FS17" s="17" t="s">
        <v>870</v>
      </c>
      <c r="FT17" s="17" t="s">
        <v>870</v>
      </c>
      <c r="FU17" s="17" t="s">
        <v>870</v>
      </c>
      <c r="FV17" s="17" t="s">
        <v>870</v>
      </c>
      <c r="FW17" s="17" t="s">
        <v>870</v>
      </c>
      <c r="FX17" s="17" t="s">
        <v>870</v>
      </c>
      <c r="FY17" s="17" t="s">
        <v>870</v>
      </c>
      <c r="FZ17" s="17" t="s">
        <v>870</v>
      </c>
      <c r="GA17" s="17" t="s">
        <v>870</v>
      </c>
      <c r="GB17" s="17" t="s">
        <v>870</v>
      </c>
      <c r="GC17" s="17" t="s">
        <v>870</v>
      </c>
      <c r="GD17" s="17" t="s">
        <v>870</v>
      </c>
      <c r="GE17" s="17" t="s">
        <v>870</v>
      </c>
      <c r="GF17" s="17" t="s">
        <v>870</v>
      </c>
      <c r="GG17" s="17" t="s">
        <v>870</v>
      </c>
      <c r="GH17" s="17" t="s">
        <v>870</v>
      </c>
      <c r="GI17" s="17" t="s">
        <v>870</v>
      </c>
      <c r="GJ17" s="17" t="s">
        <v>870</v>
      </c>
      <c r="GK17" s="17" t="s">
        <v>870</v>
      </c>
      <c r="GL17" s="17" t="s">
        <v>870</v>
      </c>
      <c r="GM17" s="17" t="s">
        <v>870</v>
      </c>
      <c r="GN17" s="17" t="s">
        <v>870</v>
      </c>
      <c r="GO17" s="17" t="s">
        <v>870</v>
      </c>
      <c r="GP17" s="17" t="s">
        <v>870</v>
      </c>
      <c r="GQ17" s="17" t="s">
        <v>870</v>
      </c>
      <c r="GR17" s="17" t="s">
        <v>870</v>
      </c>
      <c r="GS17" s="17" t="s">
        <v>870</v>
      </c>
      <c r="GT17" s="17" t="s">
        <v>870</v>
      </c>
      <c r="GU17" s="17" t="s">
        <v>870</v>
      </c>
      <c r="GV17" s="17" t="s">
        <v>870</v>
      </c>
      <c r="GW17" s="17" t="s">
        <v>870</v>
      </c>
      <c r="GX17" s="17" t="s">
        <v>870</v>
      </c>
      <c r="GY17" s="17" t="s">
        <v>870</v>
      </c>
      <c r="GZ17" s="17" t="s">
        <v>870</v>
      </c>
      <c r="HA17" s="17" t="s">
        <v>870</v>
      </c>
      <c r="HB17" s="17" t="s">
        <v>870</v>
      </c>
      <c r="HC17" s="17" t="s">
        <v>870</v>
      </c>
      <c r="HD17" s="17" t="s">
        <v>870</v>
      </c>
      <c r="HE17" s="17" t="s">
        <v>870</v>
      </c>
      <c r="HF17" s="17" t="s">
        <v>870</v>
      </c>
      <c r="HG17" s="17" t="s">
        <v>870</v>
      </c>
      <c r="HH17" s="17" t="s">
        <v>870</v>
      </c>
      <c r="HI17" s="17" t="s">
        <v>870</v>
      </c>
      <c r="HJ17" s="17" t="s">
        <v>870</v>
      </c>
      <c r="HK17" s="17" t="s">
        <v>870</v>
      </c>
      <c r="HL17" s="17" t="s">
        <v>870</v>
      </c>
      <c r="HM17" s="17" t="s">
        <v>870</v>
      </c>
      <c r="HN17" s="17" t="s">
        <v>870</v>
      </c>
      <c r="HO17" s="17" t="s">
        <v>870</v>
      </c>
      <c r="HP17" s="17" t="s">
        <v>870</v>
      </c>
      <c r="HQ17" s="17" t="s">
        <v>870</v>
      </c>
      <c r="HR17" s="17" t="s">
        <v>870</v>
      </c>
      <c r="HS17" s="17" t="s">
        <v>870</v>
      </c>
      <c r="HT17" s="17" t="s">
        <v>870</v>
      </c>
      <c r="HU17" s="17" t="s">
        <v>870</v>
      </c>
      <c r="HV17" s="17" t="s">
        <v>870</v>
      </c>
      <c r="HW17" s="17" t="s">
        <v>870</v>
      </c>
      <c r="HX17" s="17" t="s">
        <v>870</v>
      </c>
      <c r="HY17" s="17" t="s">
        <v>870</v>
      </c>
      <c r="HZ17" s="17" t="s">
        <v>870</v>
      </c>
      <c r="IA17" s="17" t="s">
        <v>870</v>
      </c>
      <c r="IB17" s="17" t="s">
        <v>870</v>
      </c>
      <c r="IC17" s="17" t="s">
        <v>870</v>
      </c>
      <c r="ID17" s="72" t="s">
        <v>1552</v>
      </c>
      <c r="IE17" s="17" t="s">
        <v>870</v>
      </c>
      <c r="IF17" s="17" t="s">
        <v>870</v>
      </c>
      <c r="IG17" s="17" t="s">
        <v>870</v>
      </c>
      <c r="IH17" s="17" t="s">
        <v>870</v>
      </c>
      <c r="II17" s="17" t="s">
        <v>870</v>
      </c>
      <c r="IJ17" s="17" t="s">
        <v>870</v>
      </c>
      <c r="IK17" s="17" t="s">
        <v>870</v>
      </c>
      <c r="IL17" s="17" t="s">
        <v>870</v>
      </c>
      <c r="IM17" s="17" t="s">
        <v>870</v>
      </c>
      <c r="IN17" s="17" t="s">
        <v>870</v>
      </c>
      <c r="IO17" s="17" t="s">
        <v>870</v>
      </c>
    </row>
    <row r="18" spans="1:249" x14ac:dyDescent="0.25">
      <c r="A18" t="s">
        <v>77</v>
      </c>
      <c r="B18" s="17" t="s">
        <v>870</v>
      </c>
      <c r="C18" s="17" t="s">
        <v>870</v>
      </c>
      <c r="D18" s="17" t="s">
        <v>870</v>
      </c>
      <c r="E18" s="17" t="s">
        <v>870</v>
      </c>
      <c r="F18" s="17" t="s">
        <v>870</v>
      </c>
      <c r="G18" s="17" t="s">
        <v>870</v>
      </c>
      <c r="H18" s="17" t="s">
        <v>870</v>
      </c>
      <c r="I18" s="17" t="s">
        <v>870</v>
      </c>
      <c r="J18" s="17" t="s">
        <v>870</v>
      </c>
      <c r="K18" s="17" t="s">
        <v>870</v>
      </c>
      <c r="L18" s="17" t="s">
        <v>870</v>
      </c>
      <c r="M18" s="17" t="s">
        <v>870</v>
      </c>
      <c r="N18" s="17" t="s">
        <v>870</v>
      </c>
      <c r="O18" s="17" t="s">
        <v>870</v>
      </c>
      <c r="P18" s="17" t="s">
        <v>870</v>
      </c>
      <c r="Q18" s="17" t="s">
        <v>870</v>
      </c>
      <c r="R18" s="17" t="s">
        <v>870</v>
      </c>
      <c r="S18" s="17" t="s">
        <v>870</v>
      </c>
      <c r="T18" s="17" t="s">
        <v>870</v>
      </c>
      <c r="U18" s="17" t="s">
        <v>870</v>
      </c>
      <c r="V18" s="17" t="s">
        <v>870</v>
      </c>
      <c r="W18" s="17" t="s">
        <v>870</v>
      </c>
      <c r="X18" s="17" t="s">
        <v>870</v>
      </c>
      <c r="Y18" s="17" t="s">
        <v>870</v>
      </c>
      <c r="Z18" s="17" t="s">
        <v>870</v>
      </c>
      <c r="AA18" s="17" t="s">
        <v>870</v>
      </c>
      <c r="AB18" s="17" t="s">
        <v>870</v>
      </c>
      <c r="AC18" s="17" t="s">
        <v>870</v>
      </c>
      <c r="AD18" s="17" t="s">
        <v>870</v>
      </c>
      <c r="AE18" s="17" t="s">
        <v>870</v>
      </c>
      <c r="AF18" s="17" t="s">
        <v>870</v>
      </c>
      <c r="AG18" s="17" t="s">
        <v>870</v>
      </c>
      <c r="AH18" s="17" t="s">
        <v>870</v>
      </c>
      <c r="AI18" s="17" t="s">
        <v>870</v>
      </c>
      <c r="AJ18" s="17" t="s">
        <v>870</v>
      </c>
      <c r="AK18" s="17" t="s">
        <v>870</v>
      </c>
      <c r="AL18" s="17" t="s">
        <v>870</v>
      </c>
      <c r="AM18" s="17" t="s">
        <v>870</v>
      </c>
      <c r="AN18" s="17" t="s">
        <v>870</v>
      </c>
      <c r="AO18" s="17" t="s">
        <v>870</v>
      </c>
      <c r="AP18" s="17" t="s">
        <v>870</v>
      </c>
      <c r="AQ18" s="17" t="s">
        <v>870</v>
      </c>
      <c r="AR18" s="17" t="s">
        <v>870</v>
      </c>
      <c r="AS18" s="17" t="s">
        <v>870</v>
      </c>
      <c r="AT18" s="63"/>
      <c r="AU18" s="61" t="s">
        <v>2</v>
      </c>
      <c r="AV18" s="62"/>
      <c r="AW18" s="62"/>
      <c r="AX18" s="61" t="s">
        <v>2</v>
      </c>
      <c r="AY18" s="61" t="s">
        <v>2</v>
      </c>
      <c r="AZ18" s="17" t="s">
        <v>870</v>
      </c>
      <c r="BA18" s="17" t="s">
        <v>870</v>
      </c>
      <c r="BB18" s="63"/>
      <c r="BC18" s="61" t="s">
        <v>2</v>
      </c>
      <c r="BD18" s="62"/>
      <c r="BE18" s="61" t="s">
        <v>2</v>
      </c>
      <c r="BF18" s="63"/>
      <c r="BG18" s="61" t="s">
        <v>2</v>
      </c>
      <c r="BH18" s="17" t="s">
        <v>870</v>
      </c>
      <c r="BI18" s="17" t="s">
        <v>870</v>
      </c>
      <c r="BJ18" s="17" t="s">
        <v>870</v>
      </c>
      <c r="BK18" s="17" t="s">
        <v>870</v>
      </c>
      <c r="BL18" s="17" t="s">
        <v>870</v>
      </c>
      <c r="BM18" s="17" t="s">
        <v>870</v>
      </c>
      <c r="BN18" s="17" t="s">
        <v>870</v>
      </c>
      <c r="BO18" s="17" t="s">
        <v>870</v>
      </c>
      <c r="BP18" s="17" t="s">
        <v>870</v>
      </c>
      <c r="BQ18" s="17" t="s">
        <v>870</v>
      </c>
      <c r="BR18" s="17" t="s">
        <v>870</v>
      </c>
      <c r="BS18" s="17" t="s">
        <v>870</v>
      </c>
      <c r="BT18" s="17" t="s">
        <v>870</v>
      </c>
      <c r="BU18" s="17" t="s">
        <v>870</v>
      </c>
      <c r="BV18" s="17" t="s">
        <v>870</v>
      </c>
      <c r="BW18" s="17" t="s">
        <v>870</v>
      </c>
      <c r="BX18" s="17" t="s">
        <v>870</v>
      </c>
      <c r="BY18" s="17" t="s">
        <v>870</v>
      </c>
      <c r="BZ18" s="17" t="s">
        <v>870</v>
      </c>
      <c r="CA18" s="17" t="s">
        <v>870</v>
      </c>
      <c r="CB18" s="17" t="s">
        <v>870</v>
      </c>
      <c r="CC18" s="17" t="s">
        <v>870</v>
      </c>
      <c r="CD18" s="61" t="s">
        <v>2</v>
      </c>
      <c r="CE18" s="61" t="s">
        <v>2</v>
      </c>
      <c r="CF18" s="17" t="s">
        <v>870</v>
      </c>
      <c r="CG18" s="17" t="s">
        <v>870</v>
      </c>
      <c r="CH18" s="17" t="s">
        <v>870</v>
      </c>
      <c r="CI18" s="17" t="s">
        <v>870</v>
      </c>
      <c r="CJ18" s="17" t="s">
        <v>870</v>
      </c>
      <c r="CK18" s="17" t="s">
        <v>870</v>
      </c>
      <c r="CL18" s="17" t="s">
        <v>870</v>
      </c>
      <c r="CM18" s="17" t="s">
        <v>870</v>
      </c>
      <c r="CN18" s="17" t="s">
        <v>870</v>
      </c>
      <c r="CO18" s="17" t="s">
        <v>870</v>
      </c>
      <c r="CP18" s="17" t="s">
        <v>870</v>
      </c>
      <c r="CQ18" s="17" t="s">
        <v>870</v>
      </c>
      <c r="CR18" s="17" t="s">
        <v>870</v>
      </c>
      <c r="CS18" s="17" t="s">
        <v>870</v>
      </c>
      <c r="CT18" s="17" t="s">
        <v>870</v>
      </c>
      <c r="CU18" s="17" t="s">
        <v>870</v>
      </c>
      <c r="CV18" s="17" t="s">
        <v>870</v>
      </c>
      <c r="CW18" s="17" t="s">
        <v>870</v>
      </c>
      <c r="CX18" s="17" t="s">
        <v>870</v>
      </c>
      <c r="CY18" s="17" t="s">
        <v>870</v>
      </c>
      <c r="CZ18" s="17" t="s">
        <v>870</v>
      </c>
      <c r="DA18" s="17" t="s">
        <v>870</v>
      </c>
      <c r="DB18" s="17" t="s">
        <v>870</v>
      </c>
      <c r="DC18" s="17" t="s">
        <v>870</v>
      </c>
      <c r="DD18" s="17" t="s">
        <v>870</v>
      </c>
      <c r="DE18" s="17" t="s">
        <v>870</v>
      </c>
      <c r="DF18" s="17" t="s">
        <v>870</v>
      </c>
      <c r="DG18" s="17" t="s">
        <v>870</v>
      </c>
      <c r="DH18" s="17" t="s">
        <v>870</v>
      </c>
      <c r="DI18" s="17" t="s">
        <v>870</v>
      </c>
      <c r="DJ18" s="17" t="s">
        <v>870</v>
      </c>
      <c r="DK18" s="17" t="s">
        <v>870</v>
      </c>
      <c r="DL18" s="17" t="s">
        <v>870</v>
      </c>
      <c r="DM18" s="17" t="s">
        <v>870</v>
      </c>
      <c r="DN18" s="17" t="s">
        <v>870</v>
      </c>
      <c r="DO18" s="17" t="s">
        <v>870</v>
      </c>
      <c r="DP18" s="17" t="s">
        <v>870</v>
      </c>
      <c r="DQ18" s="17" t="s">
        <v>870</v>
      </c>
      <c r="DR18" s="17" t="s">
        <v>870</v>
      </c>
      <c r="DS18" s="17" t="s">
        <v>870</v>
      </c>
      <c r="DT18" s="17" t="s">
        <v>870</v>
      </c>
      <c r="DU18" s="17" t="s">
        <v>870</v>
      </c>
      <c r="DV18" s="17" t="s">
        <v>870</v>
      </c>
      <c r="DW18" s="17" t="s">
        <v>870</v>
      </c>
      <c r="DX18" s="17" t="s">
        <v>870</v>
      </c>
      <c r="DY18" s="17" t="s">
        <v>870</v>
      </c>
      <c r="DZ18" s="17" t="s">
        <v>870</v>
      </c>
      <c r="EA18" s="17" t="s">
        <v>870</v>
      </c>
      <c r="EB18" s="17" t="s">
        <v>870</v>
      </c>
      <c r="EC18" s="17" t="s">
        <v>870</v>
      </c>
      <c r="ED18" s="17" t="s">
        <v>870</v>
      </c>
      <c r="EE18" s="17" t="s">
        <v>870</v>
      </c>
      <c r="EF18" s="17" t="s">
        <v>870</v>
      </c>
      <c r="EG18" s="17" t="s">
        <v>870</v>
      </c>
      <c r="EH18" s="17" t="s">
        <v>870</v>
      </c>
      <c r="EI18" s="17" t="s">
        <v>870</v>
      </c>
      <c r="EJ18" s="17" t="s">
        <v>870</v>
      </c>
      <c r="EK18" s="17" t="s">
        <v>870</v>
      </c>
      <c r="EL18" s="17" t="s">
        <v>870</v>
      </c>
      <c r="EM18" s="17" t="s">
        <v>870</v>
      </c>
      <c r="EN18" s="17" t="s">
        <v>870</v>
      </c>
      <c r="EO18" s="17" t="s">
        <v>870</v>
      </c>
      <c r="EP18" s="17" t="s">
        <v>870</v>
      </c>
      <c r="EQ18" s="17" t="s">
        <v>870</v>
      </c>
      <c r="ER18" s="17" t="s">
        <v>870</v>
      </c>
      <c r="ES18" s="17" t="s">
        <v>870</v>
      </c>
      <c r="ET18" s="17" t="s">
        <v>870</v>
      </c>
      <c r="EU18" s="17" t="s">
        <v>870</v>
      </c>
      <c r="EV18" s="17" t="s">
        <v>870</v>
      </c>
      <c r="EW18" s="17" t="s">
        <v>870</v>
      </c>
      <c r="EX18" s="17" t="s">
        <v>870</v>
      </c>
      <c r="EY18" s="17" t="s">
        <v>870</v>
      </c>
      <c r="EZ18" s="17" t="s">
        <v>870</v>
      </c>
      <c r="FA18" s="17" t="s">
        <v>870</v>
      </c>
      <c r="FB18" s="17" t="s">
        <v>870</v>
      </c>
      <c r="FC18" s="17" t="s">
        <v>870</v>
      </c>
      <c r="FD18" s="17" t="s">
        <v>870</v>
      </c>
      <c r="FE18" s="17" t="s">
        <v>870</v>
      </c>
      <c r="FF18" s="17" t="s">
        <v>870</v>
      </c>
      <c r="FG18" s="17" t="s">
        <v>870</v>
      </c>
      <c r="FH18" s="17" t="s">
        <v>870</v>
      </c>
      <c r="FI18" s="17" t="s">
        <v>870</v>
      </c>
      <c r="FJ18" s="17" t="s">
        <v>870</v>
      </c>
      <c r="FK18" s="17" t="s">
        <v>870</v>
      </c>
      <c r="FL18" s="17" t="s">
        <v>870</v>
      </c>
      <c r="FM18" s="17" t="s">
        <v>870</v>
      </c>
      <c r="FN18" s="17" t="s">
        <v>870</v>
      </c>
      <c r="FO18" s="17" t="s">
        <v>870</v>
      </c>
      <c r="FP18" s="17" t="s">
        <v>870</v>
      </c>
      <c r="FQ18" s="17" t="s">
        <v>870</v>
      </c>
      <c r="FR18" s="17" t="s">
        <v>870</v>
      </c>
      <c r="FS18" s="17" t="s">
        <v>870</v>
      </c>
      <c r="FT18" s="17" t="s">
        <v>870</v>
      </c>
      <c r="FU18" s="17" t="s">
        <v>870</v>
      </c>
      <c r="FV18" s="17" t="s">
        <v>870</v>
      </c>
      <c r="FW18" s="17" t="s">
        <v>870</v>
      </c>
      <c r="FX18" s="17" t="s">
        <v>870</v>
      </c>
      <c r="FY18" s="17" t="s">
        <v>870</v>
      </c>
      <c r="FZ18" s="17" t="s">
        <v>870</v>
      </c>
      <c r="GA18" s="17" t="s">
        <v>870</v>
      </c>
      <c r="GB18" s="17" t="s">
        <v>870</v>
      </c>
      <c r="GC18" s="17" t="s">
        <v>870</v>
      </c>
      <c r="GD18" s="17" t="s">
        <v>870</v>
      </c>
      <c r="GE18" s="17" t="s">
        <v>870</v>
      </c>
      <c r="GF18" s="17" t="s">
        <v>870</v>
      </c>
      <c r="GG18" s="17" t="s">
        <v>870</v>
      </c>
      <c r="GH18" s="17" t="s">
        <v>870</v>
      </c>
      <c r="GI18" s="17" t="s">
        <v>870</v>
      </c>
      <c r="GJ18" s="17" t="s">
        <v>870</v>
      </c>
      <c r="GK18" s="17" t="s">
        <v>870</v>
      </c>
      <c r="GL18" s="17" t="s">
        <v>870</v>
      </c>
      <c r="GM18" s="17" t="s">
        <v>870</v>
      </c>
      <c r="GN18" s="17" t="s">
        <v>870</v>
      </c>
      <c r="GO18" s="17" t="s">
        <v>870</v>
      </c>
      <c r="GP18" s="17" t="s">
        <v>870</v>
      </c>
      <c r="GQ18" s="17" t="s">
        <v>870</v>
      </c>
      <c r="GR18" s="17" t="s">
        <v>870</v>
      </c>
      <c r="GS18" s="17" t="s">
        <v>870</v>
      </c>
      <c r="GT18" s="17" t="s">
        <v>870</v>
      </c>
      <c r="GU18" s="17" t="s">
        <v>870</v>
      </c>
      <c r="GV18" s="17" t="s">
        <v>870</v>
      </c>
      <c r="GW18" s="17" t="s">
        <v>870</v>
      </c>
      <c r="GX18" s="17" t="s">
        <v>870</v>
      </c>
      <c r="GY18" s="17" t="s">
        <v>870</v>
      </c>
      <c r="GZ18" s="17" t="s">
        <v>870</v>
      </c>
      <c r="HA18" s="17" t="s">
        <v>870</v>
      </c>
      <c r="HB18" s="17" t="s">
        <v>870</v>
      </c>
      <c r="HC18" s="17" t="s">
        <v>870</v>
      </c>
      <c r="HD18" s="17" t="s">
        <v>870</v>
      </c>
      <c r="HE18" s="17" t="s">
        <v>870</v>
      </c>
      <c r="HF18" s="17" t="s">
        <v>870</v>
      </c>
      <c r="HG18" s="17" t="s">
        <v>870</v>
      </c>
      <c r="HH18" s="17" t="s">
        <v>870</v>
      </c>
      <c r="HI18" s="17" t="s">
        <v>870</v>
      </c>
      <c r="HJ18" s="17" t="s">
        <v>870</v>
      </c>
      <c r="HK18" s="17" t="s">
        <v>870</v>
      </c>
      <c r="HL18" s="17" t="s">
        <v>870</v>
      </c>
      <c r="HM18" s="17" t="s">
        <v>870</v>
      </c>
      <c r="HN18" s="17" t="s">
        <v>870</v>
      </c>
      <c r="HO18" s="17" t="s">
        <v>870</v>
      </c>
      <c r="HP18" s="17" t="s">
        <v>870</v>
      </c>
      <c r="HQ18" s="17" t="s">
        <v>870</v>
      </c>
      <c r="HR18" s="17" t="s">
        <v>870</v>
      </c>
      <c r="HS18" s="17" t="s">
        <v>870</v>
      </c>
      <c r="HT18" s="17" t="s">
        <v>870</v>
      </c>
      <c r="HU18" s="17" t="s">
        <v>870</v>
      </c>
      <c r="HV18" s="17" t="s">
        <v>870</v>
      </c>
      <c r="HW18" s="17" t="s">
        <v>870</v>
      </c>
      <c r="HX18" s="17" t="s">
        <v>870</v>
      </c>
      <c r="HY18" s="17" t="s">
        <v>870</v>
      </c>
      <c r="HZ18" s="17" t="s">
        <v>870</v>
      </c>
      <c r="IA18" s="17" t="s">
        <v>870</v>
      </c>
      <c r="IB18" s="17" t="s">
        <v>870</v>
      </c>
      <c r="IC18" s="17" t="s">
        <v>870</v>
      </c>
      <c r="ID18" s="72" t="s">
        <v>1552</v>
      </c>
      <c r="IE18" s="17" t="s">
        <v>870</v>
      </c>
      <c r="IF18" s="17" t="s">
        <v>870</v>
      </c>
      <c r="IG18" s="17" t="s">
        <v>870</v>
      </c>
      <c r="IH18" s="17" t="s">
        <v>870</v>
      </c>
      <c r="II18" s="17" t="s">
        <v>870</v>
      </c>
      <c r="IJ18" s="17" t="s">
        <v>870</v>
      </c>
      <c r="IK18" s="17" t="s">
        <v>870</v>
      </c>
      <c r="IL18" s="17" t="s">
        <v>870</v>
      </c>
      <c r="IM18" s="17" t="s">
        <v>870</v>
      </c>
      <c r="IN18" s="17" t="s">
        <v>870</v>
      </c>
      <c r="IO18" s="17" t="s">
        <v>870</v>
      </c>
    </row>
    <row r="19" spans="1:249" x14ac:dyDescent="0.25">
      <c r="A19" t="s">
        <v>232</v>
      </c>
      <c r="B19" s="17" t="s">
        <v>870</v>
      </c>
      <c r="C19" s="17" t="s">
        <v>870</v>
      </c>
      <c r="D19" s="17" t="s">
        <v>870</v>
      </c>
      <c r="E19" s="17" t="s">
        <v>870</v>
      </c>
      <c r="F19" s="17" t="s">
        <v>870</v>
      </c>
      <c r="G19" s="17" t="s">
        <v>870</v>
      </c>
      <c r="H19" s="17" t="s">
        <v>870</v>
      </c>
      <c r="I19" s="17" t="s">
        <v>870</v>
      </c>
      <c r="J19" s="17" t="s">
        <v>870</v>
      </c>
      <c r="K19" s="17" t="s">
        <v>870</v>
      </c>
      <c r="L19" s="17" t="s">
        <v>870</v>
      </c>
      <c r="M19" s="17" t="s">
        <v>870</v>
      </c>
      <c r="N19" s="17" t="s">
        <v>870</v>
      </c>
      <c r="O19" s="17" t="s">
        <v>870</v>
      </c>
      <c r="P19" s="17" t="s">
        <v>870</v>
      </c>
      <c r="Q19" s="17" t="s">
        <v>870</v>
      </c>
      <c r="R19" s="17" t="s">
        <v>870</v>
      </c>
      <c r="S19" s="17" t="s">
        <v>870</v>
      </c>
      <c r="T19" s="17" t="s">
        <v>870</v>
      </c>
      <c r="U19" s="17" t="s">
        <v>870</v>
      </c>
      <c r="V19" s="17" t="s">
        <v>870</v>
      </c>
      <c r="W19" s="17" t="s">
        <v>870</v>
      </c>
      <c r="X19" s="17" t="s">
        <v>870</v>
      </c>
      <c r="Y19" s="17" t="s">
        <v>870</v>
      </c>
      <c r="Z19" s="17" t="s">
        <v>870</v>
      </c>
      <c r="AA19" s="17" t="s">
        <v>870</v>
      </c>
      <c r="AB19" s="17" t="s">
        <v>870</v>
      </c>
      <c r="AC19" s="17" t="s">
        <v>870</v>
      </c>
      <c r="AD19" s="17" t="s">
        <v>870</v>
      </c>
      <c r="AE19" s="17" t="s">
        <v>870</v>
      </c>
      <c r="AF19" s="17" t="s">
        <v>870</v>
      </c>
      <c r="AG19" s="17" t="s">
        <v>870</v>
      </c>
      <c r="AH19" s="17" t="s">
        <v>870</v>
      </c>
      <c r="AI19" s="17" t="s">
        <v>870</v>
      </c>
      <c r="AJ19" s="17" t="s">
        <v>870</v>
      </c>
      <c r="AK19" s="17" t="s">
        <v>870</v>
      </c>
      <c r="AL19" s="17" t="s">
        <v>870</v>
      </c>
      <c r="AM19" s="17" t="s">
        <v>870</v>
      </c>
      <c r="AN19" s="17" t="s">
        <v>870</v>
      </c>
      <c r="AO19" s="17" t="s">
        <v>870</v>
      </c>
      <c r="AP19" s="17" t="s">
        <v>870</v>
      </c>
      <c r="AQ19" s="17" t="s">
        <v>870</v>
      </c>
      <c r="AR19" s="17" t="s">
        <v>870</v>
      </c>
      <c r="AS19" s="17" t="s">
        <v>870</v>
      </c>
      <c r="AT19" s="17" t="s">
        <v>870</v>
      </c>
      <c r="AU19" s="17" t="s">
        <v>870</v>
      </c>
      <c r="AV19" s="17" t="s">
        <v>870</v>
      </c>
      <c r="AW19" s="17" t="s">
        <v>870</v>
      </c>
      <c r="AX19" s="17" t="s">
        <v>870</v>
      </c>
      <c r="AY19" s="17" t="s">
        <v>870</v>
      </c>
      <c r="AZ19" s="17" t="s">
        <v>870</v>
      </c>
      <c r="BA19" s="17" t="s">
        <v>870</v>
      </c>
      <c r="BB19" s="17" t="s">
        <v>870</v>
      </c>
      <c r="BC19" s="17" t="s">
        <v>870</v>
      </c>
      <c r="BD19" s="17" t="s">
        <v>870</v>
      </c>
      <c r="BE19" s="17" t="s">
        <v>870</v>
      </c>
      <c r="BF19" s="17" t="s">
        <v>870</v>
      </c>
      <c r="BG19" s="17" t="s">
        <v>870</v>
      </c>
      <c r="BH19" s="17" t="s">
        <v>870</v>
      </c>
      <c r="BI19" s="17" t="s">
        <v>870</v>
      </c>
      <c r="BJ19" s="17" t="s">
        <v>870</v>
      </c>
      <c r="BK19" s="17" t="s">
        <v>870</v>
      </c>
      <c r="BL19" s="17" t="s">
        <v>870</v>
      </c>
      <c r="BM19" s="17" t="s">
        <v>870</v>
      </c>
      <c r="BN19" s="17" t="s">
        <v>870</v>
      </c>
      <c r="BO19" s="17" t="s">
        <v>870</v>
      </c>
      <c r="BP19" s="17" t="s">
        <v>870</v>
      </c>
      <c r="BQ19" s="17" t="s">
        <v>870</v>
      </c>
      <c r="BR19" s="17" t="s">
        <v>870</v>
      </c>
      <c r="BS19" s="17" t="s">
        <v>870</v>
      </c>
      <c r="BT19" s="17" t="s">
        <v>870</v>
      </c>
      <c r="BU19" s="17" t="s">
        <v>870</v>
      </c>
      <c r="BV19" s="17" t="s">
        <v>870</v>
      </c>
      <c r="BW19" s="17" t="s">
        <v>870</v>
      </c>
      <c r="BX19" s="17" t="s">
        <v>870</v>
      </c>
      <c r="BY19" s="17" t="s">
        <v>870</v>
      </c>
      <c r="BZ19" s="17" t="s">
        <v>870</v>
      </c>
      <c r="CA19" s="17" t="s">
        <v>870</v>
      </c>
      <c r="CB19" s="17" t="s">
        <v>870</v>
      </c>
      <c r="CC19" s="17" t="s">
        <v>870</v>
      </c>
      <c r="CD19" s="17" t="s">
        <v>870</v>
      </c>
      <c r="CE19" s="17" t="s">
        <v>870</v>
      </c>
      <c r="CF19" s="63"/>
      <c r="CG19" s="61" t="s">
        <v>2</v>
      </c>
      <c r="CH19" s="61" t="s">
        <v>2</v>
      </c>
      <c r="CI19" s="63"/>
      <c r="CJ19" s="63"/>
      <c r="CK19" s="63"/>
      <c r="CL19" s="63"/>
      <c r="CM19" s="63"/>
      <c r="CN19" s="62"/>
      <c r="CO19" s="63"/>
      <c r="CP19" s="61" t="s">
        <v>2</v>
      </c>
      <c r="CQ19" s="63"/>
      <c r="CR19" s="63"/>
      <c r="CS19" s="63"/>
      <c r="CT19" s="62"/>
      <c r="CU19" s="63"/>
      <c r="CV19" s="63"/>
      <c r="CW19" s="63"/>
      <c r="CX19" s="17" t="s">
        <v>870</v>
      </c>
      <c r="CY19" s="17" t="s">
        <v>870</v>
      </c>
      <c r="CZ19" s="62"/>
      <c r="DA19" s="63"/>
      <c r="DB19" s="63"/>
      <c r="DC19" s="63"/>
      <c r="DD19" s="63"/>
      <c r="DE19" s="17" t="s">
        <v>870</v>
      </c>
      <c r="DF19" s="61" t="s">
        <v>2</v>
      </c>
      <c r="DG19" s="63"/>
      <c r="DH19" s="17" t="s">
        <v>870</v>
      </c>
      <c r="DI19" s="17" t="s">
        <v>870</v>
      </c>
      <c r="DJ19" s="63"/>
      <c r="DK19" s="63"/>
      <c r="DL19" s="63"/>
      <c r="DM19" s="63"/>
      <c r="DN19" s="63"/>
      <c r="DO19" s="63"/>
      <c r="DP19" s="63"/>
      <c r="DQ19" s="63"/>
      <c r="DR19" s="63"/>
      <c r="DS19" s="62"/>
      <c r="DT19" s="63"/>
      <c r="DU19" s="63"/>
      <c r="DV19" s="61" t="s">
        <v>2</v>
      </c>
      <c r="DW19" s="63"/>
      <c r="DX19" s="61" t="s">
        <v>2</v>
      </c>
      <c r="DY19" s="63"/>
      <c r="DZ19" s="63"/>
      <c r="EA19" s="63"/>
      <c r="EB19" s="62"/>
      <c r="EC19" s="63"/>
      <c r="ED19" s="63"/>
      <c r="EE19" s="61" t="s">
        <v>2</v>
      </c>
      <c r="EF19" s="17" t="s">
        <v>870</v>
      </c>
      <c r="EG19" s="17" t="s">
        <v>870</v>
      </c>
      <c r="EH19" s="63"/>
      <c r="EI19" s="62"/>
      <c r="EJ19" s="17" t="s">
        <v>870</v>
      </c>
      <c r="EK19" s="17" t="s">
        <v>870</v>
      </c>
      <c r="EL19" s="17" t="s">
        <v>870</v>
      </c>
      <c r="EM19" s="17" t="s">
        <v>870</v>
      </c>
      <c r="EN19" s="63"/>
      <c r="EO19" s="61" t="s">
        <v>2</v>
      </c>
      <c r="EP19" s="63"/>
      <c r="EQ19" s="63"/>
      <c r="ER19" s="63"/>
      <c r="ES19" s="63"/>
      <c r="ET19" s="63"/>
      <c r="EU19" s="63"/>
      <c r="EV19" s="63"/>
      <c r="EW19" s="62"/>
      <c r="EX19" s="63"/>
      <c r="EY19" s="61" t="s">
        <v>2</v>
      </c>
      <c r="EZ19" s="62"/>
      <c r="FA19" s="63"/>
      <c r="FB19" s="63"/>
      <c r="FC19" s="63"/>
      <c r="FD19" s="17" t="s">
        <v>870</v>
      </c>
      <c r="FE19" s="17" t="s">
        <v>870</v>
      </c>
      <c r="FF19" s="17" t="s">
        <v>870</v>
      </c>
      <c r="FG19" s="17" t="s">
        <v>870</v>
      </c>
      <c r="FH19" s="17" t="s">
        <v>870</v>
      </c>
      <c r="FI19" s="17" t="s">
        <v>870</v>
      </c>
      <c r="FJ19" s="63"/>
      <c r="FK19" s="63"/>
      <c r="FL19" s="63"/>
      <c r="FM19" s="63"/>
      <c r="FN19" s="63"/>
      <c r="FO19" s="63"/>
      <c r="FP19" s="17" t="s">
        <v>870</v>
      </c>
      <c r="FQ19" s="17" t="s">
        <v>870</v>
      </c>
      <c r="FR19" s="62"/>
      <c r="FS19" s="63"/>
      <c r="FT19" s="61" t="s">
        <v>2</v>
      </c>
      <c r="FU19" s="63"/>
      <c r="FV19" s="63"/>
      <c r="FW19" s="61" t="s">
        <v>2</v>
      </c>
      <c r="FX19" s="63"/>
      <c r="FY19" s="63"/>
      <c r="FZ19" s="63"/>
      <c r="GA19" s="62"/>
      <c r="GB19" s="63"/>
      <c r="GC19" s="17" t="s">
        <v>870</v>
      </c>
      <c r="GD19" s="17" t="s">
        <v>870</v>
      </c>
      <c r="GE19" s="17" t="s">
        <v>870</v>
      </c>
      <c r="GF19" s="63"/>
      <c r="GG19" s="63"/>
      <c r="GH19" s="63"/>
      <c r="GI19" s="63"/>
      <c r="GJ19" s="63"/>
      <c r="GK19" s="63"/>
      <c r="GL19" s="63"/>
      <c r="GM19" s="63"/>
      <c r="GN19" s="63"/>
      <c r="GO19" s="61" t="s">
        <v>2</v>
      </c>
      <c r="GP19" s="63"/>
      <c r="GQ19" s="63"/>
      <c r="GR19" s="63"/>
      <c r="GS19" s="63"/>
      <c r="GT19" s="62"/>
      <c r="GU19" s="62"/>
      <c r="GV19" s="17" t="s">
        <v>870</v>
      </c>
      <c r="GW19" s="17" t="s">
        <v>870</v>
      </c>
      <c r="GX19" s="17" t="s">
        <v>870</v>
      </c>
      <c r="GY19" s="17" t="s">
        <v>870</v>
      </c>
      <c r="GZ19" s="17" t="s">
        <v>870</v>
      </c>
      <c r="HA19" s="17" t="s">
        <v>870</v>
      </c>
      <c r="HB19" s="17" t="s">
        <v>870</v>
      </c>
      <c r="HC19" s="17" t="s">
        <v>870</v>
      </c>
      <c r="HD19" s="17" t="s">
        <v>870</v>
      </c>
      <c r="HE19" s="17" t="s">
        <v>870</v>
      </c>
      <c r="HF19" s="17" t="s">
        <v>870</v>
      </c>
      <c r="HG19" s="17" t="s">
        <v>870</v>
      </c>
      <c r="HH19" s="17" t="s">
        <v>870</v>
      </c>
      <c r="HI19" s="17" t="s">
        <v>870</v>
      </c>
      <c r="HJ19" s="61" t="s">
        <v>2</v>
      </c>
      <c r="HK19" s="61" t="s">
        <v>2</v>
      </c>
      <c r="HL19" s="62"/>
      <c r="HM19" s="61" t="s">
        <v>2</v>
      </c>
      <c r="HN19" s="63"/>
      <c r="HO19" s="63"/>
      <c r="HP19" s="17" t="s">
        <v>870</v>
      </c>
      <c r="HQ19" s="17" t="s">
        <v>870</v>
      </c>
      <c r="HR19" s="61" t="s">
        <v>2</v>
      </c>
      <c r="HS19" s="62"/>
      <c r="HT19" s="63"/>
      <c r="HU19" s="63"/>
      <c r="HV19" s="61" t="s">
        <v>2</v>
      </c>
      <c r="HW19" s="63"/>
      <c r="HX19" s="17" t="s">
        <v>870</v>
      </c>
      <c r="HY19" s="17" t="s">
        <v>870</v>
      </c>
      <c r="HZ19" s="61" t="s">
        <v>2</v>
      </c>
      <c r="IA19" s="63"/>
      <c r="IB19" s="17" t="s">
        <v>870</v>
      </c>
      <c r="IC19" s="17" t="s">
        <v>870</v>
      </c>
      <c r="ID19" s="72" t="s">
        <v>1552</v>
      </c>
      <c r="IE19" s="61" t="s">
        <v>2</v>
      </c>
      <c r="IF19" s="63"/>
      <c r="IG19" s="17" t="s">
        <v>870</v>
      </c>
      <c r="IH19" s="62"/>
      <c r="II19" s="63"/>
      <c r="IJ19" s="63"/>
      <c r="IK19" s="63"/>
      <c r="IL19" s="17" t="s">
        <v>870</v>
      </c>
      <c r="IM19" s="17" t="s">
        <v>870</v>
      </c>
      <c r="IN19" s="17" t="s">
        <v>870</v>
      </c>
      <c r="IO19" s="17" t="s">
        <v>870</v>
      </c>
    </row>
    <row r="20" spans="1:249" x14ac:dyDescent="0.25">
      <c r="A20" t="s">
        <v>225</v>
      </c>
      <c r="B20" s="17" t="s">
        <v>870</v>
      </c>
      <c r="C20" s="17" t="s">
        <v>870</v>
      </c>
      <c r="D20" s="17" t="s">
        <v>870</v>
      </c>
      <c r="E20" s="17" t="s">
        <v>870</v>
      </c>
      <c r="F20" s="17" t="s">
        <v>870</v>
      </c>
      <c r="G20" s="17" t="s">
        <v>870</v>
      </c>
      <c r="H20" s="17" t="s">
        <v>870</v>
      </c>
      <c r="I20" s="17" t="s">
        <v>870</v>
      </c>
      <c r="J20" s="17" t="s">
        <v>870</v>
      </c>
      <c r="K20" s="17" t="s">
        <v>870</v>
      </c>
      <c r="L20" s="17" t="s">
        <v>870</v>
      </c>
      <c r="M20" s="17" t="s">
        <v>870</v>
      </c>
      <c r="N20" s="17" t="s">
        <v>870</v>
      </c>
      <c r="O20" s="17" t="s">
        <v>870</v>
      </c>
      <c r="P20" s="17" t="s">
        <v>870</v>
      </c>
      <c r="Q20" s="17" t="s">
        <v>870</v>
      </c>
      <c r="R20" s="17" t="s">
        <v>870</v>
      </c>
      <c r="S20" s="17" t="s">
        <v>870</v>
      </c>
      <c r="T20" s="17" t="s">
        <v>870</v>
      </c>
      <c r="U20" s="17" t="s">
        <v>870</v>
      </c>
      <c r="V20" s="17" t="s">
        <v>870</v>
      </c>
      <c r="W20" s="17" t="s">
        <v>870</v>
      </c>
      <c r="X20" s="17" t="s">
        <v>870</v>
      </c>
      <c r="Y20" s="17" t="s">
        <v>870</v>
      </c>
      <c r="Z20" s="17" t="s">
        <v>870</v>
      </c>
      <c r="AA20" s="17" t="s">
        <v>870</v>
      </c>
      <c r="AB20" s="17" t="s">
        <v>870</v>
      </c>
      <c r="AC20" s="17" t="s">
        <v>870</v>
      </c>
      <c r="AD20" s="17" t="s">
        <v>870</v>
      </c>
      <c r="AE20" s="17" t="s">
        <v>870</v>
      </c>
      <c r="AF20" s="17" t="s">
        <v>870</v>
      </c>
      <c r="AG20" s="17" t="s">
        <v>870</v>
      </c>
      <c r="AH20" s="17" t="s">
        <v>870</v>
      </c>
      <c r="AI20" s="17" t="s">
        <v>870</v>
      </c>
      <c r="AJ20" s="17" t="s">
        <v>870</v>
      </c>
      <c r="AK20" s="17" t="s">
        <v>870</v>
      </c>
      <c r="AL20" s="17" t="s">
        <v>870</v>
      </c>
      <c r="AM20" s="17" t="s">
        <v>870</v>
      </c>
      <c r="AN20" s="17" t="s">
        <v>870</v>
      </c>
      <c r="AO20" s="17" t="s">
        <v>870</v>
      </c>
      <c r="AP20" s="17" t="s">
        <v>870</v>
      </c>
      <c r="AQ20" s="17" t="s">
        <v>870</v>
      </c>
      <c r="AR20" s="17" t="s">
        <v>870</v>
      </c>
      <c r="AS20" s="17" t="s">
        <v>870</v>
      </c>
      <c r="AT20" s="17" t="s">
        <v>870</v>
      </c>
      <c r="AU20" s="17" t="s">
        <v>870</v>
      </c>
      <c r="AV20" s="17" t="s">
        <v>870</v>
      </c>
      <c r="AW20" s="17" t="s">
        <v>870</v>
      </c>
      <c r="AX20" s="17" t="s">
        <v>870</v>
      </c>
      <c r="AY20" s="17" t="s">
        <v>870</v>
      </c>
      <c r="AZ20" s="17" t="s">
        <v>870</v>
      </c>
      <c r="BA20" s="17" t="s">
        <v>870</v>
      </c>
      <c r="BB20" s="17" t="s">
        <v>870</v>
      </c>
      <c r="BC20" s="17" t="s">
        <v>870</v>
      </c>
      <c r="BD20" s="17" t="s">
        <v>870</v>
      </c>
      <c r="BE20" s="17" t="s">
        <v>870</v>
      </c>
      <c r="BF20" s="17" t="s">
        <v>870</v>
      </c>
      <c r="BG20" s="17" t="s">
        <v>870</v>
      </c>
      <c r="BH20" s="17" t="s">
        <v>870</v>
      </c>
      <c r="BI20" s="17" t="s">
        <v>870</v>
      </c>
      <c r="BJ20" s="17" t="s">
        <v>870</v>
      </c>
      <c r="BK20" s="17" t="s">
        <v>870</v>
      </c>
      <c r="BL20" s="17" t="s">
        <v>870</v>
      </c>
      <c r="BM20" s="17" t="s">
        <v>870</v>
      </c>
      <c r="BN20" s="17" t="s">
        <v>870</v>
      </c>
      <c r="BO20" s="17" t="s">
        <v>870</v>
      </c>
      <c r="BP20" s="17" t="s">
        <v>870</v>
      </c>
      <c r="BQ20" s="17" t="s">
        <v>870</v>
      </c>
      <c r="BR20" s="17" t="s">
        <v>870</v>
      </c>
      <c r="BS20" s="17" t="s">
        <v>870</v>
      </c>
      <c r="BT20" s="17" t="s">
        <v>870</v>
      </c>
      <c r="BU20" s="17" t="s">
        <v>870</v>
      </c>
      <c r="BV20" s="17" t="s">
        <v>870</v>
      </c>
      <c r="BW20" s="17" t="s">
        <v>870</v>
      </c>
      <c r="BX20" s="17" t="s">
        <v>870</v>
      </c>
      <c r="BY20" s="17" t="s">
        <v>870</v>
      </c>
      <c r="BZ20" s="17" t="s">
        <v>870</v>
      </c>
      <c r="CA20" s="17" t="s">
        <v>870</v>
      </c>
      <c r="CB20" s="63"/>
      <c r="CC20" s="62"/>
      <c r="CD20" s="63"/>
      <c r="CE20" s="63"/>
      <c r="CF20" s="61" t="s">
        <v>2</v>
      </c>
      <c r="CG20" s="63"/>
      <c r="CH20" s="61" t="s">
        <v>2</v>
      </c>
      <c r="CI20" s="63"/>
      <c r="CJ20" s="63"/>
      <c r="CK20" s="63"/>
      <c r="CL20" s="61" t="s">
        <v>2</v>
      </c>
      <c r="CM20" s="63"/>
      <c r="CN20" s="62"/>
      <c r="CO20" s="61" t="s">
        <v>2</v>
      </c>
      <c r="CP20" s="63"/>
      <c r="CQ20" s="63"/>
      <c r="CR20" s="17" t="s">
        <v>870</v>
      </c>
      <c r="CS20" s="17" t="s">
        <v>870</v>
      </c>
      <c r="CT20" s="17" t="s">
        <v>870</v>
      </c>
      <c r="CU20" s="17" t="s">
        <v>870</v>
      </c>
      <c r="CV20" s="62"/>
      <c r="CW20" s="61" t="s">
        <v>2</v>
      </c>
      <c r="CX20" s="17" t="s">
        <v>870</v>
      </c>
      <c r="CY20" s="17" t="s">
        <v>870</v>
      </c>
      <c r="CZ20" s="17" t="s">
        <v>870</v>
      </c>
      <c r="DA20" s="17" t="s">
        <v>870</v>
      </c>
      <c r="DB20" s="17" t="s">
        <v>870</v>
      </c>
      <c r="DC20" s="17" t="s">
        <v>870</v>
      </c>
      <c r="DD20" s="63"/>
      <c r="DE20" s="63"/>
      <c r="DF20" s="61" t="s">
        <v>2</v>
      </c>
      <c r="DG20" s="63"/>
      <c r="DH20" s="61" t="s">
        <v>2</v>
      </c>
      <c r="DI20" s="63"/>
      <c r="DJ20" s="17" t="s">
        <v>870</v>
      </c>
      <c r="DK20" s="17" t="s">
        <v>870</v>
      </c>
      <c r="DL20" s="62"/>
      <c r="DM20" s="63"/>
      <c r="DN20" s="63"/>
      <c r="DO20" s="63"/>
      <c r="DP20" s="17" t="s">
        <v>870</v>
      </c>
      <c r="DQ20" s="17" t="s">
        <v>870</v>
      </c>
      <c r="DR20" s="17" t="s">
        <v>870</v>
      </c>
      <c r="DS20" s="17" t="s">
        <v>870</v>
      </c>
      <c r="DT20" s="17" t="s">
        <v>870</v>
      </c>
      <c r="DU20" s="17" t="s">
        <v>870</v>
      </c>
      <c r="DV20" s="17" t="s">
        <v>870</v>
      </c>
      <c r="DW20" s="17" t="s">
        <v>870</v>
      </c>
      <c r="DX20" s="17" t="s">
        <v>870</v>
      </c>
      <c r="DY20" s="17" t="s">
        <v>870</v>
      </c>
      <c r="DZ20" s="17" t="s">
        <v>870</v>
      </c>
      <c r="EA20" s="17" t="s">
        <v>870</v>
      </c>
      <c r="EB20" s="17" t="s">
        <v>870</v>
      </c>
      <c r="EC20" s="17" t="s">
        <v>870</v>
      </c>
      <c r="ED20" s="17" t="s">
        <v>870</v>
      </c>
      <c r="EE20" s="17" t="s">
        <v>870</v>
      </c>
      <c r="EF20" s="17" t="s">
        <v>870</v>
      </c>
      <c r="EG20" s="17" t="s">
        <v>870</v>
      </c>
      <c r="EH20" s="61" t="s">
        <v>2</v>
      </c>
      <c r="EI20" s="63"/>
      <c r="EJ20" s="17" t="s">
        <v>870</v>
      </c>
      <c r="EK20" s="17" t="s">
        <v>870</v>
      </c>
      <c r="EL20" s="17" t="s">
        <v>870</v>
      </c>
      <c r="EM20" s="17" t="s">
        <v>870</v>
      </c>
      <c r="EN20" s="17" t="s">
        <v>870</v>
      </c>
      <c r="EO20" s="17" t="s">
        <v>870</v>
      </c>
      <c r="EP20" s="63"/>
      <c r="EQ20" s="61" t="s">
        <v>2</v>
      </c>
      <c r="ER20" s="17" t="s">
        <v>870</v>
      </c>
      <c r="ES20" s="17" t="s">
        <v>870</v>
      </c>
      <c r="ET20" s="17" t="s">
        <v>870</v>
      </c>
      <c r="EU20" s="17" t="s">
        <v>870</v>
      </c>
      <c r="EV20" s="17" t="s">
        <v>870</v>
      </c>
      <c r="EW20" s="17" t="s">
        <v>870</v>
      </c>
      <c r="EX20" s="17" t="s">
        <v>870</v>
      </c>
      <c r="EY20" s="17" t="s">
        <v>870</v>
      </c>
      <c r="EZ20" s="17" t="s">
        <v>870</v>
      </c>
      <c r="FA20" s="17" t="s">
        <v>870</v>
      </c>
      <c r="FB20" s="17" t="s">
        <v>870</v>
      </c>
      <c r="FC20" s="17" t="s">
        <v>870</v>
      </c>
      <c r="FD20" s="63"/>
      <c r="FE20" s="62"/>
      <c r="FF20" s="17" t="s">
        <v>870</v>
      </c>
      <c r="FG20" s="17" t="s">
        <v>870</v>
      </c>
      <c r="FH20" s="17" t="s">
        <v>870</v>
      </c>
      <c r="FI20" s="63"/>
      <c r="FJ20" s="17" t="s">
        <v>870</v>
      </c>
      <c r="FK20" s="17" t="s">
        <v>870</v>
      </c>
      <c r="FL20" s="17" t="s">
        <v>870</v>
      </c>
      <c r="FM20" s="63"/>
      <c r="FN20" s="17" t="s">
        <v>870</v>
      </c>
      <c r="FO20" s="17" t="s">
        <v>870</v>
      </c>
      <c r="FP20" s="17" t="s">
        <v>870</v>
      </c>
      <c r="FQ20" s="17" t="s">
        <v>870</v>
      </c>
      <c r="FR20" s="17" t="s">
        <v>870</v>
      </c>
      <c r="FS20" s="17" t="s">
        <v>870</v>
      </c>
      <c r="FT20" s="17" t="s">
        <v>870</v>
      </c>
      <c r="FU20" s="17" t="s">
        <v>870</v>
      </c>
      <c r="FV20" s="61" t="s">
        <v>2</v>
      </c>
      <c r="FW20" s="63"/>
      <c r="FX20" s="17" t="s">
        <v>870</v>
      </c>
      <c r="FY20" s="17" t="s">
        <v>870</v>
      </c>
      <c r="FZ20" s="62"/>
      <c r="GA20" s="61" t="s">
        <v>2</v>
      </c>
      <c r="GB20" s="17" t="s">
        <v>870</v>
      </c>
      <c r="GC20" s="63"/>
      <c r="GD20" s="61" t="s">
        <v>2</v>
      </c>
      <c r="GE20" s="17" t="s">
        <v>870</v>
      </c>
      <c r="GF20" s="62"/>
      <c r="GG20" s="17" t="s">
        <v>870</v>
      </c>
      <c r="GH20" s="17" t="s">
        <v>870</v>
      </c>
      <c r="GI20" s="17" t="s">
        <v>870</v>
      </c>
      <c r="GJ20" s="63"/>
      <c r="GK20" s="63"/>
      <c r="GL20" s="17" t="s">
        <v>870</v>
      </c>
      <c r="GM20" s="17" t="s">
        <v>870</v>
      </c>
      <c r="GN20" s="62"/>
      <c r="GO20" s="62"/>
      <c r="GP20" s="17" t="s">
        <v>870</v>
      </c>
      <c r="GQ20" s="17" t="s">
        <v>870</v>
      </c>
      <c r="GR20" s="63"/>
      <c r="GS20" s="63"/>
      <c r="GT20" s="17" t="s">
        <v>870</v>
      </c>
      <c r="GU20" s="17" t="s">
        <v>870</v>
      </c>
      <c r="GV20" s="17" t="s">
        <v>870</v>
      </c>
      <c r="GW20" s="17" t="s">
        <v>870</v>
      </c>
      <c r="GX20" s="62"/>
      <c r="GY20" s="63"/>
      <c r="GZ20" s="17" t="s">
        <v>870</v>
      </c>
      <c r="HA20" s="17" t="s">
        <v>870</v>
      </c>
      <c r="HB20" s="17" t="s">
        <v>870</v>
      </c>
      <c r="HC20" s="17" t="s">
        <v>870</v>
      </c>
      <c r="HD20" s="17" t="s">
        <v>870</v>
      </c>
      <c r="HE20" s="17" t="s">
        <v>870</v>
      </c>
      <c r="HF20" s="17" t="s">
        <v>870</v>
      </c>
      <c r="HG20" s="17" t="s">
        <v>870</v>
      </c>
      <c r="HH20" s="17" t="s">
        <v>870</v>
      </c>
      <c r="HI20" s="17" t="s">
        <v>870</v>
      </c>
      <c r="HJ20" s="63"/>
      <c r="HK20" s="63"/>
      <c r="HL20" s="17" t="s">
        <v>870</v>
      </c>
      <c r="HM20" s="17" t="s">
        <v>870</v>
      </c>
      <c r="HN20" s="17" t="s">
        <v>870</v>
      </c>
      <c r="HO20" s="17" t="s">
        <v>870</v>
      </c>
      <c r="HP20" s="17" t="s">
        <v>870</v>
      </c>
      <c r="HQ20" s="17" t="s">
        <v>870</v>
      </c>
      <c r="HR20" s="17" t="s">
        <v>870</v>
      </c>
      <c r="HS20" s="17" t="s">
        <v>870</v>
      </c>
      <c r="HT20" s="61" t="s">
        <v>2</v>
      </c>
      <c r="HU20" s="63"/>
      <c r="HV20" s="17" t="s">
        <v>870</v>
      </c>
      <c r="HW20" s="17" t="s">
        <v>870</v>
      </c>
      <c r="HX20" s="17" t="s">
        <v>870</v>
      </c>
      <c r="HY20" s="17" t="s">
        <v>870</v>
      </c>
      <c r="HZ20" s="17" t="s">
        <v>870</v>
      </c>
      <c r="IA20" s="17" t="s">
        <v>870</v>
      </c>
      <c r="IB20" s="17" t="s">
        <v>870</v>
      </c>
      <c r="IC20" s="17" t="s">
        <v>870</v>
      </c>
      <c r="ID20" s="72" t="s">
        <v>1552</v>
      </c>
      <c r="IE20" s="17" t="s">
        <v>870</v>
      </c>
      <c r="IF20" s="17" t="s">
        <v>870</v>
      </c>
      <c r="IG20" s="62"/>
      <c r="IH20" s="17" t="s">
        <v>870</v>
      </c>
      <c r="II20" s="17" t="s">
        <v>870</v>
      </c>
      <c r="IJ20" s="17" t="s">
        <v>870</v>
      </c>
      <c r="IK20" s="17" t="s">
        <v>870</v>
      </c>
      <c r="IL20" s="17" t="s">
        <v>870</v>
      </c>
      <c r="IM20" s="17" t="s">
        <v>870</v>
      </c>
      <c r="IN20" s="17" t="s">
        <v>870</v>
      </c>
      <c r="IO20" s="17" t="s">
        <v>870</v>
      </c>
    </row>
    <row r="21" spans="1:249" x14ac:dyDescent="0.25">
      <c r="A21" t="s">
        <v>227</v>
      </c>
      <c r="B21" s="17" t="s">
        <v>870</v>
      </c>
      <c r="C21" s="17" t="s">
        <v>870</v>
      </c>
      <c r="D21" s="17" t="s">
        <v>870</v>
      </c>
      <c r="E21" s="17" t="s">
        <v>870</v>
      </c>
      <c r="F21" s="17" t="s">
        <v>870</v>
      </c>
      <c r="G21" s="17" t="s">
        <v>870</v>
      </c>
      <c r="H21" s="17" t="s">
        <v>870</v>
      </c>
      <c r="I21" s="17" t="s">
        <v>870</v>
      </c>
      <c r="J21" s="17" t="s">
        <v>870</v>
      </c>
      <c r="K21" s="17" t="s">
        <v>870</v>
      </c>
      <c r="L21" s="17" t="s">
        <v>870</v>
      </c>
      <c r="M21" s="17" t="s">
        <v>870</v>
      </c>
      <c r="N21" s="17" t="s">
        <v>870</v>
      </c>
      <c r="O21" s="17" t="s">
        <v>870</v>
      </c>
      <c r="P21" s="17" t="s">
        <v>870</v>
      </c>
      <c r="Q21" s="17" t="s">
        <v>870</v>
      </c>
      <c r="R21" s="17" t="s">
        <v>870</v>
      </c>
      <c r="S21" s="17" t="s">
        <v>870</v>
      </c>
      <c r="T21" s="17" t="s">
        <v>870</v>
      </c>
      <c r="U21" s="17" t="s">
        <v>870</v>
      </c>
      <c r="V21" s="17" t="s">
        <v>870</v>
      </c>
      <c r="W21" s="17" t="s">
        <v>870</v>
      </c>
      <c r="X21" s="17" t="s">
        <v>870</v>
      </c>
      <c r="Y21" s="17" t="s">
        <v>870</v>
      </c>
      <c r="Z21" s="17" t="s">
        <v>870</v>
      </c>
      <c r="AA21" s="17" t="s">
        <v>870</v>
      </c>
      <c r="AB21" s="17" t="s">
        <v>870</v>
      </c>
      <c r="AC21" s="17" t="s">
        <v>870</v>
      </c>
      <c r="AD21" s="17" t="s">
        <v>870</v>
      </c>
      <c r="AE21" s="17" t="s">
        <v>870</v>
      </c>
      <c r="AF21" s="17" t="s">
        <v>870</v>
      </c>
      <c r="AG21" s="17" t="s">
        <v>870</v>
      </c>
      <c r="AH21" s="17" t="s">
        <v>870</v>
      </c>
      <c r="AI21" s="17" t="s">
        <v>870</v>
      </c>
      <c r="AJ21" s="17" t="s">
        <v>870</v>
      </c>
      <c r="AK21" s="17" t="s">
        <v>870</v>
      </c>
      <c r="AL21" s="17" t="s">
        <v>870</v>
      </c>
      <c r="AM21" s="17" t="s">
        <v>870</v>
      </c>
      <c r="AN21" s="17" t="s">
        <v>870</v>
      </c>
      <c r="AO21" s="17" t="s">
        <v>870</v>
      </c>
      <c r="AP21" s="17" t="s">
        <v>870</v>
      </c>
      <c r="AQ21" s="17" t="s">
        <v>870</v>
      </c>
      <c r="AR21" s="17" t="s">
        <v>870</v>
      </c>
      <c r="AS21" s="17" t="s">
        <v>870</v>
      </c>
      <c r="AT21" s="17" t="s">
        <v>870</v>
      </c>
      <c r="AU21" s="17" t="s">
        <v>870</v>
      </c>
      <c r="AV21" s="17" t="s">
        <v>870</v>
      </c>
      <c r="AW21" s="17" t="s">
        <v>870</v>
      </c>
      <c r="AX21" s="17" t="s">
        <v>870</v>
      </c>
      <c r="AY21" s="17" t="s">
        <v>870</v>
      </c>
      <c r="AZ21" s="17" t="s">
        <v>870</v>
      </c>
      <c r="BA21" s="17" t="s">
        <v>870</v>
      </c>
      <c r="BB21" s="17" t="s">
        <v>870</v>
      </c>
      <c r="BC21" s="17" t="s">
        <v>870</v>
      </c>
      <c r="BD21" s="17" t="s">
        <v>870</v>
      </c>
      <c r="BE21" s="17" t="s">
        <v>870</v>
      </c>
      <c r="BF21" s="17" t="s">
        <v>870</v>
      </c>
      <c r="BG21" s="17" t="s">
        <v>870</v>
      </c>
      <c r="BH21" s="17" t="s">
        <v>870</v>
      </c>
      <c r="BI21" s="17" t="s">
        <v>870</v>
      </c>
      <c r="BJ21" s="17" t="s">
        <v>870</v>
      </c>
      <c r="BK21" s="17" t="s">
        <v>870</v>
      </c>
      <c r="BL21" s="17" t="s">
        <v>870</v>
      </c>
      <c r="BM21" s="17" t="s">
        <v>870</v>
      </c>
      <c r="BN21" s="17" t="s">
        <v>870</v>
      </c>
      <c r="BO21" s="17" t="s">
        <v>870</v>
      </c>
      <c r="BP21" s="17" t="s">
        <v>870</v>
      </c>
      <c r="BQ21" s="17" t="s">
        <v>870</v>
      </c>
      <c r="BR21" s="17" t="s">
        <v>870</v>
      </c>
      <c r="BS21" s="17" t="s">
        <v>870</v>
      </c>
      <c r="BT21" s="17" t="s">
        <v>870</v>
      </c>
      <c r="BU21" s="17" t="s">
        <v>870</v>
      </c>
      <c r="BV21" s="17" t="s">
        <v>870</v>
      </c>
      <c r="BW21" s="17" t="s">
        <v>870</v>
      </c>
      <c r="BX21" s="17" t="s">
        <v>870</v>
      </c>
      <c r="BY21" s="17" t="s">
        <v>870</v>
      </c>
      <c r="BZ21" s="17" t="s">
        <v>870</v>
      </c>
      <c r="CA21" s="17" t="s">
        <v>870</v>
      </c>
      <c r="CB21" s="63"/>
      <c r="CC21" s="63"/>
      <c r="CD21" s="63"/>
      <c r="CE21" s="61" t="s">
        <v>2</v>
      </c>
      <c r="CF21" s="63"/>
      <c r="CG21" s="63"/>
      <c r="CH21" s="17" t="s">
        <v>870</v>
      </c>
      <c r="CI21" s="17" t="s">
        <v>870</v>
      </c>
      <c r="CJ21" s="63"/>
      <c r="CK21" s="63"/>
      <c r="CL21" s="63"/>
      <c r="CM21" s="62"/>
      <c r="CN21" s="63"/>
      <c r="CO21" s="61" t="s">
        <v>2</v>
      </c>
      <c r="CP21" s="63"/>
      <c r="CQ21" s="63"/>
      <c r="CR21" s="63"/>
      <c r="CS21" s="63"/>
      <c r="CT21" s="63"/>
      <c r="CU21" s="63"/>
      <c r="CV21" s="63"/>
      <c r="CW21" s="62"/>
      <c r="CX21" s="61" t="s">
        <v>2</v>
      </c>
      <c r="CY21" s="63"/>
      <c r="CZ21" s="63"/>
      <c r="DA21" s="63"/>
      <c r="DB21" s="63"/>
      <c r="DC21" s="63"/>
      <c r="DD21" s="63"/>
      <c r="DE21" s="63"/>
      <c r="DF21" s="17" t="s">
        <v>870</v>
      </c>
      <c r="DG21" s="17" t="s">
        <v>870</v>
      </c>
      <c r="DH21" s="63"/>
      <c r="DI21" s="63"/>
      <c r="DJ21" s="63"/>
      <c r="DK21" s="63"/>
      <c r="DL21" s="63"/>
      <c r="DM21" s="62"/>
      <c r="DN21" s="63"/>
      <c r="DO21" s="63"/>
      <c r="DP21" s="63"/>
      <c r="DQ21" s="63"/>
      <c r="DR21" s="63"/>
      <c r="DS21" s="61" t="s">
        <v>2</v>
      </c>
      <c r="DT21" s="17" t="s">
        <v>870</v>
      </c>
      <c r="DU21" s="17" t="s">
        <v>870</v>
      </c>
      <c r="DV21" s="62"/>
      <c r="DW21" s="63"/>
      <c r="DX21" s="63"/>
      <c r="DY21" s="63"/>
      <c r="DZ21" s="63"/>
      <c r="EA21" s="61" t="s">
        <v>2</v>
      </c>
      <c r="EB21" s="61" t="s">
        <v>2</v>
      </c>
      <c r="EC21" s="63"/>
      <c r="ED21" s="63"/>
      <c r="EE21" s="62"/>
      <c r="EF21" s="17" t="s">
        <v>870</v>
      </c>
      <c r="EG21" s="17" t="s">
        <v>870</v>
      </c>
      <c r="EH21" s="17" t="s">
        <v>870</v>
      </c>
      <c r="EI21" s="17" t="s">
        <v>870</v>
      </c>
      <c r="EJ21" s="63"/>
      <c r="EK21" s="63"/>
      <c r="EL21" s="63"/>
      <c r="EM21" s="63"/>
      <c r="EN21" s="61" t="s">
        <v>2</v>
      </c>
      <c r="EO21" s="63"/>
      <c r="EP21" s="61" t="s">
        <v>2</v>
      </c>
      <c r="EQ21" s="63"/>
      <c r="ER21" s="63"/>
      <c r="ES21" s="63"/>
      <c r="ET21" s="61" t="s">
        <v>2</v>
      </c>
      <c r="EU21" s="63"/>
      <c r="EV21" s="61" t="s">
        <v>2</v>
      </c>
      <c r="EW21" s="62"/>
      <c r="EX21" s="63"/>
      <c r="EY21" s="63"/>
      <c r="EZ21" s="17" t="s">
        <v>870</v>
      </c>
      <c r="FA21" s="17" t="s">
        <v>870</v>
      </c>
      <c r="FB21" s="62"/>
      <c r="FC21" s="63"/>
      <c r="FD21" s="63"/>
      <c r="FE21" s="62"/>
      <c r="FF21" s="63"/>
      <c r="FG21" s="63"/>
      <c r="FH21" s="62"/>
      <c r="FI21" s="63"/>
      <c r="FJ21" s="17" t="s">
        <v>870</v>
      </c>
      <c r="FK21" s="63"/>
      <c r="FL21" s="63"/>
      <c r="FM21" s="63"/>
      <c r="FN21" s="63"/>
      <c r="FO21" s="63"/>
      <c r="FP21" s="17" t="s">
        <v>870</v>
      </c>
      <c r="FQ21" s="17" t="s">
        <v>870</v>
      </c>
      <c r="FR21" s="63"/>
      <c r="FS21" s="63"/>
      <c r="FT21" s="63"/>
      <c r="FU21" s="63"/>
      <c r="FV21" s="17" t="s">
        <v>870</v>
      </c>
      <c r="FW21" s="17" t="s">
        <v>870</v>
      </c>
      <c r="FX21" s="62"/>
      <c r="FY21" s="62"/>
      <c r="FZ21" s="63"/>
      <c r="GA21" s="63"/>
      <c r="GB21" s="17" t="s">
        <v>870</v>
      </c>
      <c r="GC21" s="17" t="s">
        <v>870</v>
      </c>
      <c r="GD21" s="17" t="s">
        <v>870</v>
      </c>
      <c r="GE21" s="17" t="s">
        <v>870</v>
      </c>
      <c r="GF21" s="17" t="s">
        <v>870</v>
      </c>
      <c r="GG21" s="17" t="s">
        <v>870</v>
      </c>
      <c r="GH21" s="17" t="s">
        <v>870</v>
      </c>
      <c r="GI21" s="17" t="s">
        <v>870</v>
      </c>
      <c r="GJ21" s="17" t="s">
        <v>870</v>
      </c>
      <c r="GK21" s="17" t="s">
        <v>870</v>
      </c>
      <c r="GL21" s="17" t="s">
        <v>870</v>
      </c>
      <c r="GM21" s="17" t="s">
        <v>870</v>
      </c>
      <c r="GN21" s="17" t="s">
        <v>870</v>
      </c>
      <c r="GO21" s="17" t="s">
        <v>870</v>
      </c>
      <c r="GP21" s="17" t="s">
        <v>870</v>
      </c>
      <c r="GQ21" s="63"/>
      <c r="GR21" s="17" t="s">
        <v>870</v>
      </c>
      <c r="GS21" s="17" t="s">
        <v>870</v>
      </c>
      <c r="GT21" s="17" t="s">
        <v>870</v>
      </c>
      <c r="GU21" s="17" t="s">
        <v>870</v>
      </c>
      <c r="GV21" s="17" t="s">
        <v>870</v>
      </c>
      <c r="GW21" s="17" t="s">
        <v>870</v>
      </c>
      <c r="GX21" s="17" t="s">
        <v>870</v>
      </c>
      <c r="GY21" s="17" t="s">
        <v>870</v>
      </c>
      <c r="GZ21" s="17" t="s">
        <v>870</v>
      </c>
      <c r="HA21" s="17" t="s">
        <v>870</v>
      </c>
      <c r="HB21" s="17" t="s">
        <v>870</v>
      </c>
      <c r="HC21" s="17" t="s">
        <v>870</v>
      </c>
      <c r="HD21" s="17" t="s">
        <v>870</v>
      </c>
      <c r="HE21" s="17" t="s">
        <v>870</v>
      </c>
      <c r="HF21" s="17" t="s">
        <v>870</v>
      </c>
      <c r="HG21" s="17" t="s">
        <v>870</v>
      </c>
      <c r="HH21" s="17" t="s">
        <v>870</v>
      </c>
      <c r="HI21" s="17" t="s">
        <v>870</v>
      </c>
      <c r="HJ21" s="17" t="s">
        <v>870</v>
      </c>
      <c r="HK21" s="17" t="s">
        <v>870</v>
      </c>
      <c r="HL21" s="17" t="s">
        <v>870</v>
      </c>
      <c r="HM21" s="17" t="s">
        <v>870</v>
      </c>
      <c r="HN21" s="17" t="s">
        <v>870</v>
      </c>
      <c r="HO21" s="17" t="s">
        <v>870</v>
      </c>
      <c r="HP21" s="62"/>
      <c r="HQ21" s="63"/>
      <c r="HR21" s="63"/>
      <c r="HS21" s="61" t="s">
        <v>2</v>
      </c>
      <c r="HT21" s="63"/>
      <c r="HU21" s="63"/>
      <c r="HV21" s="17" t="s">
        <v>870</v>
      </c>
      <c r="HW21" s="17" t="s">
        <v>870</v>
      </c>
      <c r="HX21" s="63"/>
      <c r="HY21" s="61" t="s">
        <v>2</v>
      </c>
      <c r="HZ21" s="63"/>
      <c r="IA21" s="63"/>
      <c r="IB21" s="62"/>
      <c r="IC21" s="63"/>
      <c r="ID21" s="72" t="s">
        <v>1552</v>
      </c>
      <c r="IE21" s="17" t="s">
        <v>870</v>
      </c>
      <c r="IF21" s="17" t="s">
        <v>870</v>
      </c>
      <c r="IG21" s="17" t="s">
        <v>870</v>
      </c>
      <c r="IH21" s="17" t="s">
        <v>870</v>
      </c>
      <c r="II21" s="17" t="s">
        <v>870</v>
      </c>
      <c r="IJ21" s="17" t="s">
        <v>870</v>
      </c>
      <c r="IK21" s="17" t="s">
        <v>870</v>
      </c>
      <c r="IL21" s="17" t="s">
        <v>870</v>
      </c>
      <c r="IM21" s="17" t="s">
        <v>870</v>
      </c>
      <c r="IN21" s="17" t="s">
        <v>870</v>
      </c>
      <c r="IO21" s="17" t="s">
        <v>870</v>
      </c>
    </row>
    <row r="22" spans="1:249" x14ac:dyDescent="0.25">
      <c r="A22" t="s">
        <v>8</v>
      </c>
      <c r="B22" s="17" t="s">
        <v>870</v>
      </c>
      <c r="C22" s="17" t="s">
        <v>870</v>
      </c>
      <c r="D22" s="17" t="s">
        <v>870</v>
      </c>
      <c r="E22" s="17" t="s">
        <v>870</v>
      </c>
      <c r="F22" s="17" t="s">
        <v>870</v>
      </c>
      <c r="G22" s="17" t="s">
        <v>870</v>
      </c>
      <c r="H22" s="17" t="s">
        <v>870</v>
      </c>
      <c r="I22" s="17" t="s">
        <v>870</v>
      </c>
      <c r="J22" s="17" t="s">
        <v>870</v>
      </c>
      <c r="K22" s="61" t="s">
        <v>2</v>
      </c>
      <c r="L22" s="63"/>
      <c r="M22" s="17" t="s">
        <v>870</v>
      </c>
      <c r="N22" s="17" t="s">
        <v>870</v>
      </c>
      <c r="O22" s="17" t="s">
        <v>870</v>
      </c>
      <c r="P22" s="17" t="s">
        <v>870</v>
      </c>
      <c r="Q22" s="17" t="s">
        <v>870</v>
      </c>
      <c r="R22" s="17" t="s">
        <v>870</v>
      </c>
      <c r="S22" s="17" t="s">
        <v>870</v>
      </c>
      <c r="T22" s="62"/>
      <c r="U22" s="17" t="s">
        <v>870</v>
      </c>
      <c r="V22" s="17" t="s">
        <v>870</v>
      </c>
      <c r="W22" s="17" t="s">
        <v>870</v>
      </c>
      <c r="X22" s="17" t="s">
        <v>870</v>
      </c>
      <c r="Y22" s="17" t="s">
        <v>870</v>
      </c>
      <c r="Z22" s="17" t="s">
        <v>870</v>
      </c>
      <c r="AA22" s="17" t="s">
        <v>870</v>
      </c>
      <c r="AB22" s="17" t="s">
        <v>870</v>
      </c>
      <c r="AC22" s="61" t="s">
        <v>2</v>
      </c>
      <c r="AD22" s="17" t="s">
        <v>870</v>
      </c>
      <c r="AE22" s="17" t="s">
        <v>870</v>
      </c>
      <c r="AF22" s="17" t="s">
        <v>870</v>
      </c>
      <c r="AG22" s="17" t="s">
        <v>870</v>
      </c>
      <c r="AH22" s="17" t="s">
        <v>870</v>
      </c>
      <c r="AI22" s="17" t="s">
        <v>870</v>
      </c>
      <c r="AJ22" s="17" t="s">
        <v>870</v>
      </c>
      <c r="AK22" s="17" t="s">
        <v>870</v>
      </c>
      <c r="AL22" s="61" t="s">
        <v>2</v>
      </c>
      <c r="AM22" s="63"/>
      <c r="AN22" s="17" t="s">
        <v>870</v>
      </c>
      <c r="AO22" s="17" t="s">
        <v>870</v>
      </c>
      <c r="AP22" s="17" t="s">
        <v>870</v>
      </c>
      <c r="AQ22" s="17" t="s">
        <v>870</v>
      </c>
      <c r="AR22" s="17" t="s">
        <v>870</v>
      </c>
      <c r="AS22" s="17" t="s">
        <v>870</v>
      </c>
      <c r="AT22" s="17" t="s">
        <v>870</v>
      </c>
      <c r="AU22" s="17" t="s">
        <v>870</v>
      </c>
      <c r="AV22" s="17" t="s">
        <v>870</v>
      </c>
      <c r="AW22" s="17" t="s">
        <v>870</v>
      </c>
      <c r="AX22" s="17" t="s">
        <v>870</v>
      </c>
      <c r="AY22" s="17" t="s">
        <v>870</v>
      </c>
      <c r="AZ22" s="17" t="s">
        <v>870</v>
      </c>
      <c r="BA22" s="17" t="s">
        <v>870</v>
      </c>
      <c r="BB22" s="17" t="s">
        <v>870</v>
      </c>
      <c r="BC22" s="17" t="s">
        <v>870</v>
      </c>
      <c r="BD22" s="17" t="s">
        <v>870</v>
      </c>
      <c r="BE22" s="17" t="s">
        <v>870</v>
      </c>
      <c r="BF22" s="17" t="s">
        <v>870</v>
      </c>
      <c r="BG22" s="17" t="s">
        <v>870</v>
      </c>
      <c r="BH22" s="17" t="s">
        <v>870</v>
      </c>
      <c r="BI22" s="17" t="s">
        <v>870</v>
      </c>
      <c r="BJ22" s="17" t="s">
        <v>870</v>
      </c>
      <c r="BK22" s="17" t="s">
        <v>870</v>
      </c>
      <c r="BL22" s="17" t="s">
        <v>870</v>
      </c>
      <c r="BM22" s="17" t="s">
        <v>870</v>
      </c>
      <c r="BN22" s="63"/>
      <c r="BO22" s="63"/>
      <c r="BP22" s="17" t="s">
        <v>870</v>
      </c>
      <c r="BQ22" s="17" t="s">
        <v>870</v>
      </c>
      <c r="BR22" s="17" t="s">
        <v>870</v>
      </c>
      <c r="BS22" s="17" t="s">
        <v>870</v>
      </c>
      <c r="BT22" s="17" t="s">
        <v>870</v>
      </c>
      <c r="BU22" s="63"/>
      <c r="BV22" s="17" t="s">
        <v>870</v>
      </c>
      <c r="BW22" s="17" t="s">
        <v>870</v>
      </c>
      <c r="BX22" s="17" t="s">
        <v>870</v>
      </c>
      <c r="BY22" s="17" t="s">
        <v>870</v>
      </c>
      <c r="BZ22" s="17" t="s">
        <v>870</v>
      </c>
      <c r="CA22" s="17" t="s">
        <v>870</v>
      </c>
      <c r="CB22" s="17" t="s">
        <v>870</v>
      </c>
      <c r="CC22" s="17" t="s">
        <v>870</v>
      </c>
      <c r="CD22" s="61" t="s">
        <v>2</v>
      </c>
      <c r="CE22" s="62"/>
      <c r="CF22" s="17" t="s">
        <v>870</v>
      </c>
      <c r="CG22" s="17" t="s">
        <v>870</v>
      </c>
      <c r="CH22" s="17" t="s">
        <v>870</v>
      </c>
      <c r="CI22" s="17" t="s">
        <v>870</v>
      </c>
      <c r="CJ22" s="17" t="s">
        <v>870</v>
      </c>
      <c r="CK22" s="17" t="s">
        <v>870</v>
      </c>
      <c r="CL22" s="17" t="s">
        <v>870</v>
      </c>
      <c r="CM22" s="17" t="s">
        <v>870</v>
      </c>
      <c r="CN22" s="17" t="s">
        <v>870</v>
      </c>
      <c r="CO22" s="17" t="s">
        <v>870</v>
      </c>
      <c r="CP22" s="17" t="s">
        <v>870</v>
      </c>
      <c r="CQ22" s="17" t="s">
        <v>870</v>
      </c>
      <c r="CR22" s="17" t="s">
        <v>870</v>
      </c>
      <c r="CS22" s="17" t="s">
        <v>870</v>
      </c>
      <c r="CT22" s="17" t="s">
        <v>870</v>
      </c>
      <c r="CU22" s="17" t="s">
        <v>870</v>
      </c>
      <c r="CV22" s="17" t="s">
        <v>870</v>
      </c>
      <c r="CW22" s="17" t="s">
        <v>870</v>
      </c>
      <c r="CX22" s="17" t="s">
        <v>870</v>
      </c>
      <c r="CY22" s="17" t="s">
        <v>870</v>
      </c>
      <c r="CZ22" s="17" t="s">
        <v>870</v>
      </c>
      <c r="DA22" s="17" t="s">
        <v>870</v>
      </c>
      <c r="DB22" s="17" t="s">
        <v>870</v>
      </c>
      <c r="DC22" s="17" t="s">
        <v>870</v>
      </c>
      <c r="DD22" s="17" t="s">
        <v>870</v>
      </c>
      <c r="DE22" s="17" t="s">
        <v>870</v>
      </c>
      <c r="DF22" s="17" t="s">
        <v>870</v>
      </c>
      <c r="DG22" s="17" t="s">
        <v>870</v>
      </c>
      <c r="DH22" s="17" t="s">
        <v>870</v>
      </c>
      <c r="DI22" s="17" t="s">
        <v>870</v>
      </c>
      <c r="DJ22" s="17" t="s">
        <v>870</v>
      </c>
      <c r="DK22" s="17" t="s">
        <v>870</v>
      </c>
      <c r="DL22" s="17" t="s">
        <v>870</v>
      </c>
      <c r="DM22" s="17" t="s">
        <v>870</v>
      </c>
      <c r="DN22" s="61" t="s">
        <v>2</v>
      </c>
      <c r="DO22" s="63"/>
      <c r="DP22" s="17" t="s">
        <v>870</v>
      </c>
      <c r="DQ22" s="17" t="s">
        <v>870</v>
      </c>
      <c r="DR22" s="17" t="s">
        <v>870</v>
      </c>
      <c r="DS22" s="17" t="s">
        <v>870</v>
      </c>
      <c r="DT22" s="17" t="s">
        <v>870</v>
      </c>
      <c r="DU22" s="61" t="s">
        <v>2</v>
      </c>
      <c r="DV22" s="17" t="s">
        <v>870</v>
      </c>
      <c r="DW22" s="17" t="s">
        <v>870</v>
      </c>
      <c r="DX22" s="17" t="s">
        <v>870</v>
      </c>
      <c r="DY22" s="17" t="s">
        <v>870</v>
      </c>
      <c r="DZ22" s="17" t="s">
        <v>870</v>
      </c>
      <c r="EA22" s="17" t="s">
        <v>870</v>
      </c>
      <c r="EB22" s="17" t="s">
        <v>870</v>
      </c>
      <c r="EC22" s="17" t="s">
        <v>870</v>
      </c>
      <c r="ED22" s="17" t="s">
        <v>870</v>
      </c>
      <c r="EE22" s="17" t="s">
        <v>870</v>
      </c>
      <c r="EF22" s="61" t="s">
        <v>2</v>
      </c>
      <c r="EG22" s="61" t="s">
        <v>2</v>
      </c>
      <c r="EH22" s="17" t="s">
        <v>870</v>
      </c>
      <c r="EI22" s="17" t="s">
        <v>870</v>
      </c>
      <c r="EJ22" s="17" t="s">
        <v>870</v>
      </c>
      <c r="EK22" s="17" t="s">
        <v>870</v>
      </c>
      <c r="EL22" s="17" t="s">
        <v>870</v>
      </c>
      <c r="EM22" s="17" t="s">
        <v>870</v>
      </c>
      <c r="EN22" s="17" t="s">
        <v>870</v>
      </c>
      <c r="EO22" s="17" t="s">
        <v>870</v>
      </c>
      <c r="EP22" s="17" t="s">
        <v>870</v>
      </c>
      <c r="EQ22" s="17" t="s">
        <v>870</v>
      </c>
      <c r="ER22" s="17" t="s">
        <v>870</v>
      </c>
      <c r="ES22" s="17" t="s">
        <v>870</v>
      </c>
      <c r="ET22" s="17" t="s">
        <v>870</v>
      </c>
      <c r="EU22" s="17" t="s">
        <v>870</v>
      </c>
      <c r="EV22" s="17" t="s">
        <v>870</v>
      </c>
      <c r="EW22" s="17" t="s">
        <v>870</v>
      </c>
      <c r="EX22" s="17" t="s">
        <v>870</v>
      </c>
      <c r="EY22" s="17" t="s">
        <v>870</v>
      </c>
      <c r="EZ22" s="17" t="s">
        <v>870</v>
      </c>
      <c r="FA22" s="17" t="s">
        <v>870</v>
      </c>
      <c r="FB22" s="17" t="s">
        <v>870</v>
      </c>
      <c r="FC22" s="17" t="s">
        <v>870</v>
      </c>
      <c r="FD22" s="17" t="s">
        <v>870</v>
      </c>
      <c r="FE22" s="17" t="s">
        <v>870</v>
      </c>
      <c r="FF22" s="17" t="s">
        <v>870</v>
      </c>
      <c r="FG22" s="17" t="s">
        <v>870</v>
      </c>
      <c r="FH22" s="17" t="s">
        <v>870</v>
      </c>
      <c r="FI22" s="17" t="s">
        <v>870</v>
      </c>
      <c r="FJ22" s="17" t="s">
        <v>870</v>
      </c>
      <c r="FK22" s="61" t="s">
        <v>2</v>
      </c>
      <c r="FL22" s="17" t="s">
        <v>870</v>
      </c>
      <c r="FM22" s="17" t="s">
        <v>870</v>
      </c>
      <c r="FN22" s="17" t="s">
        <v>870</v>
      </c>
      <c r="FO22" s="17" t="s">
        <v>870</v>
      </c>
      <c r="FP22" s="17" t="s">
        <v>870</v>
      </c>
      <c r="FQ22" s="17" t="s">
        <v>870</v>
      </c>
      <c r="FR22" s="17" t="s">
        <v>870</v>
      </c>
      <c r="FS22" s="17" t="s">
        <v>870</v>
      </c>
      <c r="FT22" s="17" t="s">
        <v>870</v>
      </c>
      <c r="FU22" s="17" t="s">
        <v>870</v>
      </c>
      <c r="FV22" s="17" t="s">
        <v>870</v>
      </c>
      <c r="FW22" s="17" t="s">
        <v>870</v>
      </c>
      <c r="FX22" s="17" t="s">
        <v>870</v>
      </c>
      <c r="FY22" s="17" t="s">
        <v>870</v>
      </c>
      <c r="FZ22" s="17" t="s">
        <v>870</v>
      </c>
      <c r="GA22" s="17" t="s">
        <v>870</v>
      </c>
      <c r="GB22" s="17" t="s">
        <v>870</v>
      </c>
      <c r="GC22" s="17" t="s">
        <v>870</v>
      </c>
      <c r="GD22" s="17" t="s">
        <v>870</v>
      </c>
      <c r="GE22" s="61" t="s">
        <v>2</v>
      </c>
      <c r="GF22" s="17" t="s">
        <v>870</v>
      </c>
      <c r="GG22" s="17" t="s">
        <v>870</v>
      </c>
      <c r="GH22" s="17" t="s">
        <v>870</v>
      </c>
      <c r="GI22" s="17" t="s">
        <v>870</v>
      </c>
      <c r="GJ22" s="17" t="s">
        <v>870</v>
      </c>
      <c r="GK22" s="17" t="s">
        <v>870</v>
      </c>
      <c r="GL22" s="17" t="s">
        <v>870</v>
      </c>
      <c r="GM22" s="17" t="s">
        <v>870</v>
      </c>
      <c r="GN22" s="17" t="s">
        <v>870</v>
      </c>
      <c r="GO22" s="17" t="s">
        <v>870</v>
      </c>
      <c r="GP22" s="17" t="s">
        <v>870</v>
      </c>
      <c r="GQ22" s="17" t="s">
        <v>870</v>
      </c>
      <c r="GR22" s="17" t="s">
        <v>870</v>
      </c>
      <c r="GS22" s="17" t="s">
        <v>870</v>
      </c>
      <c r="GT22" s="17" t="s">
        <v>870</v>
      </c>
      <c r="GU22" s="17" t="s">
        <v>870</v>
      </c>
      <c r="GV22" s="17" t="s">
        <v>870</v>
      </c>
      <c r="GW22" s="61" t="s">
        <v>2</v>
      </c>
      <c r="GX22" s="17" t="s">
        <v>870</v>
      </c>
      <c r="GY22" s="17" t="s">
        <v>870</v>
      </c>
      <c r="GZ22" s="17" t="s">
        <v>870</v>
      </c>
      <c r="HA22" s="17" t="s">
        <v>870</v>
      </c>
      <c r="HB22" s="17" t="s">
        <v>870</v>
      </c>
      <c r="HC22" s="17" t="s">
        <v>870</v>
      </c>
      <c r="HD22" s="17" t="s">
        <v>870</v>
      </c>
      <c r="HE22" s="17" t="s">
        <v>870</v>
      </c>
      <c r="HF22" s="61" t="s">
        <v>2</v>
      </c>
      <c r="HG22" s="61" t="s">
        <v>2</v>
      </c>
      <c r="HH22" s="17" t="s">
        <v>870</v>
      </c>
      <c r="HI22" s="17" t="s">
        <v>870</v>
      </c>
      <c r="HJ22" s="17" t="s">
        <v>870</v>
      </c>
      <c r="HK22" s="17" t="s">
        <v>870</v>
      </c>
      <c r="HL22" s="17" t="s">
        <v>870</v>
      </c>
      <c r="HM22" s="17" t="s">
        <v>870</v>
      </c>
      <c r="HN22" s="17" t="s">
        <v>870</v>
      </c>
      <c r="HO22" s="17" t="s">
        <v>870</v>
      </c>
      <c r="HP22" s="17" t="s">
        <v>870</v>
      </c>
      <c r="HQ22" s="17" t="s">
        <v>870</v>
      </c>
      <c r="HR22" s="17" t="s">
        <v>870</v>
      </c>
      <c r="HS22" s="17" t="s">
        <v>870</v>
      </c>
      <c r="HT22" s="17" t="s">
        <v>870</v>
      </c>
      <c r="HU22" s="17" t="s">
        <v>870</v>
      </c>
      <c r="HV22" s="17" t="s">
        <v>870</v>
      </c>
      <c r="HW22" s="17" t="s">
        <v>870</v>
      </c>
      <c r="HX22" s="17" t="s">
        <v>870</v>
      </c>
      <c r="HY22" s="17" t="s">
        <v>870</v>
      </c>
      <c r="HZ22" s="17" t="s">
        <v>870</v>
      </c>
      <c r="IA22" s="17" t="s">
        <v>870</v>
      </c>
      <c r="IB22" s="17" t="s">
        <v>870</v>
      </c>
      <c r="IC22" s="17" t="s">
        <v>870</v>
      </c>
      <c r="ID22" s="72" t="s">
        <v>1552</v>
      </c>
      <c r="IE22" s="17" t="s">
        <v>870</v>
      </c>
      <c r="IF22" s="17" t="s">
        <v>870</v>
      </c>
      <c r="IG22" s="17" t="s">
        <v>870</v>
      </c>
      <c r="IH22" s="17" t="s">
        <v>870</v>
      </c>
      <c r="II22" s="17" t="s">
        <v>870</v>
      </c>
      <c r="IJ22" s="17" t="s">
        <v>870</v>
      </c>
      <c r="IK22" s="17" t="s">
        <v>870</v>
      </c>
      <c r="IL22" s="17" t="s">
        <v>870</v>
      </c>
      <c r="IM22" s="17" t="s">
        <v>870</v>
      </c>
      <c r="IN22" s="17" t="s">
        <v>870</v>
      </c>
      <c r="IO22" s="17" t="s">
        <v>870</v>
      </c>
    </row>
    <row r="23" spans="1:249" x14ac:dyDescent="0.25">
      <c r="A23" t="s">
        <v>82</v>
      </c>
      <c r="B23" s="17" t="s">
        <v>870</v>
      </c>
      <c r="C23" s="17" t="s">
        <v>870</v>
      </c>
      <c r="D23" s="17" t="s">
        <v>870</v>
      </c>
      <c r="E23" s="17" t="s">
        <v>870</v>
      </c>
      <c r="F23" s="17" t="s">
        <v>870</v>
      </c>
      <c r="G23" s="17" t="s">
        <v>870</v>
      </c>
      <c r="H23" s="17" t="s">
        <v>870</v>
      </c>
      <c r="I23" s="17" t="s">
        <v>870</v>
      </c>
      <c r="J23" s="17" t="s">
        <v>870</v>
      </c>
      <c r="K23" s="17" t="s">
        <v>870</v>
      </c>
      <c r="L23" s="17" t="s">
        <v>870</v>
      </c>
      <c r="M23" s="17" t="s">
        <v>870</v>
      </c>
      <c r="N23" s="17" t="s">
        <v>870</v>
      </c>
      <c r="O23" s="17" t="s">
        <v>870</v>
      </c>
      <c r="P23" s="17" t="s">
        <v>870</v>
      </c>
      <c r="Q23" s="17" t="s">
        <v>870</v>
      </c>
      <c r="R23" s="17" t="s">
        <v>870</v>
      </c>
      <c r="S23" s="17" t="s">
        <v>870</v>
      </c>
      <c r="T23" s="17" t="s">
        <v>870</v>
      </c>
      <c r="U23" s="17" t="s">
        <v>870</v>
      </c>
      <c r="V23" s="17" t="s">
        <v>870</v>
      </c>
      <c r="W23" s="17" t="s">
        <v>870</v>
      </c>
      <c r="X23" s="17" t="s">
        <v>870</v>
      </c>
      <c r="Y23" s="17" t="s">
        <v>870</v>
      </c>
      <c r="Z23" s="17" t="s">
        <v>870</v>
      </c>
      <c r="AA23" s="17" t="s">
        <v>870</v>
      </c>
      <c r="AB23" s="17" t="s">
        <v>870</v>
      </c>
      <c r="AC23" s="17" t="s">
        <v>870</v>
      </c>
      <c r="AD23" s="17" t="s">
        <v>870</v>
      </c>
      <c r="AE23" s="17" t="s">
        <v>870</v>
      </c>
      <c r="AF23" s="17" t="s">
        <v>870</v>
      </c>
      <c r="AG23" s="17" t="s">
        <v>870</v>
      </c>
      <c r="AH23" s="17" t="s">
        <v>870</v>
      </c>
      <c r="AI23" s="17" t="s">
        <v>870</v>
      </c>
      <c r="AJ23" s="17" t="s">
        <v>870</v>
      </c>
      <c r="AK23" s="17" t="s">
        <v>870</v>
      </c>
      <c r="AL23" s="17" t="s">
        <v>870</v>
      </c>
      <c r="AM23" s="17" t="s">
        <v>870</v>
      </c>
      <c r="AN23" s="17" t="s">
        <v>870</v>
      </c>
      <c r="AO23" s="17" t="s">
        <v>870</v>
      </c>
      <c r="AP23" s="17" t="s">
        <v>870</v>
      </c>
      <c r="AQ23" s="17" t="s">
        <v>870</v>
      </c>
      <c r="AR23" s="17" t="s">
        <v>870</v>
      </c>
      <c r="AS23" s="17" t="s">
        <v>870</v>
      </c>
      <c r="AT23" s="17" t="s">
        <v>870</v>
      </c>
      <c r="AU23" s="17" t="s">
        <v>870</v>
      </c>
      <c r="AV23" s="17" t="s">
        <v>870</v>
      </c>
      <c r="AW23" s="17" t="s">
        <v>870</v>
      </c>
      <c r="AX23" s="17" t="s">
        <v>870</v>
      </c>
      <c r="AY23" s="17" t="s">
        <v>870</v>
      </c>
      <c r="AZ23" s="17" t="s">
        <v>870</v>
      </c>
      <c r="BA23" s="17" t="s">
        <v>870</v>
      </c>
      <c r="BB23" s="17" t="s">
        <v>870</v>
      </c>
      <c r="BC23" s="17" t="s">
        <v>870</v>
      </c>
      <c r="BD23" s="17" t="s">
        <v>870</v>
      </c>
      <c r="BE23" s="17" t="s">
        <v>870</v>
      </c>
      <c r="BF23" s="17" t="s">
        <v>870</v>
      </c>
      <c r="BG23" s="17" t="s">
        <v>870</v>
      </c>
      <c r="BH23" s="61" t="s">
        <v>2</v>
      </c>
      <c r="BI23" s="63"/>
      <c r="BJ23" s="62"/>
      <c r="BK23" s="61" t="s">
        <v>2</v>
      </c>
      <c r="BL23" s="63"/>
      <c r="BM23" s="63"/>
      <c r="BN23" s="63"/>
      <c r="BO23" s="63"/>
      <c r="BP23" s="61" t="s">
        <v>2</v>
      </c>
      <c r="BQ23" s="62"/>
      <c r="BR23" s="63"/>
      <c r="BS23" s="61" t="s">
        <v>2</v>
      </c>
      <c r="BT23" s="61" t="s">
        <v>2</v>
      </c>
      <c r="BU23" s="63"/>
      <c r="BV23" s="61" t="s">
        <v>2</v>
      </c>
      <c r="BW23" s="63"/>
      <c r="BX23" s="17" t="s">
        <v>870</v>
      </c>
      <c r="BY23" s="17" t="s">
        <v>870</v>
      </c>
      <c r="BZ23" s="61" t="s">
        <v>2</v>
      </c>
      <c r="CA23" s="61" t="s">
        <v>2</v>
      </c>
      <c r="CB23" s="63"/>
      <c r="CC23" s="63"/>
      <c r="CD23" s="61" t="s">
        <v>2</v>
      </c>
      <c r="CE23" s="63"/>
      <c r="CF23" s="62"/>
      <c r="CG23" s="62"/>
      <c r="CH23" s="17" t="s">
        <v>870</v>
      </c>
      <c r="CI23" s="17" t="s">
        <v>870</v>
      </c>
      <c r="CJ23" s="62"/>
      <c r="CK23" s="63"/>
      <c r="CL23" s="61" t="s">
        <v>2</v>
      </c>
      <c r="CM23" s="63"/>
      <c r="CN23" s="17" t="s">
        <v>870</v>
      </c>
      <c r="CO23" s="17" t="s">
        <v>870</v>
      </c>
      <c r="CP23" s="17" t="s">
        <v>870</v>
      </c>
      <c r="CQ23" s="17" t="s">
        <v>870</v>
      </c>
      <c r="CR23" s="17" t="s">
        <v>870</v>
      </c>
      <c r="CS23" s="17" t="s">
        <v>870</v>
      </c>
      <c r="CT23" s="17" t="s">
        <v>870</v>
      </c>
      <c r="CU23" s="17" t="s">
        <v>870</v>
      </c>
      <c r="CV23" s="17" t="s">
        <v>870</v>
      </c>
      <c r="CW23" s="17" t="s">
        <v>870</v>
      </c>
      <c r="CX23" s="17" t="s">
        <v>870</v>
      </c>
      <c r="CY23" s="17" t="s">
        <v>870</v>
      </c>
      <c r="CZ23" s="17" t="s">
        <v>870</v>
      </c>
      <c r="DA23" s="17" t="s">
        <v>870</v>
      </c>
      <c r="DB23" s="17" t="s">
        <v>870</v>
      </c>
      <c r="DC23" s="17" t="s">
        <v>870</v>
      </c>
      <c r="DD23" s="17" t="s">
        <v>870</v>
      </c>
      <c r="DE23" s="17" t="s">
        <v>870</v>
      </c>
      <c r="DF23" s="17" t="s">
        <v>870</v>
      </c>
      <c r="DG23" s="17" t="s">
        <v>870</v>
      </c>
      <c r="DH23" s="17" t="s">
        <v>870</v>
      </c>
      <c r="DI23" s="17" t="s">
        <v>870</v>
      </c>
      <c r="DJ23" s="17" t="s">
        <v>870</v>
      </c>
      <c r="DK23" s="17" t="s">
        <v>870</v>
      </c>
      <c r="DL23" s="17" t="s">
        <v>870</v>
      </c>
      <c r="DM23" s="17" t="s">
        <v>870</v>
      </c>
      <c r="DN23" s="17" t="s">
        <v>870</v>
      </c>
      <c r="DO23" s="17" t="s">
        <v>870</v>
      </c>
      <c r="DP23" s="17" t="s">
        <v>870</v>
      </c>
      <c r="DQ23" s="17" t="s">
        <v>870</v>
      </c>
      <c r="DR23" s="17" t="s">
        <v>870</v>
      </c>
      <c r="DS23" s="17" t="s">
        <v>870</v>
      </c>
      <c r="DT23" s="17" t="s">
        <v>870</v>
      </c>
      <c r="DU23" s="17" t="s">
        <v>870</v>
      </c>
      <c r="DV23" s="17" t="s">
        <v>870</v>
      </c>
      <c r="DW23" s="17" t="s">
        <v>870</v>
      </c>
      <c r="DX23" s="17" t="s">
        <v>870</v>
      </c>
      <c r="DY23" s="17" t="s">
        <v>870</v>
      </c>
      <c r="DZ23" s="17" t="s">
        <v>870</v>
      </c>
      <c r="EA23" s="17" t="s">
        <v>870</v>
      </c>
      <c r="EB23" s="17" t="s">
        <v>870</v>
      </c>
      <c r="EC23" s="17" t="s">
        <v>870</v>
      </c>
      <c r="ED23" s="17" t="s">
        <v>870</v>
      </c>
      <c r="EE23" s="17" t="s">
        <v>870</v>
      </c>
      <c r="EF23" s="17" t="s">
        <v>870</v>
      </c>
      <c r="EG23" s="17" t="s">
        <v>870</v>
      </c>
      <c r="EH23" s="17" t="s">
        <v>870</v>
      </c>
      <c r="EI23" s="17" t="s">
        <v>870</v>
      </c>
      <c r="EJ23" s="17" t="s">
        <v>870</v>
      </c>
      <c r="EK23" s="17" t="s">
        <v>870</v>
      </c>
      <c r="EL23" s="17" t="s">
        <v>870</v>
      </c>
      <c r="EM23" s="17" t="s">
        <v>870</v>
      </c>
      <c r="EN23" s="17" t="s">
        <v>870</v>
      </c>
      <c r="EO23" s="17" t="s">
        <v>870</v>
      </c>
      <c r="EP23" s="17" t="s">
        <v>870</v>
      </c>
      <c r="EQ23" s="17" t="s">
        <v>870</v>
      </c>
      <c r="ER23" s="17" t="s">
        <v>870</v>
      </c>
      <c r="ES23" s="17" t="s">
        <v>870</v>
      </c>
      <c r="ET23" s="17" t="s">
        <v>870</v>
      </c>
      <c r="EU23" s="17" t="s">
        <v>870</v>
      </c>
      <c r="EV23" s="17" t="s">
        <v>870</v>
      </c>
      <c r="EW23" s="17" t="s">
        <v>870</v>
      </c>
      <c r="EX23" s="17" t="s">
        <v>870</v>
      </c>
      <c r="EY23" s="17" t="s">
        <v>870</v>
      </c>
      <c r="EZ23" s="17" t="s">
        <v>870</v>
      </c>
      <c r="FA23" s="17" t="s">
        <v>870</v>
      </c>
      <c r="FB23" s="17" t="s">
        <v>870</v>
      </c>
      <c r="FC23" s="17" t="s">
        <v>870</v>
      </c>
      <c r="FD23" s="17" t="s">
        <v>870</v>
      </c>
      <c r="FE23" s="17" t="s">
        <v>870</v>
      </c>
      <c r="FF23" s="17" t="s">
        <v>870</v>
      </c>
      <c r="FG23" s="17" t="s">
        <v>870</v>
      </c>
      <c r="FH23" s="17" t="s">
        <v>870</v>
      </c>
      <c r="FI23" s="17" t="s">
        <v>870</v>
      </c>
      <c r="FJ23" s="17" t="s">
        <v>870</v>
      </c>
      <c r="FK23" s="17" t="s">
        <v>870</v>
      </c>
      <c r="FL23" s="17" t="s">
        <v>870</v>
      </c>
      <c r="FM23" s="17" t="s">
        <v>870</v>
      </c>
      <c r="FN23" s="17" t="s">
        <v>870</v>
      </c>
      <c r="FO23" s="17" t="s">
        <v>870</v>
      </c>
      <c r="FP23" s="17" t="s">
        <v>870</v>
      </c>
      <c r="FQ23" s="17" t="s">
        <v>870</v>
      </c>
      <c r="FR23" s="17" t="s">
        <v>870</v>
      </c>
      <c r="FS23" s="17" t="s">
        <v>870</v>
      </c>
      <c r="FT23" s="17" t="s">
        <v>870</v>
      </c>
      <c r="FU23" s="17" t="s">
        <v>870</v>
      </c>
      <c r="FV23" s="17" t="s">
        <v>870</v>
      </c>
      <c r="FW23" s="17" t="s">
        <v>870</v>
      </c>
      <c r="FX23" s="17" t="s">
        <v>870</v>
      </c>
      <c r="FY23" s="17" t="s">
        <v>870</v>
      </c>
      <c r="FZ23" s="17" t="s">
        <v>870</v>
      </c>
      <c r="GA23" s="17" t="s">
        <v>870</v>
      </c>
      <c r="GB23" s="17" t="s">
        <v>870</v>
      </c>
      <c r="GC23" s="17" t="s">
        <v>870</v>
      </c>
      <c r="GD23" s="17" t="s">
        <v>870</v>
      </c>
      <c r="GE23" s="17" t="s">
        <v>870</v>
      </c>
      <c r="GF23" s="17" t="s">
        <v>870</v>
      </c>
      <c r="GG23" s="17" t="s">
        <v>870</v>
      </c>
      <c r="GH23" s="17" t="s">
        <v>870</v>
      </c>
      <c r="GI23" s="17" t="s">
        <v>870</v>
      </c>
      <c r="GJ23" s="17" t="s">
        <v>870</v>
      </c>
      <c r="GK23" s="17" t="s">
        <v>870</v>
      </c>
      <c r="GL23" s="17" t="s">
        <v>870</v>
      </c>
      <c r="GM23" s="17" t="s">
        <v>870</v>
      </c>
      <c r="GN23" s="17" t="s">
        <v>870</v>
      </c>
      <c r="GO23" s="17" t="s">
        <v>870</v>
      </c>
      <c r="GP23" s="17" t="s">
        <v>870</v>
      </c>
      <c r="GQ23" s="17" t="s">
        <v>870</v>
      </c>
      <c r="GR23" s="17" t="s">
        <v>870</v>
      </c>
      <c r="GS23" s="17" t="s">
        <v>870</v>
      </c>
      <c r="GT23" s="17" t="s">
        <v>870</v>
      </c>
      <c r="GU23" s="17" t="s">
        <v>870</v>
      </c>
      <c r="GV23" s="17" t="s">
        <v>870</v>
      </c>
      <c r="GW23" s="17" t="s">
        <v>870</v>
      </c>
      <c r="GX23" s="17" t="s">
        <v>870</v>
      </c>
      <c r="GY23" s="17" t="s">
        <v>870</v>
      </c>
      <c r="GZ23" s="17" t="s">
        <v>870</v>
      </c>
      <c r="HA23" s="17" t="s">
        <v>870</v>
      </c>
      <c r="HB23" s="17" t="s">
        <v>870</v>
      </c>
      <c r="HC23" s="17" t="s">
        <v>870</v>
      </c>
      <c r="HD23" s="17" t="s">
        <v>870</v>
      </c>
      <c r="HE23" s="17" t="s">
        <v>870</v>
      </c>
      <c r="HF23" s="17" t="s">
        <v>870</v>
      </c>
      <c r="HG23" s="17" t="s">
        <v>870</v>
      </c>
      <c r="HH23" s="17" t="s">
        <v>870</v>
      </c>
      <c r="HI23" s="17" t="s">
        <v>870</v>
      </c>
      <c r="HJ23" s="17" t="s">
        <v>870</v>
      </c>
      <c r="HK23" s="17" t="s">
        <v>870</v>
      </c>
      <c r="HL23" s="17" t="s">
        <v>870</v>
      </c>
      <c r="HM23" s="17" t="s">
        <v>870</v>
      </c>
      <c r="HN23" s="17" t="s">
        <v>870</v>
      </c>
      <c r="HO23" s="17" t="s">
        <v>870</v>
      </c>
      <c r="HP23" s="17" t="s">
        <v>870</v>
      </c>
      <c r="HQ23" s="17" t="s">
        <v>870</v>
      </c>
      <c r="HR23" s="17" t="s">
        <v>870</v>
      </c>
      <c r="HS23" s="17" t="s">
        <v>870</v>
      </c>
      <c r="HT23" s="17" t="s">
        <v>870</v>
      </c>
      <c r="HU23" s="17" t="s">
        <v>870</v>
      </c>
      <c r="HV23" s="17" t="s">
        <v>870</v>
      </c>
      <c r="HW23" s="17" t="s">
        <v>870</v>
      </c>
      <c r="HX23" s="17" t="s">
        <v>870</v>
      </c>
      <c r="HY23" s="17" t="s">
        <v>870</v>
      </c>
      <c r="HZ23" s="17" t="s">
        <v>870</v>
      </c>
      <c r="IA23" s="17" t="s">
        <v>870</v>
      </c>
      <c r="IB23" s="17" t="s">
        <v>870</v>
      </c>
      <c r="IC23" s="17" t="s">
        <v>870</v>
      </c>
      <c r="ID23" s="72" t="s">
        <v>1552</v>
      </c>
      <c r="IE23" s="17" t="s">
        <v>870</v>
      </c>
      <c r="IF23" s="17" t="s">
        <v>870</v>
      </c>
      <c r="IG23" s="17" t="s">
        <v>870</v>
      </c>
      <c r="IH23" s="17" t="s">
        <v>870</v>
      </c>
      <c r="II23" s="17" t="s">
        <v>870</v>
      </c>
      <c r="IJ23" s="17" t="s">
        <v>870</v>
      </c>
      <c r="IK23" s="17" t="s">
        <v>870</v>
      </c>
      <c r="IL23" s="17" t="s">
        <v>870</v>
      </c>
      <c r="IM23" s="17" t="s">
        <v>870</v>
      </c>
      <c r="IN23" s="17" t="s">
        <v>870</v>
      </c>
      <c r="IO23" s="17" t="s">
        <v>870</v>
      </c>
    </row>
    <row r="24" spans="1:249" x14ac:dyDescent="0.25">
      <c r="A24" t="s">
        <v>358</v>
      </c>
      <c r="B24" s="17" t="s">
        <v>870</v>
      </c>
      <c r="C24" s="17" t="s">
        <v>870</v>
      </c>
      <c r="D24" s="17" t="s">
        <v>870</v>
      </c>
      <c r="E24" s="17" t="s">
        <v>870</v>
      </c>
      <c r="F24" s="17" t="s">
        <v>870</v>
      </c>
      <c r="G24" s="17" t="s">
        <v>870</v>
      </c>
      <c r="H24" s="17" t="s">
        <v>870</v>
      </c>
      <c r="I24" s="17" t="s">
        <v>870</v>
      </c>
      <c r="J24" s="17" t="s">
        <v>870</v>
      </c>
      <c r="K24" s="17" t="s">
        <v>870</v>
      </c>
      <c r="L24" s="17" t="s">
        <v>870</v>
      </c>
      <c r="M24" s="17" t="s">
        <v>870</v>
      </c>
      <c r="N24" s="17" t="s">
        <v>870</v>
      </c>
      <c r="O24" s="17" t="s">
        <v>870</v>
      </c>
      <c r="P24" s="17" t="s">
        <v>870</v>
      </c>
      <c r="Q24" s="17" t="s">
        <v>870</v>
      </c>
      <c r="R24" s="17" t="s">
        <v>870</v>
      </c>
      <c r="S24" s="17" t="s">
        <v>870</v>
      </c>
      <c r="T24" s="17" t="s">
        <v>870</v>
      </c>
      <c r="U24" s="17" t="s">
        <v>870</v>
      </c>
      <c r="V24" s="17" t="s">
        <v>870</v>
      </c>
      <c r="W24" s="17" t="s">
        <v>870</v>
      </c>
      <c r="X24" s="17" t="s">
        <v>870</v>
      </c>
      <c r="Y24" s="17" t="s">
        <v>870</v>
      </c>
      <c r="Z24" s="17" t="s">
        <v>870</v>
      </c>
      <c r="AA24" s="17" t="s">
        <v>870</v>
      </c>
      <c r="AB24" s="17" t="s">
        <v>870</v>
      </c>
      <c r="AC24" s="17" t="s">
        <v>870</v>
      </c>
      <c r="AD24" s="17" t="s">
        <v>870</v>
      </c>
      <c r="AE24" s="17" t="s">
        <v>870</v>
      </c>
      <c r="AF24" s="17" t="s">
        <v>870</v>
      </c>
      <c r="AG24" s="17" t="s">
        <v>870</v>
      </c>
      <c r="AH24" s="17" t="s">
        <v>870</v>
      </c>
      <c r="AI24" s="17" t="s">
        <v>870</v>
      </c>
      <c r="AJ24" s="17" t="s">
        <v>870</v>
      </c>
      <c r="AK24" s="17" t="s">
        <v>870</v>
      </c>
      <c r="AL24" s="17" t="s">
        <v>870</v>
      </c>
      <c r="AM24" s="17" t="s">
        <v>870</v>
      </c>
      <c r="AN24" s="17" t="s">
        <v>870</v>
      </c>
      <c r="AO24" s="17" t="s">
        <v>870</v>
      </c>
      <c r="AP24" s="17" t="s">
        <v>870</v>
      </c>
      <c r="AQ24" s="17" t="s">
        <v>870</v>
      </c>
      <c r="AR24" s="17" t="s">
        <v>870</v>
      </c>
      <c r="AS24" s="17" t="s">
        <v>870</v>
      </c>
      <c r="AT24" s="17" t="s">
        <v>870</v>
      </c>
      <c r="AU24" s="17" t="s">
        <v>870</v>
      </c>
      <c r="AV24" s="17" t="s">
        <v>870</v>
      </c>
      <c r="AW24" s="17" t="s">
        <v>870</v>
      </c>
      <c r="AX24" s="17" t="s">
        <v>870</v>
      </c>
      <c r="AY24" s="17" t="s">
        <v>870</v>
      </c>
      <c r="AZ24" s="17" t="s">
        <v>870</v>
      </c>
      <c r="BA24" s="17" t="s">
        <v>870</v>
      </c>
      <c r="BB24" s="17" t="s">
        <v>870</v>
      </c>
      <c r="BC24" s="17" t="s">
        <v>870</v>
      </c>
      <c r="BD24" s="17" t="s">
        <v>870</v>
      </c>
      <c r="BE24" s="17" t="s">
        <v>870</v>
      </c>
      <c r="BF24" s="17" t="s">
        <v>870</v>
      </c>
      <c r="BG24" s="17" t="s">
        <v>870</v>
      </c>
      <c r="BH24" s="17" t="s">
        <v>870</v>
      </c>
      <c r="BI24" s="17" t="s">
        <v>870</v>
      </c>
      <c r="BJ24" s="17" t="s">
        <v>870</v>
      </c>
      <c r="BK24" s="17" t="s">
        <v>870</v>
      </c>
      <c r="BL24" s="17" t="s">
        <v>870</v>
      </c>
      <c r="BM24" s="17" t="s">
        <v>870</v>
      </c>
      <c r="BN24" s="17" t="s">
        <v>870</v>
      </c>
      <c r="BO24" s="17" t="s">
        <v>870</v>
      </c>
      <c r="BP24" s="17" t="s">
        <v>870</v>
      </c>
      <c r="BQ24" s="17" t="s">
        <v>870</v>
      </c>
      <c r="BR24" s="17" t="s">
        <v>870</v>
      </c>
      <c r="BS24" s="17" t="s">
        <v>870</v>
      </c>
      <c r="BT24" s="17" t="s">
        <v>870</v>
      </c>
      <c r="BU24" s="17" t="s">
        <v>870</v>
      </c>
      <c r="BV24" s="17" t="s">
        <v>870</v>
      </c>
      <c r="BW24" s="17" t="s">
        <v>870</v>
      </c>
      <c r="BX24" s="17" t="s">
        <v>870</v>
      </c>
      <c r="BY24" s="17" t="s">
        <v>870</v>
      </c>
      <c r="BZ24" s="17" t="s">
        <v>870</v>
      </c>
      <c r="CA24" s="17" t="s">
        <v>870</v>
      </c>
      <c r="CB24" s="17" t="s">
        <v>870</v>
      </c>
      <c r="CC24" s="17" t="s">
        <v>870</v>
      </c>
      <c r="CD24" s="17" t="s">
        <v>870</v>
      </c>
      <c r="CE24" s="17" t="s">
        <v>870</v>
      </c>
      <c r="CF24" s="17" t="s">
        <v>870</v>
      </c>
      <c r="CG24" s="17" t="s">
        <v>870</v>
      </c>
      <c r="CH24" s="17" t="s">
        <v>870</v>
      </c>
      <c r="CI24" s="17" t="s">
        <v>870</v>
      </c>
      <c r="CJ24" s="17" t="s">
        <v>870</v>
      </c>
      <c r="CK24" s="17" t="s">
        <v>870</v>
      </c>
      <c r="CL24" s="17" t="s">
        <v>870</v>
      </c>
      <c r="CM24" s="17" t="s">
        <v>870</v>
      </c>
      <c r="CN24" s="17" t="s">
        <v>870</v>
      </c>
      <c r="CO24" s="17" t="s">
        <v>870</v>
      </c>
      <c r="CP24" s="17" t="s">
        <v>870</v>
      </c>
      <c r="CQ24" s="17" t="s">
        <v>870</v>
      </c>
      <c r="CR24" s="17" t="s">
        <v>870</v>
      </c>
      <c r="CS24" s="17" t="s">
        <v>870</v>
      </c>
      <c r="CT24" s="17" t="s">
        <v>870</v>
      </c>
      <c r="CU24" s="17" t="s">
        <v>870</v>
      </c>
      <c r="CV24" s="17" t="s">
        <v>870</v>
      </c>
      <c r="CW24" s="17" t="s">
        <v>870</v>
      </c>
      <c r="CX24" s="17" t="s">
        <v>870</v>
      </c>
      <c r="CY24" s="17" t="s">
        <v>870</v>
      </c>
      <c r="CZ24" s="17" t="s">
        <v>870</v>
      </c>
      <c r="DA24" s="17" t="s">
        <v>870</v>
      </c>
      <c r="DB24" s="17" t="s">
        <v>870</v>
      </c>
      <c r="DC24" s="17" t="s">
        <v>870</v>
      </c>
      <c r="DD24" s="17" t="s">
        <v>870</v>
      </c>
      <c r="DE24" s="17" t="s">
        <v>870</v>
      </c>
      <c r="DF24" s="17" t="s">
        <v>870</v>
      </c>
      <c r="DG24" s="17" t="s">
        <v>870</v>
      </c>
      <c r="DH24" s="17" t="s">
        <v>870</v>
      </c>
      <c r="DI24" s="17" t="s">
        <v>870</v>
      </c>
      <c r="DJ24" s="17" t="s">
        <v>870</v>
      </c>
      <c r="DK24" s="17" t="s">
        <v>870</v>
      </c>
      <c r="DL24" s="17" t="s">
        <v>870</v>
      </c>
      <c r="DM24" s="17" t="s">
        <v>870</v>
      </c>
      <c r="DN24" s="17" t="s">
        <v>870</v>
      </c>
      <c r="DO24" s="17" t="s">
        <v>870</v>
      </c>
      <c r="DP24" s="17" t="s">
        <v>870</v>
      </c>
      <c r="DQ24" s="17" t="s">
        <v>870</v>
      </c>
      <c r="DR24" s="17" t="s">
        <v>870</v>
      </c>
      <c r="DS24" s="17" t="s">
        <v>870</v>
      </c>
      <c r="DT24" s="17" t="s">
        <v>870</v>
      </c>
      <c r="DU24" s="17" t="s">
        <v>870</v>
      </c>
      <c r="DV24" s="17" t="s">
        <v>870</v>
      </c>
      <c r="DW24" s="17" t="s">
        <v>870</v>
      </c>
      <c r="DX24" s="17" t="s">
        <v>870</v>
      </c>
      <c r="DY24" s="17" t="s">
        <v>870</v>
      </c>
      <c r="DZ24" s="17" t="s">
        <v>870</v>
      </c>
      <c r="EA24" s="17" t="s">
        <v>870</v>
      </c>
      <c r="EB24" s="17" t="s">
        <v>870</v>
      </c>
      <c r="EC24" s="17" t="s">
        <v>870</v>
      </c>
      <c r="ED24" s="17" t="s">
        <v>870</v>
      </c>
      <c r="EE24" s="17" t="s">
        <v>870</v>
      </c>
      <c r="EF24" s="17" t="s">
        <v>870</v>
      </c>
      <c r="EG24" s="17" t="s">
        <v>870</v>
      </c>
      <c r="EH24" s="17" t="s">
        <v>870</v>
      </c>
      <c r="EI24" s="17" t="s">
        <v>870</v>
      </c>
      <c r="EJ24" s="17" t="s">
        <v>870</v>
      </c>
      <c r="EK24" s="17" t="s">
        <v>870</v>
      </c>
      <c r="EL24" s="17" t="s">
        <v>870</v>
      </c>
      <c r="EM24" s="17" t="s">
        <v>870</v>
      </c>
      <c r="EN24" s="63"/>
      <c r="EO24" s="63"/>
      <c r="EP24" s="63"/>
      <c r="EQ24" s="61" t="s">
        <v>2</v>
      </c>
      <c r="ER24" s="61" t="s">
        <v>2</v>
      </c>
      <c r="ES24" s="63"/>
      <c r="ET24" s="61" t="s">
        <v>2</v>
      </c>
      <c r="EU24" s="61" t="s">
        <v>2</v>
      </c>
      <c r="EV24" s="61" t="s">
        <v>2</v>
      </c>
      <c r="EW24" s="63"/>
      <c r="EX24" s="61" t="s">
        <v>2</v>
      </c>
      <c r="EY24" s="61" t="s">
        <v>2</v>
      </c>
      <c r="EZ24" s="61" t="s">
        <v>2</v>
      </c>
      <c r="FA24" s="63"/>
      <c r="FB24" s="17" t="s">
        <v>870</v>
      </c>
      <c r="FC24" s="17" t="s">
        <v>870</v>
      </c>
      <c r="FD24" s="17" t="s">
        <v>870</v>
      </c>
      <c r="FE24" s="17" t="s">
        <v>870</v>
      </c>
      <c r="FF24" s="17" t="s">
        <v>870</v>
      </c>
      <c r="FG24" s="17" t="s">
        <v>870</v>
      </c>
      <c r="FH24" s="62"/>
      <c r="FI24" s="63"/>
      <c r="FJ24" s="17" t="s">
        <v>870</v>
      </c>
      <c r="FK24" s="62"/>
      <c r="FL24" s="17" t="s">
        <v>870</v>
      </c>
      <c r="FM24" s="17" t="s">
        <v>870</v>
      </c>
      <c r="FN24" s="17" t="s">
        <v>870</v>
      </c>
      <c r="FO24" s="17" t="s">
        <v>870</v>
      </c>
      <c r="FP24" s="63"/>
      <c r="FQ24" s="61" t="s">
        <v>2</v>
      </c>
      <c r="FR24" s="17" t="s">
        <v>870</v>
      </c>
      <c r="FS24" s="17" t="s">
        <v>870</v>
      </c>
      <c r="FT24" s="17" t="s">
        <v>870</v>
      </c>
      <c r="FU24" s="17" t="s">
        <v>870</v>
      </c>
      <c r="FV24" s="62"/>
      <c r="FW24" s="61" t="s">
        <v>2</v>
      </c>
      <c r="FX24" s="17" t="s">
        <v>870</v>
      </c>
      <c r="FY24" s="17" t="s">
        <v>870</v>
      </c>
      <c r="FZ24" s="17" t="s">
        <v>870</v>
      </c>
      <c r="GA24" s="17" t="s">
        <v>870</v>
      </c>
      <c r="GB24" s="17" t="s">
        <v>870</v>
      </c>
      <c r="GC24" s="17" t="s">
        <v>870</v>
      </c>
      <c r="GD24" s="17" t="s">
        <v>870</v>
      </c>
      <c r="GE24" s="17" t="s">
        <v>870</v>
      </c>
      <c r="GF24" s="61" t="s">
        <v>2</v>
      </c>
      <c r="GG24" s="61" t="s">
        <v>2</v>
      </c>
      <c r="GH24" s="17" t="s">
        <v>870</v>
      </c>
      <c r="GI24" s="17" t="s">
        <v>870</v>
      </c>
      <c r="GJ24" s="61" t="s">
        <v>2</v>
      </c>
      <c r="GK24" s="62"/>
      <c r="GL24" s="61" t="s">
        <v>2</v>
      </c>
      <c r="GM24" s="61" t="s">
        <v>2</v>
      </c>
      <c r="GN24" s="62"/>
      <c r="GO24" s="61" t="s">
        <v>2</v>
      </c>
      <c r="GP24" s="61" t="s">
        <v>2</v>
      </c>
      <c r="GQ24" s="63"/>
      <c r="GR24" s="17" t="s">
        <v>870</v>
      </c>
      <c r="GS24" s="17" t="s">
        <v>870</v>
      </c>
      <c r="GT24" s="63"/>
      <c r="GU24" s="61" t="s">
        <v>2</v>
      </c>
      <c r="GV24" s="63"/>
      <c r="GW24" s="17" t="s">
        <v>870</v>
      </c>
      <c r="GX24" s="17" t="s">
        <v>870</v>
      </c>
      <c r="GY24" s="17" t="s">
        <v>870</v>
      </c>
      <c r="GZ24" s="61" t="s">
        <v>2</v>
      </c>
      <c r="HA24" s="61" t="s">
        <v>2</v>
      </c>
      <c r="HB24" s="17" t="s">
        <v>870</v>
      </c>
      <c r="HC24" s="17" t="s">
        <v>870</v>
      </c>
      <c r="HD24" s="17" t="s">
        <v>870</v>
      </c>
      <c r="HE24" s="17" t="s">
        <v>870</v>
      </c>
      <c r="HF24" s="17" t="s">
        <v>870</v>
      </c>
      <c r="HG24" s="17" t="s">
        <v>870</v>
      </c>
      <c r="HH24" s="17" t="s">
        <v>870</v>
      </c>
      <c r="HI24" s="17" t="s">
        <v>870</v>
      </c>
      <c r="HJ24" s="17" t="s">
        <v>870</v>
      </c>
      <c r="HK24" s="17" t="s">
        <v>870</v>
      </c>
      <c r="HL24" s="17" t="s">
        <v>870</v>
      </c>
      <c r="HM24" s="17" t="s">
        <v>870</v>
      </c>
      <c r="HN24" s="17" t="s">
        <v>870</v>
      </c>
      <c r="HO24" s="17" t="s">
        <v>870</v>
      </c>
      <c r="HP24" s="61" t="s">
        <v>2</v>
      </c>
      <c r="HQ24" s="63"/>
      <c r="HR24" s="62"/>
      <c r="HS24" s="61" t="s">
        <v>2</v>
      </c>
      <c r="HT24" s="63"/>
      <c r="HU24" s="61" t="s">
        <v>2</v>
      </c>
      <c r="HV24" s="17" t="s">
        <v>870</v>
      </c>
      <c r="HW24" s="17" t="s">
        <v>870</v>
      </c>
      <c r="HX24" s="17" t="s">
        <v>870</v>
      </c>
      <c r="HY24" s="17" t="s">
        <v>870</v>
      </c>
      <c r="HZ24" s="17" t="s">
        <v>870</v>
      </c>
      <c r="IA24" s="17" t="s">
        <v>870</v>
      </c>
      <c r="IB24" s="17" t="s">
        <v>870</v>
      </c>
      <c r="IC24" s="17" t="s">
        <v>870</v>
      </c>
      <c r="ID24" s="72" t="s">
        <v>1552</v>
      </c>
      <c r="IE24" s="17" t="s">
        <v>870</v>
      </c>
      <c r="IF24" s="17" t="s">
        <v>870</v>
      </c>
      <c r="IG24" s="17" t="s">
        <v>870</v>
      </c>
      <c r="IH24" s="17" t="s">
        <v>870</v>
      </c>
      <c r="II24" s="17" t="s">
        <v>870</v>
      </c>
      <c r="IJ24" s="17" t="s">
        <v>870</v>
      </c>
      <c r="IK24" s="17" t="s">
        <v>870</v>
      </c>
      <c r="IL24" s="17" t="s">
        <v>870</v>
      </c>
      <c r="IM24" s="17" t="s">
        <v>870</v>
      </c>
      <c r="IN24" s="17" t="s">
        <v>870</v>
      </c>
      <c r="IO24" s="17" t="s">
        <v>870</v>
      </c>
    </row>
    <row r="25" spans="1:249" x14ac:dyDescent="0.25">
      <c r="A25" t="s">
        <v>438</v>
      </c>
      <c r="B25" s="17" t="s">
        <v>870</v>
      </c>
      <c r="C25" s="17" t="s">
        <v>870</v>
      </c>
      <c r="D25" s="17" t="s">
        <v>870</v>
      </c>
      <c r="E25" s="17" t="s">
        <v>870</v>
      </c>
      <c r="F25" s="17" t="s">
        <v>870</v>
      </c>
      <c r="G25" s="17" t="s">
        <v>870</v>
      </c>
      <c r="H25" s="17" t="s">
        <v>870</v>
      </c>
      <c r="I25" s="17" t="s">
        <v>870</v>
      </c>
      <c r="J25" s="17" t="s">
        <v>870</v>
      </c>
      <c r="K25" s="17" t="s">
        <v>870</v>
      </c>
      <c r="L25" s="17" t="s">
        <v>870</v>
      </c>
      <c r="M25" s="17" t="s">
        <v>870</v>
      </c>
      <c r="N25" s="17" t="s">
        <v>870</v>
      </c>
      <c r="O25" s="17" t="s">
        <v>870</v>
      </c>
      <c r="P25" s="17" t="s">
        <v>870</v>
      </c>
      <c r="Q25" s="17" t="s">
        <v>870</v>
      </c>
      <c r="R25" s="17" t="s">
        <v>870</v>
      </c>
      <c r="S25" s="17" t="s">
        <v>870</v>
      </c>
      <c r="T25" s="17" t="s">
        <v>870</v>
      </c>
      <c r="U25" s="17" t="s">
        <v>870</v>
      </c>
      <c r="V25" s="17" t="s">
        <v>870</v>
      </c>
      <c r="W25" s="17" t="s">
        <v>870</v>
      </c>
      <c r="X25" s="17" t="s">
        <v>870</v>
      </c>
      <c r="Y25" s="17" t="s">
        <v>870</v>
      </c>
      <c r="Z25" s="17" t="s">
        <v>870</v>
      </c>
      <c r="AA25" s="17" t="s">
        <v>870</v>
      </c>
      <c r="AB25" s="17" t="s">
        <v>870</v>
      </c>
      <c r="AC25" s="17" t="s">
        <v>870</v>
      </c>
      <c r="AD25" s="17" t="s">
        <v>870</v>
      </c>
      <c r="AE25" s="17" t="s">
        <v>870</v>
      </c>
      <c r="AF25" s="17" t="s">
        <v>870</v>
      </c>
      <c r="AG25" s="17" t="s">
        <v>870</v>
      </c>
      <c r="AH25" s="17" t="s">
        <v>870</v>
      </c>
      <c r="AI25" s="17" t="s">
        <v>870</v>
      </c>
      <c r="AJ25" s="17" t="s">
        <v>870</v>
      </c>
      <c r="AK25" s="17" t="s">
        <v>870</v>
      </c>
      <c r="AL25" s="17" t="s">
        <v>870</v>
      </c>
      <c r="AM25" s="17" t="s">
        <v>870</v>
      </c>
      <c r="AN25" s="17" t="s">
        <v>870</v>
      </c>
      <c r="AO25" s="17" t="s">
        <v>870</v>
      </c>
      <c r="AP25" s="17" t="s">
        <v>870</v>
      </c>
      <c r="AQ25" s="17" t="s">
        <v>870</v>
      </c>
      <c r="AR25" s="17" t="s">
        <v>870</v>
      </c>
      <c r="AS25" s="17" t="s">
        <v>870</v>
      </c>
      <c r="AT25" s="17" t="s">
        <v>870</v>
      </c>
      <c r="AU25" s="17" t="s">
        <v>870</v>
      </c>
      <c r="AV25" s="17" t="s">
        <v>870</v>
      </c>
      <c r="AW25" s="17" t="s">
        <v>870</v>
      </c>
      <c r="AX25" s="17" t="s">
        <v>870</v>
      </c>
      <c r="AY25" s="17" t="s">
        <v>870</v>
      </c>
      <c r="AZ25" s="17" t="s">
        <v>870</v>
      </c>
      <c r="BA25" s="17" t="s">
        <v>870</v>
      </c>
      <c r="BB25" s="17" t="s">
        <v>870</v>
      </c>
      <c r="BC25" s="17" t="s">
        <v>870</v>
      </c>
      <c r="BD25" s="17" t="s">
        <v>870</v>
      </c>
      <c r="BE25" s="17" t="s">
        <v>870</v>
      </c>
      <c r="BF25" s="17" t="s">
        <v>870</v>
      </c>
      <c r="BG25" s="17" t="s">
        <v>870</v>
      </c>
      <c r="BH25" s="17" t="s">
        <v>870</v>
      </c>
      <c r="BI25" s="17" t="s">
        <v>870</v>
      </c>
      <c r="BJ25" s="17" t="s">
        <v>870</v>
      </c>
      <c r="BK25" s="17" t="s">
        <v>870</v>
      </c>
      <c r="BL25" s="17" t="s">
        <v>870</v>
      </c>
      <c r="BM25" s="17" t="s">
        <v>870</v>
      </c>
      <c r="BN25" s="17" t="s">
        <v>870</v>
      </c>
      <c r="BO25" s="17" t="s">
        <v>870</v>
      </c>
      <c r="BP25" s="17" t="s">
        <v>870</v>
      </c>
      <c r="BQ25" s="17" t="s">
        <v>870</v>
      </c>
      <c r="BR25" s="17" t="s">
        <v>870</v>
      </c>
      <c r="BS25" s="17" t="s">
        <v>870</v>
      </c>
      <c r="BT25" s="17" t="s">
        <v>870</v>
      </c>
      <c r="BU25" s="17" t="s">
        <v>870</v>
      </c>
      <c r="BV25" s="17" t="s">
        <v>870</v>
      </c>
      <c r="BW25" s="17" t="s">
        <v>870</v>
      </c>
      <c r="BX25" s="17" t="s">
        <v>870</v>
      </c>
      <c r="BY25" s="17" t="s">
        <v>870</v>
      </c>
      <c r="BZ25" s="17" t="s">
        <v>870</v>
      </c>
      <c r="CA25" s="17" t="s">
        <v>870</v>
      </c>
      <c r="CB25" s="17" t="s">
        <v>870</v>
      </c>
      <c r="CC25" s="17" t="s">
        <v>870</v>
      </c>
      <c r="CD25" s="17" t="s">
        <v>870</v>
      </c>
      <c r="CE25" s="17" t="s">
        <v>870</v>
      </c>
      <c r="CF25" s="17" t="s">
        <v>870</v>
      </c>
      <c r="CG25" s="17" t="s">
        <v>870</v>
      </c>
      <c r="CH25" s="17" t="s">
        <v>870</v>
      </c>
      <c r="CI25" s="17" t="s">
        <v>870</v>
      </c>
      <c r="CJ25" s="17" t="s">
        <v>870</v>
      </c>
      <c r="CK25" s="17" t="s">
        <v>870</v>
      </c>
      <c r="CL25" s="17" t="s">
        <v>870</v>
      </c>
      <c r="CM25" s="17" t="s">
        <v>870</v>
      </c>
      <c r="CN25" s="17" t="s">
        <v>870</v>
      </c>
      <c r="CO25" s="17" t="s">
        <v>870</v>
      </c>
      <c r="CP25" s="17" t="s">
        <v>870</v>
      </c>
      <c r="CQ25" s="17" t="s">
        <v>870</v>
      </c>
      <c r="CR25" s="17" t="s">
        <v>870</v>
      </c>
      <c r="CS25" s="17" t="s">
        <v>870</v>
      </c>
      <c r="CT25" s="17" t="s">
        <v>870</v>
      </c>
      <c r="CU25" s="17" t="s">
        <v>870</v>
      </c>
      <c r="CV25" s="17" t="s">
        <v>870</v>
      </c>
      <c r="CW25" s="17" t="s">
        <v>870</v>
      </c>
      <c r="CX25" s="17" t="s">
        <v>870</v>
      </c>
      <c r="CY25" s="17" t="s">
        <v>870</v>
      </c>
      <c r="CZ25" s="17" t="s">
        <v>870</v>
      </c>
      <c r="DA25" s="17" t="s">
        <v>870</v>
      </c>
      <c r="DB25" s="17" t="s">
        <v>870</v>
      </c>
      <c r="DC25" s="17" t="s">
        <v>870</v>
      </c>
      <c r="DD25" s="17" t="s">
        <v>870</v>
      </c>
      <c r="DE25" s="17" t="s">
        <v>870</v>
      </c>
      <c r="DF25" s="17" t="s">
        <v>870</v>
      </c>
      <c r="DG25" s="17" t="s">
        <v>870</v>
      </c>
      <c r="DH25" s="17" t="s">
        <v>870</v>
      </c>
      <c r="DI25" s="17" t="s">
        <v>870</v>
      </c>
      <c r="DJ25" s="17" t="s">
        <v>870</v>
      </c>
      <c r="DK25" s="17" t="s">
        <v>870</v>
      </c>
      <c r="DL25" s="17" t="s">
        <v>870</v>
      </c>
      <c r="DM25" s="17" t="s">
        <v>870</v>
      </c>
      <c r="DN25" s="17" t="s">
        <v>870</v>
      </c>
      <c r="DO25" s="17" t="s">
        <v>870</v>
      </c>
      <c r="DP25" s="17" t="s">
        <v>870</v>
      </c>
      <c r="DQ25" s="17" t="s">
        <v>870</v>
      </c>
      <c r="DR25" s="17" t="s">
        <v>870</v>
      </c>
      <c r="DS25" s="17" t="s">
        <v>870</v>
      </c>
      <c r="DT25" s="17" t="s">
        <v>870</v>
      </c>
      <c r="DU25" s="17" t="s">
        <v>870</v>
      </c>
      <c r="DV25" s="17" t="s">
        <v>870</v>
      </c>
      <c r="DW25" s="17" t="s">
        <v>870</v>
      </c>
      <c r="DX25" s="17" t="s">
        <v>870</v>
      </c>
      <c r="DY25" s="17" t="s">
        <v>870</v>
      </c>
      <c r="DZ25" s="17" t="s">
        <v>870</v>
      </c>
      <c r="EA25" s="17" t="s">
        <v>870</v>
      </c>
      <c r="EB25" s="17" t="s">
        <v>870</v>
      </c>
      <c r="EC25" s="17" t="s">
        <v>870</v>
      </c>
      <c r="ED25" s="17" t="s">
        <v>870</v>
      </c>
      <c r="EE25" s="17" t="s">
        <v>870</v>
      </c>
      <c r="EF25" s="17" t="s">
        <v>870</v>
      </c>
      <c r="EG25" s="17" t="s">
        <v>870</v>
      </c>
      <c r="EH25" s="17" t="s">
        <v>870</v>
      </c>
      <c r="EI25" s="17" t="s">
        <v>870</v>
      </c>
      <c r="EJ25" s="17" t="s">
        <v>870</v>
      </c>
      <c r="EK25" s="17" t="s">
        <v>870</v>
      </c>
      <c r="EL25" s="17" t="s">
        <v>870</v>
      </c>
      <c r="EM25" s="17" t="s">
        <v>870</v>
      </c>
      <c r="EN25" s="17" t="s">
        <v>870</v>
      </c>
      <c r="EO25" s="17" t="s">
        <v>870</v>
      </c>
      <c r="EP25" s="17" t="s">
        <v>870</v>
      </c>
      <c r="EQ25" s="17" t="s">
        <v>870</v>
      </c>
      <c r="ER25" s="17" t="s">
        <v>870</v>
      </c>
      <c r="ES25" s="17" t="s">
        <v>870</v>
      </c>
      <c r="ET25" s="17" t="s">
        <v>870</v>
      </c>
      <c r="EU25" s="17" t="s">
        <v>870</v>
      </c>
      <c r="EV25" s="17" t="s">
        <v>870</v>
      </c>
      <c r="EW25" s="17" t="s">
        <v>870</v>
      </c>
      <c r="EX25" s="17" t="s">
        <v>870</v>
      </c>
      <c r="EY25" s="17" t="s">
        <v>870</v>
      </c>
      <c r="EZ25" s="17" t="s">
        <v>870</v>
      </c>
      <c r="FA25" s="17" t="s">
        <v>870</v>
      </c>
      <c r="FB25" s="17" t="s">
        <v>870</v>
      </c>
      <c r="FC25" s="17" t="s">
        <v>870</v>
      </c>
      <c r="FD25" s="17" t="s">
        <v>870</v>
      </c>
      <c r="FE25" s="17" t="s">
        <v>870</v>
      </c>
      <c r="FF25" s="17" t="s">
        <v>870</v>
      </c>
      <c r="FG25" s="17" t="s">
        <v>870</v>
      </c>
      <c r="FH25" s="17" t="s">
        <v>870</v>
      </c>
      <c r="FI25" s="17" t="s">
        <v>870</v>
      </c>
      <c r="FJ25" s="17" t="s">
        <v>870</v>
      </c>
      <c r="FK25" s="17" t="s">
        <v>870</v>
      </c>
      <c r="FL25" s="63"/>
      <c r="FM25" s="63"/>
      <c r="FN25" s="61" t="s">
        <v>2</v>
      </c>
      <c r="FO25" s="61" t="s">
        <v>2</v>
      </c>
      <c r="FP25" s="61" t="s">
        <v>2</v>
      </c>
      <c r="FQ25" s="61" t="s">
        <v>2</v>
      </c>
      <c r="FR25" s="61" t="s">
        <v>2</v>
      </c>
      <c r="FS25" s="63"/>
      <c r="FT25" s="61" t="s">
        <v>2</v>
      </c>
      <c r="FU25" s="63"/>
      <c r="FV25" s="17" t="s">
        <v>870</v>
      </c>
      <c r="FW25" s="17" t="s">
        <v>870</v>
      </c>
      <c r="FX25" s="61" t="s">
        <v>2</v>
      </c>
      <c r="FY25" s="62"/>
      <c r="FZ25" s="63"/>
      <c r="GA25" s="63"/>
      <c r="GB25" s="63"/>
      <c r="GC25" s="63"/>
      <c r="GD25" s="61" t="s">
        <v>2</v>
      </c>
      <c r="GE25" s="61" t="s">
        <v>2</v>
      </c>
      <c r="GF25" s="61" t="s">
        <v>2</v>
      </c>
      <c r="GG25" s="63"/>
      <c r="GH25" s="61" t="s">
        <v>2</v>
      </c>
      <c r="GI25" s="63"/>
      <c r="GJ25" s="61" t="s">
        <v>2</v>
      </c>
      <c r="GK25" s="63"/>
      <c r="GL25" s="61" t="s">
        <v>2</v>
      </c>
      <c r="GM25" s="61" t="s">
        <v>2</v>
      </c>
      <c r="GN25" s="61" t="s">
        <v>2</v>
      </c>
      <c r="GO25" s="61" t="s">
        <v>2</v>
      </c>
      <c r="GP25" s="17" t="s">
        <v>870</v>
      </c>
      <c r="GQ25" s="17" t="s">
        <v>870</v>
      </c>
      <c r="GR25" s="17" t="s">
        <v>870</v>
      </c>
      <c r="GS25" s="17" t="s">
        <v>870</v>
      </c>
      <c r="GT25" s="17" t="s">
        <v>870</v>
      </c>
      <c r="GU25" s="17" t="s">
        <v>870</v>
      </c>
      <c r="GV25" s="17" t="s">
        <v>870</v>
      </c>
      <c r="GW25" s="17" t="s">
        <v>870</v>
      </c>
      <c r="GX25" s="17" t="s">
        <v>870</v>
      </c>
      <c r="GY25" s="17" t="s">
        <v>870</v>
      </c>
      <c r="GZ25" s="17" t="s">
        <v>870</v>
      </c>
      <c r="HA25" s="17" t="s">
        <v>870</v>
      </c>
      <c r="HB25" s="17" t="s">
        <v>870</v>
      </c>
      <c r="HC25" s="17" t="s">
        <v>870</v>
      </c>
      <c r="HD25" s="17" t="s">
        <v>870</v>
      </c>
      <c r="HE25" s="17" t="s">
        <v>870</v>
      </c>
      <c r="HF25" s="17" t="s">
        <v>870</v>
      </c>
      <c r="HG25" s="17" t="s">
        <v>870</v>
      </c>
      <c r="HH25" s="17" t="s">
        <v>870</v>
      </c>
      <c r="HI25" s="17" t="s">
        <v>870</v>
      </c>
      <c r="HJ25" s="17" t="s">
        <v>870</v>
      </c>
      <c r="HK25" s="17" t="s">
        <v>870</v>
      </c>
      <c r="HL25" s="17" t="s">
        <v>870</v>
      </c>
      <c r="HM25" s="17" t="s">
        <v>870</v>
      </c>
      <c r="HN25" s="17" t="s">
        <v>870</v>
      </c>
      <c r="HO25" s="17" t="s">
        <v>870</v>
      </c>
      <c r="HP25" s="17" t="s">
        <v>870</v>
      </c>
      <c r="HQ25" s="17" t="s">
        <v>870</v>
      </c>
      <c r="HR25" s="17" t="s">
        <v>870</v>
      </c>
      <c r="HS25" s="17" t="s">
        <v>870</v>
      </c>
      <c r="HT25" s="17" t="s">
        <v>870</v>
      </c>
      <c r="HU25" s="17" t="s">
        <v>870</v>
      </c>
      <c r="HV25" s="17" t="s">
        <v>870</v>
      </c>
      <c r="HW25" s="17" t="s">
        <v>870</v>
      </c>
      <c r="HX25" s="17" t="s">
        <v>870</v>
      </c>
      <c r="HY25" s="17" t="s">
        <v>870</v>
      </c>
      <c r="HZ25" s="17" t="s">
        <v>870</v>
      </c>
      <c r="IA25" s="17" t="s">
        <v>870</v>
      </c>
      <c r="IB25" s="17" t="s">
        <v>870</v>
      </c>
      <c r="IC25" s="17" t="s">
        <v>870</v>
      </c>
      <c r="ID25" s="72" t="s">
        <v>1552</v>
      </c>
      <c r="IE25" s="17" t="s">
        <v>870</v>
      </c>
      <c r="IF25" s="17" t="s">
        <v>870</v>
      </c>
      <c r="IG25" s="17" t="s">
        <v>870</v>
      </c>
      <c r="IH25" s="17" t="s">
        <v>870</v>
      </c>
      <c r="II25" s="17" t="s">
        <v>870</v>
      </c>
      <c r="IJ25" s="17" t="s">
        <v>870</v>
      </c>
      <c r="IK25" s="17" t="s">
        <v>870</v>
      </c>
      <c r="IL25" s="17" t="s">
        <v>870</v>
      </c>
      <c r="IM25" s="17" t="s">
        <v>870</v>
      </c>
      <c r="IN25" s="17" t="s">
        <v>870</v>
      </c>
      <c r="IO25" s="17" t="s">
        <v>870</v>
      </c>
    </row>
    <row r="26" spans="1:249" x14ac:dyDescent="0.25">
      <c r="A26" t="s">
        <v>39</v>
      </c>
      <c r="B26" s="17" t="s">
        <v>870</v>
      </c>
      <c r="C26" s="17" t="s">
        <v>870</v>
      </c>
      <c r="D26" s="17" t="s">
        <v>870</v>
      </c>
      <c r="E26" s="17" t="s">
        <v>870</v>
      </c>
      <c r="F26" s="17" t="s">
        <v>870</v>
      </c>
      <c r="G26" s="17" t="s">
        <v>870</v>
      </c>
      <c r="H26" s="17" t="s">
        <v>870</v>
      </c>
      <c r="I26" s="17" t="s">
        <v>870</v>
      </c>
      <c r="J26" s="17" t="s">
        <v>870</v>
      </c>
      <c r="K26" s="17" t="s">
        <v>870</v>
      </c>
      <c r="L26" s="17" t="s">
        <v>870</v>
      </c>
      <c r="M26" s="17" t="s">
        <v>870</v>
      </c>
      <c r="N26" s="17" t="s">
        <v>870</v>
      </c>
      <c r="O26" s="17" t="s">
        <v>870</v>
      </c>
      <c r="P26" s="17" t="s">
        <v>870</v>
      </c>
      <c r="Q26" s="17" t="s">
        <v>870</v>
      </c>
      <c r="R26" s="17" t="s">
        <v>870</v>
      </c>
      <c r="S26" s="17" t="s">
        <v>870</v>
      </c>
      <c r="T26" s="17" t="s">
        <v>870</v>
      </c>
      <c r="U26" s="17" t="s">
        <v>870</v>
      </c>
      <c r="V26" s="17" t="s">
        <v>870</v>
      </c>
      <c r="W26" s="17" t="s">
        <v>870</v>
      </c>
      <c r="X26" s="17" t="s">
        <v>870</v>
      </c>
      <c r="Y26" s="17" t="s">
        <v>870</v>
      </c>
      <c r="Z26" s="17" t="s">
        <v>870</v>
      </c>
      <c r="AA26" s="17" t="s">
        <v>870</v>
      </c>
      <c r="AB26" s="17" t="s">
        <v>870</v>
      </c>
      <c r="AC26" s="17" t="s">
        <v>870</v>
      </c>
      <c r="AD26" s="17" t="s">
        <v>870</v>
      </c>
      <c r="AE26" s="17" t="s">
        <v>870</v>
      </c>
      <c r="AF26" s="17" t="s">
        <v>870</v>
      </c>
      <c r="AG26" s="17" t="s">
        <v>870</v>
      </c>
      <c r="AH26" s="17" t="s">
        <v>870</v>
      </c>
      <c r="AI26" s="17" t="s">
        <v>870</v>
      </c>
      <c r="AJ26" s="17" t="s">
        <v>870</v>
      </c>
      <c r="AK26" s="17" t="s">
        <v>870</v>
      </c>
      <c r="AL26" s="17" t="s">
        <v>870</v>
      </c>
      <c r="AM26" s="17" t="s">
        <v>870</v>
      </c>
      <c r="AN26" s="61" t="s">
        <v>2</v>
      </c>
      <c r="AO26" s="63"/>
      <c r="AP26" s="63"/>
      <c r="AQ26" s="61" t="s">
        <v>2</v>
      </c>
      <c r="AR26" s="61" t="s">
        <v>2</v>
      </c>
      <c r="AS26" s="63"/>
      <c r="AT26" s="61" t="s">
        <v>2</v>
      </c>
      <c r="AU26" s="61" t="s">
        <v>2</v>
      </c>
      <c r="AV26" s="17" t="s">
        <v>870</v>
      </c>
      <c r="AW26" s="17" t="s">
        <v>870</v>
      </c>
      <c r="AX26" s="17" t="s">
        <v>870</v>
      </c>
      <c r="AY26" s="17" t="s">
        <v>870</v>
      </c>
      <c r="AZ26" s="17" t="s">
        <v>870</v>
      </c>
      <c r="BA26" s="17" t="s">
        <v>870</v>
      </c>
      <c r="BB26" s="17" t="s">
        <v>870</v>
      </c>
      <c r="BC26" s="17" t="s">
        <v>870</v>
      </c>
      <c r="BD26" s="17" t="s">
        <v>870</v>
      </c>
      <c r="BE26" s="17" t="s">
        <v>870</v>
      </c>
      <c r="BF26" s="17" t="s">
        <v>870</v>
      </c>
      <c r="BG26" s="17" t="s">
        <v>870</v>
      </c>
      <c r="BH26" s="61" t="s">
        <v>2</v>
      </c>
      <c r="BI26" s="61" t="s">
        <v>2</v>
      </c>
      <c r="BJ26" s="17" t="s">
        <v>870</v>
      </c>
      <c r="BK26" s="17" t="s">
        <v>870</v>
      </c>
      <c r="BL26" s="17" t="s">
        <v>870</v>
      </c>
      <c r="BM26" s="17" t="s">
        <v>870</v>
      </c>
      <c r="BN26" s="17" t="s">
        <v>870</v>
      </c>
      <c r="BO26" s="17" t="s">
        <v>870</v>
      </c>
      <c r="BP26" s="17" t="s">
        <v>870</v>
      </c>
      <c r="BQ26" s="17" t="s">
        <v>870</v>
      </c>
      <c r="BR26" s="17" t="s">
        <v>870</v>
      </c>
      <c r="BS26" s="17" t="s">
        <v>870</v>
      </c>
      <c r="BT26" s="17" t="s">
        <v>870</v>
      </c>
      <c r="BU26" s="17" t="s">
        <v>870</v>
      </c>
      <c r="BV26" s="17" t="s">
        <v>870</v>
      </c>
      <c r="BW26" s="17" t="s">
        <v>870</v>
      </c>
      <c r="BX26" s="17" t="s">
        <v>870</v>
      </c>
      <c r="BY26" s="17" t="s">
        <v>870</v>
      </c>
      <c r="BZ26" s="17" t="s">
        <v>870</v>
      </c>
      <c r="CA26" s="17" t="s">
        <v>870</v>
      </c>
      <c r="CB26" s="17" t="s">
        <v>870</v>
      </c>
      <c r="CC26" s="17" t="s">
        <v>870</v>
      </c>
      <c r="CD26" s="17" t="s">
        <v>870</v>
      </c>
      <c r="CE26" s="17" t="s">
        <v>870</v>
      </c>
      <c r="CF26" s="17" t="s">
        <v>870</v>
      </c>
      <c r="CG26" s="17" t="s">
        <v>870</v>
      </c>
      <c r="CH26" s="17" t="s">
        <v>870</v>
      </c>
      <c r="CI26" s="17" t="s">
        <v>870</v>
      </c>
      <c r="CJ26" s="17" t="s">
        <v>870</v>
      </c>
      <c r="CK26" s="17" t="s">
        <v>870</v>
      </c>
      <c r="CL26" s="17" t="s">
        <v>870</v>
      </c>
      <c r="CM26" s="17" t="s">
        <v>870</v>
      </c>
      <c r="CN26" s="17" t="s">
        <v>870</v>
      </c>
      <c r="CO26" s="17" t="s">
        <v>870</v>
      </c>
      <c r="CP26" s="17" t="s">
        <v>870</v>
      </c>
      <c r="CQ26" s="17" t="s">
        <v>870</v>
      </c>
      <c r="CR26" s="17" t="s">
        <v>870</v>
      </c>
      <c r="CS26" s="17" t="s">
        <v>870</v>
      </c>
      <c r="CT26" s="17" t="s">
        <v>870</v>
      </c>
      <c r="CU26" s="17" t="s">
        <v>870</v>
      </c>
      <c r="CV26" s="17" t="s">
        <v>870</v>
      </c>
      <c r="CW26" s="17" t="s">
        <v>870</v>
      </c>
      <c r="CX26" s="17" t="s">
        <v>870</v>
      </c>
      <c r="CY26" s="17" t="s">
        <v>870</v>
      </c>
      <c r="CZ26" s="17" t="s">
        <v>870</v>
      </c>
      <c r="DA26" s="17" t="s">
        <v>870</v>
      </c>
      <c r="DB26" s="17" t="s">
        <v>870</v>
      </c>
      <c r="DC26" s="17" t="s">
        <v>870</v>
      </c>
      <c r="DD26" s="17" t="s">
        <v>870</v>
      </c>
      <c r="DE26" s="17" t="s">
        <v>870</v>
      </c>
      <c r="DF26" s="17" t="s">
        <v>870</v>
      </c>
      <c r="DG26" s="17" t="s">
        <v>870</v>
      </c>
      <c r="DH26" s="17" t="s">
        <v>870</v>
      </c>
      <c r="DI26" s="17" t="s">
        <v>870</v>
      </c>
      <c r="DJ26" s="62"/>
      <c r="DK26" s="63"/>
      <c r="DL26" s="17" t="s">
        <v>870</v>
      </c>
      <c r="DM26" s="17" t="s">
        <v>870</v>
      </c>
      <c r="DN26" s="17" t="s">
        <v>870</v>
      </c>
      <c r="DO26" s="63"/>
      <c r="DP26" s="17" t="s">
        <v>870</v>
      </c>
      <c r="DQ26" s="17" t="s">
        <v>870</v>
      </c>
      <c r="DR26" s="17" t="s">
        <v>870</v>
      </c>
      <c r="DS26" s="17" t="s">
        <v>870</v>
      </c>
      <c r="DT26" s="17" t="s">
        <v>870</v>
      </c>
      <c r="DU26" s="17" t="s">
        <v>870</v>
      </c>
      <c r="DV26" s="17" t="s">
        <v>870</v>
      </c>
      <c r="DW26" s="17" t="s">
        <v>870</v>
      </c>
      <c r="DX26" s="17" t="s">
        <v>870</v>
      </c>
      <c r="DY26" s="17" t="s">
        <v>870</v>
      </c>
      <c r="DZ26" s="17" t="s">
        <v>870</v>
      </c>
      <c r="EA26" s="17" t="s">
        <v>870</v>
      </c>
      <c r="EB26" s="17" t="s">
        <v>870</v>
      </c>
      <c r="EC26" s="17" t="s">
        <v>870</v>
      </c>
      <c r="ED26" s="17" t="s">
        <v>870</v>
      </c>
      <c r="EE26" s="17" t="s">
        <v>870</v>
      </c>
      <c r="EF26" s="17" t="s">
        <v>870</v>
      </c>
      <c r="EG26" s="17" t="s">
        <v>870</v>
      </c>
      <c r="EH26" s="17" t="s">
        <v>870</v>
      </c>
      <c r="EI26" s="17" t="s">
        <v>870</v>
      </c>
      <c r="EJ26" s="17" t="s">
        <v>870</v>
      </c>
      <c r="EK26" s="17" t="s">
        <v>870</v>
      </c>
      <c r="EL26" s="17" t="s">
        <v>870</v>
      </c>
      <c r="EM26" s="17" t="s">
        <v>870</v>
      </c>
      <c r="EN26" s="17" t="s">
        <v>870</v>
      </c>
      <c r="EO26" s="17" t="s">
        <v>870</v>
      </c>
      <c r="EP26" s="17" t="s">
        <v>870</v>
      </c>
      <c r="EQ26" s="17" t="s">
        <v>870</v>
      </c>
      <c r="ER26" s="17" t="s">
        <v>870</v>
      </c>
      <c r="ES26" s="17" t="s">
        <v>870</v>
      </c>
      <c r="ET26" s="17" t="s">
        <v>870</v>
      </c>
      <c r="EU26" s="17" t="s">
        <v>870</v>
      </c>
      <c r="EV26" s="17" t="s">
        <v>870</v>
      </c>
      <c r="EW26" s="17" t="s">
        <v>870</v>
      </c>
      <c r="EX26" s="17" t="s">
        <v>870</v>
      </c>
      <c r="EY26" s="17" t="s">
        <v>870</v>
      </c>
      <c r="EZ26" s="17" t="s">
        <v>870</v>
      </c>
      <c r="FA26" s="17" t="s">
        <v>870</v>
      </c>
      <c r="FB26" s="17" t="s">
        <v>870</v>
      </c>
      <c r="FC26" s="17" t="s">
        <v>870</v>
      </c>
      <c r="FD26" s="17" t="s">
        <v>870</v>
      </c>
      <c r="FE26" s="17" t="s">
        <v>870</v>
      </c>
      <c r="FF26" s="17" t="s">
        <v>870</v>
      </c>
      <c r="FG26" s="61" t="s">
        <v>2</v>
      </c>
      <c r="FI26" s="61" t="s">
        <v>2</v>
      </c>
      <c r="FJ26" s="17" t="s">
        <v>870</v>
      </c>
      <c r="FK26" s="17" t="s">
        <v>870</v>
      </c>
      <c r="FL26" s="17" t="s">
        <v>870</v>
      </c>
      <c r="FM26" s="17" t="s">
        <v>870</v>
      </c>
      <c r="FN26" s="17" t="s">
        <v>870</v>
      </c>
      <c r="FO26" s="17" t="s">
        <v>870</v>
      </c>
      <c r="FP26" s="17" t="s">
        <v>870</v>
      </c>
      <c r="FQ26" s="17" t="s">
        <v>870</v>
      </c>
      <c r="FR26" s="17" t="s">
        <v>870</v>
      </c>
      <c r="FS26" s="17" t="s">
        <v>870</v>
      </c>
      <c r="FT26" s="17" t="s">
        <v>870</v>
      </c>
      <c r="FU26" s="17" t="s">
        <v>870</v>
      </c>
      <c r="FV26" s="17" t="s">
        <v>870</v>
      </c>
      <c r="FW26" s="17" t="s">
        <v>870</v>
      </c>
      <c r="FX26" s="17" t="s">
        <v>870</v>
      </c>
      <c r="FY26" s="17" t="s">
        <v>870</v>
      </c>
      <c r="FZ26" s="17" t="s">
        <v>870</v>
      </c>
      <c r="GA26" s="17" t="s">
        <v>870</v>
      </c>
      <c r="GB26" s="17" t="s">
        <v>870</v>
      </c>
      <c r="GC26" s="17" t="s">
        <v>870</v>
      </c>
      <c r="GD26" s="61" t="s">
        <v>2</v>
      </c>
      <c r="GE26" s="17" t="s">
        <v>870</v>
      </c>
      <c r="GF26" s="61" t="s">
        <v>2</v>
      </c>
      <c r="GG26" s="63"/>
      <c r="GH26" s="17" t="s">
        <v>870</v>
      </c>
      <c r="GI26" s="17" t="s">
        <v>870</v>
      </c>
      <c r="GJ26" s="17" t="s">
        <v>870</v>
      </c>
      <c r="GK26" s="17" t="s">
        <v>870</v>
      </c>
      <c r="GL26" s="17" t="s">
        <v>870</v>
      </c>
      <c r="GM26" s="17" t="s">
        <v>870</v>
      </c>
      <c r="GN26" s="17" t="s">
        <v>870</v>
      </c>
      <c r="GO26" s="17" t="s">
        <v>870</v>
      </c>
      <c r="GP26" s="17" t="s">
        <v>870</v>
      </c>
      <c r="GQ26" s="17" t="s">
        <v>870</v>
      </c>
      <c r="GR26" s="17" t="s">
        <v>870</v>
      </c>
      <c r="GS26" s="17" t="s">
        <v>870</v>
      </c>
      <c r="GT26" s="17" t="s">
        <v>870</v>
      </c>
      <c r="GU26" s="17" t="s">
        <v>870</v>
      </c>
      <c r="GV26" s="17" t="s">
        <v>870</v>
      </c>
      <c r="GW26" s="17" t="s">
        <v>870</v>
      </c>
      <c r="GX26" s="17" t="s">
        <v>870</v>
      </c>
      <c r="GY26" s="17" t="s">
        <v>870</v>
      </c>
      <c r="GZ26" s="17" t="s">
        <v>870</v>
      </c>
      <c r="HA26" s="17" t="s">
        <v>870</v>
      </c>
      <c r="HB26" s="62"/>
      <c r="HC26" s="61" t="s">
        <v>2</v>
      </c>
      <c r="HD26" s="17" t="s">
        <v>870</v>
      </c>
      <c r="HE26" s="17" t="s">
        <v>870</v>
      </c>
      <c r="HF26" s="17" t="s">
        <v>870</v>
      </c>
      <c r="HG26" s="17" t="s">
        <v>870</v>
      </c>
      <c r="HH26" s="17" t="s">
        <v>870</v>
      </c>
      <c r="HI26" s="17" t="s">
        <v>870</v>
      </c>
      <c r="HJ26" s="17" t="s">
        <v>870</v>
      </c>
      <c r="HK26" s="17" t="s">
        <v>870</v>
      </c>
      <c r="HL26" s="17" t="s">
        <v>870</v>
      </c>
      <c r="HM26" s="17" t="s">
        <v>870</v>
      </c>
      <c r="HN26" s="17" t="s">
        <v>870</v>
      </c>
      <c r="HO26" s="17" t="s">
        <v>870</v>
      </c>
      <c r="HP26" s="17" t="s">
        <v>870</v>
      </c>
      <c r="HQ26" s="17" t="s">
        <v>870</v>
      </c>
      <c r="HR26" s="17" t="s">
        <v>870</v>
      </c>
      <c r="HS26" s="17" t="s">
        <v>870</v>
      </c>
      <c r="HT26" s="17" t="s">
        <v>870</v>
      </c>
      <c r="HU26" s="17" t="s">
        <v>870</v>
      </c>
      <c r="HV26" s="17" t="s">
        <v>870</v>
      </c>
      <c r="HW26" s="17" t="s">
        <v>870</v>
      </c>
      <c r="HX26" s="17" t="s">
        <v>870</v>
      </c>
      <c r="HY26" s="17" t="s">
        <v>870</v>
      </c>
      <c r="HZ26" s="17" t="s">
        <v>870</v>
      </c>
      <c r="IA26" s="17" t="s">
        <v>870</v>
      </c>
      <c r="IB26" s="17" t="s">
        <v>870</v>
      </c>
      <c r="IC26" s="17" t="s">
        <v>870</v>
      </c>
      <c r="ID26" s="72" t="s">
        <v>1552</v>
      </c>
      <c r="IE26" s="17" t="s">
        <v>870</v>
      </c>
      <c r="IF26" s="17" t="s">
        <v>870</v>
      </c>
      <c r="IG26" s="17" t="s">
        <v>870</v>
      </c>
      <c r="IH26" s="17" t="s">
        <v>870</v>
      </c>
      <c r="II26" s="17" t="s">
        <v>870</v>
      </c>
      <c r="IJ26" s="61" t="s">
        <v>2</v>
      </c>
      <c r="IK26" s="62"/>
      <c r="IL26" s="63"/>
      <c r="IM26" s="61" t="s">
        <v>2</v>
      </c>
      <c r="IN26" s="61" t="s">
        <v>2</v>
      </c>
      <c r="IO26" s="61" t="s">
        <v>2</v>
      </c>
    </row>
    <row r="27" spans="1:249" x14ac:dyDescent="0.25">
      <c r="A27" t="s">
        <v>203</v>
      </c>
      <c r="B27" s="17" t="s">
        <v>870</v>
      </c>
      <c r="C27" s="17" t="s">
        <v>870</v>
      </c>
      <c r="D27" s="17" t="s">
        <v>870</v>
      </c>
      <c r="E27" s="17" t="s">
        <v>870</v>
      </c>
      <c r="F27" s="17" t="s">
        <v>870</v>
      </c>
      <c r="G27" s="17" t="s">
        <v>870</v>
      </c>
      <c r="H27" s="17" t="s">
        <v>870</v>
      </c>
      <c r="I27" s="17" t="s">
        <v>870</v>
      </c>
      <c r="J27" s="17" t="s">
        <v>870</v>
      </c>
      <c r="K27" s="17" t="s">
        <v>870</v>
      </c>
      <c r="L27" s="17" t="s">
        <v>870</v>
      </c>
      <c r="M27" s="17" t="s">
        <v>870</v>
      </c>
      <c r="N27" s="17" t="s">
        <v>870</v>
      </c>
      <c r="O27" s="17" t="s">
        <v>870</v>
      </c>
      <c r="P27" s="17" t="s">
        <v>870</v>
      </c>
      <c r="Q27" s="17" t="s">
        <v>870</v>
      </c>
      <c r="R27" s="17" t="s">
        <v>870</v>
      </c>
      <c r="S27" s="17" t="s">
        <v>870</v>
      </c>
      <c r="T27" s="17" t="s">
        <v>870</v>
      </c>
      <c r="U27" s="17" t="s">
        <v>870</v>
      </c>
      <c r="V27" s="17" t="s">
        <v>870</v>
      </c>
      <c r="W27" s="17" t="s">
        <v>870</v>
      </c>
      <c r="X27" s="17" t="s">
        <v>870</v>
      </c>
      <c r="Y27" s="17" t="s">
        <v>870</v>
      </c>
      <c r="Z27" s="17" t="s">
        <v>870</v>
      </c>
      <c r="AA27" s="17" t="s">
        <v>870</v>
      </c>
      <c r="AB27" s="17" t="s">
        <v>870</v>
      </c>
      <c r="AC27" s="17" t="s">
        <v>870</v>
      </c>
      <c r="AD27" s="17" t="s">
        <v>870</v>
      </c>
      <c r="AE27" s="17" t="s">
        <v>870</v>
      </c>
      <c r="AF27" s="17" t="s">
        <v>870</v>
      </c>
      <c r="AG27" s="17" t="s">
        <v>870</v>
      </c>
      <c r="AH27" s="17" t="s">
        <v>870</v>
      </c>
      <c r="AI27" s="17" t="s">
        <v>870</v>
      </c>
      <c r="AJ27" s="17" t="s">
        <v>870</v>
      </c>
      <c r="AK27" s="17" t="s">
        <v>870</v>
      </c>
      <c r="AL27" s="17" t="s">
        <v>870</v>
      </c>
      <c r="AM27" s="17" t="s">
        <v>870</v>
      </c>
      <c r="AN27" s="17" t="s">
        <v>870</v>
      </c>
      <c r="AO27" s="17" t="s">
        <v>870</v>
      </c>
      <c r="AP27" s="17" t="s">
        <v>870</v>
      </c>
      <c r="AQ27" s="17" t="s">
        <v>870</v>
      </c>
      <c r="AR27" s="17" t="s">
        <v>870</v>
      </c>
      <c r="AS27" s="17" t="s">
        <v>870</v>
      </c>
      <c r="AT27" s="17" t="s">
        <v>870</v>
      </c>
      <c r="AU27" s="17" t="s">
        <v>870</v>
      </c>
      <c r="AV27" s="17" t="s">
        <v>870</v>
      </c>
      <c r="AW27" s="17" t="s">
        <v>870</v>
      </c>
      <c r="AX27" s="17" t="s">
        <v>870</v>
      </c>
      <c r="AY27" s="17" t="s">
        <v>870</v>
      </c>
      <c r="AZ27" s="17" t="s">
        <v>870</v>
      </c>
      <c r="BA27" s="17" t="s">
        <v>870</v>
      </c>
      <c r="BB27" s="17" t="s">
        <v>870</v>
      </c>
      <c r="BC27" s="17" t="s">
        <v>870</v>
      </c>
      <c r="BD27" s="17" t="s">
        <v>870</v>
      </c>
      <c r="BE27" s="17" t="s">
        <v>870</v>
      </c>
      <c r="BF27" s="17" t="s">
        <v>870</v>
      </c>
      <c r="BG27" s="17" t="s">
        <v>870</v>
      </c>
      <c r="BH27" s="17" t="s">
        <v>870</v>
      </c>
      <c r="BI27" s="17" t="s">
        <v>870</v>
      </c>
      <c r="BJ27" s="17" t="s">
        <v>870</v>
      </c>
      <c r="BK27" s="17" t="s">
        <v>870</v>
      </c>
      <c r="BL27" s="17" t="s">
        <v>870</v>
      </c>
      <c r="BM27" s="17" t="s">
        <v>870</v>
      </c>
      <c r="BN27" s="17" t="s">
        <v>870</v>
      </c>
      <c r="BO27" s="17" t="s">
        <v>870</v>
      </c>
      <c r="BP27" s="17" t="s">
        <v>870</v>
      </c>
      <c r="BQ27" s="17" t="s">
        <v>870</v>
      </c>
      <c r="BR27" s="61" t="s">
        <v>2</v>
      </c>
      <c r="BS27" s="61" t="s">
        <v>2</v>
      </c>
      <c r="BT27" s="61" t="s">
        <v>2</v>
      </c>
      <c r="BU27" s="61" t="s">
        <v>2</v>
      </c>
      <c r="BV27" s="61" t="s">
        <v>2</v>
      </c>
      <c r="BW27" s="61" t="s">
        <v>2</v>
      </c>
      <c r="BX27" s="17" t="s">
        <v>870</v>
      </c>
      <c r="BY27" s="17" t="s">
        <v>870</v>
      </c>
      <c r="BZ27" s="17" t="s">
        <v>870</v>
      </c>
      <c r="CA27" s="17" t="s">
        <v>870</v>
      </c>
      <c r="CB27" s="17" t="s">
        <v>870</v>
      </c>
      <c r="CC27" s="17" t="s">
        <v>870</v>
      </c>
      <c r="CD27" s="17" t="s">
        <v>870</v>
      </c>
      <c r="CE27" s="17" t="s">
        <v>870</v>
      </c>
      <c r="CF27" s="17" t="s">
        <v>870</v>
      </c>
      <c r="CG27" s="17" t="s">
        <v>870</v>
      </c>
      <c r="CH27" s="17" t="s">
        <v>870</v>
      </c>
      <c r="CI27" s="17" t="s">
        <v>870</v>
      </c>
      <c r="CJ27" s="17" t="s">
        <v>870</v>
      </c>
      <c r="CK27" s="17" t="s">
        <v>870</v>
      </c>
      <c r="CL27" s="17" t="s">
        <v>870</v>
      </c>
      <c r="CM27" s="17" t="s">
        <v>870</v>
      </c>
      <c r="CN27" s="17" t="s">
        <v>870</v>
      </c>
      <c r="CO27" s="17" t="s">
        <v>870</v>
      </c>
      <c r="CP27" s="17" t="s">
        <v>870</v>
      </c>
      <c r="CQ27" s="17" t="s">
        <v>870</v>
      </c>
      <c r="CR27" s="17" t="s">
        <v>870</v>
      </c>
      <c r="CS27" s="17" t="s">
        <v>870</v>
      </c>
      <c r="CT27" s="17" t="s">
        <v>870</v>
      </c>
      <c r="CU27" s="17" t="s">
        <v>870</v>
      </c>
      <c r="CV27" s="17" t="s">
        <v>870</v>
      </c>
      <c r="CW27" s="17" t="s">
        <v>870</v>
      </c>
      <c r="CX27" s="17" t="s">
        <v>870</v>
      </c>
      <c r="CY27" s="17" t="s">
        <v>870</v>
      </c>
      <c r="CZ27" s="17" t="s">
        <v>870</v>
      </c>
      <c r="DA27" s="17" t="s">
        <v>870</v>
      </c>
      <c r="DB27" s="17" t="s">
        <v>870</v>
      </c>
      <c r="DC27" s="17" t="s">
        <v>870</v>
      </c>
      <c r="DD27" s="17" t="s">
        <v>870</v>
      </c>
      <c r="DE27" s="17" t="s">
        <v>870</v>
      </c>
      <c r="DF27" s="17" t="s">
        <v>870</v>
      </c>
      <c r="DG27" s="17" t="s">
        <v>870</v>
      </c>
      <c r="DH27" s="17" t="s">
        <v>870</v>
      </c>
      <c r="DI27" s="17" t="s">
        <v>870</v>
      </c>
      <c r="DJ27" s="17" t="s">
        <v>870</v>
      </c>
      <c r="DK27" s="17" t="s">
        <v>870</v>
      </c>
      <c r="DL27" s="17" t="s">
        <v>870</v>
      </c>
      <c r="DM27" s="17" t="s">
        <v>870</v>
      </c>
      <c r="DN27" s="17" t="s">
        <v>870</v>
      </c>
      <c r="DO27" s="17" t="s">
        <v>870</v>
      </c>
      <c r="DP27" s="17" t="s">
        <v>870</v>
      </c>
      <c r="DQ27" s="17" t="s">
        <v>870</v>
      </c>
      <c r="DR27" s="17" t="s">
        <v>870</v>
      </c>
      <c r="DS27" s="17" t="s">
        <v>870</v>
      </c>
      <c r="DT27" s="17" t="s">
        <v>870</v>
      </c>
      <c r="DU27" s="17" t="s">
        <v>870</v>
      </c>
      <c r="DV27" s="17" t="s">
        <v>870</v>
      </c>
      <c r="DW27" s="17" t="s">
        <v>870</v>
      </c>
      <c r="DX27" s="17" t="s">
        <v>870</v>
      </c>
      <c r="DY27" s="17" t="s">
        <v>870</v>
      </c>
      <c r="DZ27" s="17" t="s">
        <v>870</v>
      </c>
      <c r="EA27" s="17" t="s">
        <v>870</v>
      </c>
      <c r="EB27" s="17" t="s">
        <v>870</v>
      </c>
      <c r="EC27" s="17" t="s">
        <v>870</v>
      </c>
      <c r="ED27" s="17" t="s">
        <v>870</v>
      </c>
      <c r="EE27" s="17" t="s">
        <v>870</v>
      </c>
      <c r="EF27" s="17" t="s">
        <v>870</v>
      </c>
      <c r="EG27" s="17" t="s">
        <v>870</v>
      </c>
      <c r="EH27" s="17" t="s">
        <v>870</v>
      </c>
      <c r="EI27" s="17" t="s">
        <v>870</v>
      </c>
      <c r="EJ27" s="17" t="s">
        <v>870</v>
      </c>
      <c r="EK27" s="17" t="s">
        <v>870</v>
      </c>
      <c r="EL27" s="17" t="s">
        <v>870</v>
      </c>
      <c r="EM27" s="17" t="s">
        <v>870</v>
      </c>
      <c r="EN27" s="17" t="s">
        <v>870</v>
      </c>
      <c r="EO27" s="17" t="s">
        <v>870</v>
      </c>
      <c r="EP27" s="17" t="s">
        <v>870</v>
      </c>
      <c r="EQ27" s="17" t="s">
        <v>870</v>
      </c>
      <c r="ER27" s="17" t="s">
        <v>870</v>
      </c>
      <c r="ES27" s="17" t="s">
        <v>870</v>
      </c>
      <c r="ET27" s="17" t="s">
        <v>870</v>
      </c>
      <c r="EU27" s="17" t="s">
        <v>870</v>
      </c>
      <c r="EV27" s="17" t="s">
        <v>870</v>
      </c>
      <c r="EW27" s="17" t="s">
        <v>870</v>
      </c>
      <c r="EX27" s="17" t="s">
        <v>870</v>
      </c>
      <c r="EY27" s="17" t="s">
        <v>870</v>
      </c>
      <c r="EZ27" s="17" t="s">
        <v>870</v>
      </c>
      <c r="FA27" s="17" t="s">
        <v>870</v>
      </c>
      <c r="FB27" s="17" t="s">
        <v>870</v>
      </c>
      <c r="FC27" s="17" t="s">
        <v>870</v>
      </c>
      <c r="FD27" s="17" t="s">
        <v>870</v>
      </c>
      <c r="FE27" s="17" t="s">
        <v>870</v>
      </c>
      <c r="FF27" s="17" t="s">
        <v>870</v>
      </c>
      <c r="FG27" s="17" t="s">
        <v>870</v>
      </c>
      <c r="FH27" s="17" t="s">
        <v>870</v>
      </c>
      <c r="FI27" s="17" t="s">
        <v>870</v>
      </c>
      <c r="FJ27" s="17" t="s">
        <v>870</v>
      </c>
      <c r="FK27" s="17" t="s">
        <v>870</v>
      </c>
      <c r="FL27" s="17" t="s">
        <v>870</v>
      </c>
      <c r="FM27" s="17" t="s">
        <v>870</v>
      </c>
      <c r="FN27" s="17" t="s">
        <v>870</v>
      </c>
      <c r="FO27" s="17" t="s">
        <v>870</v>
      </c>
      <c r="FP27" s="17" t="s">
        <v>870</v>
      </c>
      <c r="FQ27" s="17" t="s">
        <v>870</v>
      </c>
      <c r="FR27" s="17" t="s">
        <v>870</v>
      </c>
      <c r="FS27" s="17" t="s">
        <v>870</v>
      </c>
      <c r="FT27" s="17" t="s">
        <v>870</v>
      </c>
      <c r="FU27" s="17" t="s">
        <v>870</v>
      </c>
      <c r="FV27" s="17" t="s">
        <v>870</v>
      </c>
      <c r="FW27" s="17" t="s">
        <v>870</v>
      </c>
      <c r="FX27" s="17" t="s">
        <v>870</v>
      </c>
      <c r="FY27" s="17" t="s">
        <v>870</v>
      </c>
      <c r="FZ27" s="17" t="s">
        <v>870</v>
      </c>
      <c r="GA27" s="17" t="s">
        <v>870</v>
      </c>
      <c r="GB27" s="17" t="s">
        <v>870</v>
      </c>
      <c r="GC27" s="17" t="s">
        <v>870</v>
      </c>
      <c r="GD27" s="17" t="s">
        <v>870</v>
      </c>
      <c r="GE27" s="17" t="s">
        <v>870</v>
      </c>
      <c r="GF27" s="17" t="s">
        <v>870</v>
      </c>
      <c r="GG27" s="17" t="s">
        <v>870</v>
      </c>
      <c r="GH27" s="17" t="s">
        <v>870</v>
      </c>
      <c r="GI27" s="17" t="s">
        <v>870</v>
      </c>
      <c r="GJ27" s="17" t="s">
        <v>870</v>
      </c>
      <c r="GK27" s="17" t="s">
        <v>870</v>
      </c>
      <c r="GL27" s="17" t="s">
        <v>870</v>
      </c>
      <c r="GM27" s="17" t="s">
        <v>870</v>
      </c>
      <c r="GN27" s="17" t="s">
        <v>870</v>
      </c>
      <c r="GO27" s="17" t="s">
        <v>870</v>
      </c>
      <c r="GP27" s="17" t="s">
        <v>870</v>
      </c>
      <c r="GQ27" s="17" t="s">
        <v>870</v>
      </c>
      <c r="GR27" s="17" t="s">
        <v>870</v>
      </c>
      <c r="GS27" s="17" t="s">
        <v>870</v>
      </c>
      <c r="GT27" s="17" t="s">
        <v>870</v>
      </c>
      <c r="GU27" s="17" t="s">
        <v>870</v>
      </c>
      <c r="GV27" s="17" t="s">
        <v>870</v>
      </c>
      <c r="GW27" s="17" t="s">
        <v>870</v>
      </c>
      <c r="GX27" s="17" t="s">
        <v>870</v>
      </c>
      <c r="GY27" s="17" t="s">
        <v>870</v>
      </c>
      <c r="GZ27" s="17" t="s">
        <v>870</v>
      </c>
      <c r="HA27" s="17" t="s">
        <v>870</v>
      </c>
      <c r="HB27" s="17" t="s">
        <v>870</v>
      </c>
      <c r="HC27" s="17" t="s">
        <v>870</v>
      </c>
      <c r="HD27" s="17" t="s">
        <v>870</v>
      </c>
      <c r="HE27" s="17" t="s">
        <v>870</v>
      </c>
      <c r="HF27" s="17" t="s">
        <v>870</v>
      </c>
      <c r="HG27" s="17" t="s">
        <v>870</v>
      </c>
      <c r="HH27" s="17" t="s">
        <v>870</v>
      </c>
      <c r="HI27" s="17" t="s">
        <v>870</v>
      </c>
      <c r="HJ27" s="17" t="s">
        <v>870</v>
      </c>
      <c r="HK27" s="17" t="s">
        <v>870</v>
      </c>
      <c r="HL27" s="17" t="s">
        <v>870</v>
      </c>
      <c r="HM27" s="17" t="s">
        <v>870</v>
      </c>
      <c r="HN27" s="17" t="s">
        <v>870</v>
      </c>
      <c r="HO27" s="17" t="s">
        <v>870</v>
      </c>
      <c r="HP27" s="17" t="s">
        <v>870</v>
      </c>
      <c r="HQ27" s="17" t="s">
        <v>870</v>
      </c>
      <c r="HR27" s="17" t="s">
        <v>870</v>
      </c>
      <c r="HS27" s="17" t="s">
        <v>870</v>
      </c>
      <c r="HT27" s="17" t="s">
        <v>870</v>
      </c>
      <c r="HU27" s="17" t="s">
        <v>870</v>
      </c>
      <c r="HV27" s="17" t="s">
        <v>870</v>
      </c>
      <c r="HW27" s="17" t="s">
        <v>870</v>
      </c>
      <c r="HX27" s="17" t="s">
        <v>870</v>
      </c>
      <c r="HY27" s="17" t="s">
        <v>870</v>
      </c>
      <c r="HZ27" s="17" t="s">
        <v>870</v>
      </c>
      <c r="IA27" s="17" t="s">
        <v>870</v>
      </c>
      <c r="IB27" s="17" t="s">
        <v>870</v>
      </c>
      <c r="IC27" s="17" t="s">
        <v>870</v>
      </c>
      <c r="ID27" s="72" t="s">
        <v>1552</v>
      </c>
      <c r="IE27" s="17" t="s">
        <v>870</v>
      </c>
      <c r="IF27" s="17" t="s">
        <v>870</v>
      </c>
      <c r="IG27" s="17" t="s">
        <v>870</v>
      </c>
      <c r="IH27" s="17" t="s">
        <v>870</v>
      </c>
      <c r="II27" s="17" t="s">
        <v>870</v>
      </c>
      <c r="IJ27" s="17" t="s">
        <v>870</v>
      </c>
      <c r="IK27" s="17" t="s">
        <v>870</v>
      </c>
      <c r="IL27" s="17" t="s">
        <v>870</v>
      </c>
      <c r="IM27" s="17" t="s">
        <v>870</v>
      </c>
      <c r="IN27" s="17" t="s">
        <v>870</v>
      </c>
      <c r="IO27" s="17" t="s">
        <v>870</v>
      </c>
    </row>
    <row r="28" spans="1:249" x14ac:dyDescent="0.25">
      <c r="A28" t="s">
        <v>9</v>
      </c>
      <c r="B28" s="17" t="s">
        <v>870</v>
      </c>
      <c r="C28" s="17" t="s">
        <v>870</v>
      </c>
      <c r="D28" s="17" t="s">
        <v>870</v>
      </c>
      <c r="E28" s="17" t="s">
        <v>870</v>
      </c>
      <c r="F28" s="17" t="s">
        <v>870</v>
      </c>
      <c r="G28" s="17" t="s">
        <v>870</v>
      </c>
      <c r="H28" s="17" t="s">
        <v>870</v>
      </c>
      <c r="I28" s="17" t="s">
        <v>870</v>
      </c>
      <c r="J28" s="17" t="s">
        <v>870</v>
      </c>
      <c r="K28" s="17" t="s">
        <v>870</v>
      </c>
      <c r="L28" s="17" t="s">
        <v>870</v>
      </c>
      <c r="M28" s="17" t="s">
        <v>870</v>
      </c>
      <c r="N28" s="17" t="s">
        <v>870</v>
      </c>
      <c r="O28" s="17" t="s">
        <v>870</v>
      </c>
      <c r="P28" s="17" t="s">
        <v>870</v>
      </c>
      <c r="Q28" s="17" t="s">
        <v>870</v>
      </c>
      <c r="R28" s="17" t="s">
        <v>870</v>
      </c>
      <c r="S28" s="17" t="s">
        <v>870</v>
      </c>
      <c r="T28" s="17" t="s">
        <v>870</v>
      </c>
      <c r="U28" s="17" t="s">
        <v>870</v>
      </c>
      <c r="V28" s="17" t="s">
        <v>870</v>
      </c>
      <c r="W28" s="17" t="s">
        <v>870</v>
      </c>
      <c r="X28" s="17" t="s">
        <v>870</v>
      </c>
      <c r="Y28" s="17" t="s">
        <v>870</v>
      </c>
      <c r="Z28" s="17" t="s">
        <v>870</v>
      </c>
      <c r="AA28" s="17" t="s">
        <v>870</v>
      </c>
      <c r="AB28" s="17" t="s">
        <v>870</v>
      </c>
      <c r="AC28" s="17" t="s">
        <v>870</v>
      </c>
      <c r="AD28" s="17" t="s">
        <v>870</v>
      </c>
      <c r="AE28" s="17" t="s">
        <v>870</v>
      </c>
      <c r="AF28" s="17" t="s">
        <v>870</v>
      </c>
      <c r="AG28" s="17" t="s">
        <v>870</v>
      </c>
      <c r="AH28" s="17" t="s">
        <v>870</v>
      </c>
      <c r="AI28" s="17" t="s">
        <v>870</v>
      </c>
      <c r="AJ28" s="17" t="s">
        <v>870</v>
      </c>
      <c r="AK28" s="17" t="s">
        <v>870</v>
      </c>
      <c r="AL28" s="17" t="s">
        <v>870</v>
      </c>
      <c r="AM28" s="17" t="s">
        <v>870</v>
      </c>
      <c r="AN28" s="17" t="s">
        <v>870</v>
      </c>
      <c r="AO28" s="17" t="s">
        <v>870</v>
      </c>
      <c r="AP28" s="17" t="s">
        <v>870</v>
      </c>
      <c r="AQ28" s="17" t="s">
        <v>870</v>
      </c>
      <c r="AR28" s="17" t="s">
        <v>870</v>
      </c>
      <c r="AS28" s="17" t="s">
        <v>870</v>
      </c>
      <c r="AT28" s="17" t="s">
        <v>870</v>
      </c>
      <c r="AU28" s="17" t="s">
        <v>870</v>
      </c>
      <c r="AV28" s="17" t="s">
        <v>870</v>
      </c>
      <c r="AW28" s="17" t="s">
        <v>870</v>
      </c>
      <c r="AX28" s="17" t="s">
        <v>870</v>
      </c>
      <c r="AY28" s="17" t="s">
        <v>870</v>
      </c>
      <c r="AZ28" s="17" t="s">
        <v>870</v>
      </c>
      <c r="BA28" s="17" t="s">
        <v>870</v>
      </c>
      <c r="BB28" s="17" t="s">
        <v>870</v>
      </c>
      <c r="BC28" s="17" t="s">
        <v>870</v>
      </c>
      <c r="BD28" s="17" t="s">
        <v>870</v>
      </c>
      <c r="BE28" s="17" t="s">
        <v>870</v>
      </c>
      <c r="BF28" s="17" t="s">
        <v>870</v>
      </c>
      <c r="BG28" s="17" t="s">
        <v>870</v>
      </c>
      <c r="BH28" s="17" t="s">
        <v>870</v>
      </c>
      <c r="BI28" s="17" t="s">
        <v>870</v>
      </c>
      <c r="BJ28" s="17" t="s">
        <v>870</v>
      </c>
      <c r="BK28" s="17" t="s">
        <v>870</v>
      </c>
      <c r="BL28" s="17" t="s">
        <v>870</v>
      </c>
      <c r="BM28" s="17" t="s">
        <v>870</v>
      </c>
      <c r="BN28" s="17" t="s">
        <v>870</v>
      </c>
      <c r="BO28" s="17" t="s">
        <v>870</v>
      </c>
      <c r="BP28" s="17" t="s">
        <v>870</v>
      </c>
      <c r="BQ28" s="17" t="s">
        <v>870</v>
      </c>
      <c r="BR28" s="17" t="s">
        <v>870</v>
      </c>
      <c r="BS28" s="17" t="s">
        <v>870</v>
      </c>
      <c r="BT28" s="17" t="s">
        <v>870</v>
      </c>
      <c r="BU28" s="17" t="s">
        <v>870</v>
      </c>
      <c r="BV28" s="17" t="s">
        <v>870</v>
      </c>
      <c r="BW28" s="17" t="s">
        <v>870</v>
      </c>
      <c r="BX28" s="17" t="s">
        <v>870</v>
      </c>
      <c r="BY28" s="17" t="s">
        <v>870</v>
      </c>
      <c r="BZ28" s="17" t="s">
        <v>870</v>
      </c>
      <c r="CA28" s="17" t="s">
        <v>870</v>
      </c>
      <c r="CB28" s="17" t="s">
        <v>870</v>
      </c>
      <c r="CC28" s="17" t="s">
        <v>870</v>
      </c>
      <c r="CD28" s="17" t="s">
        <v>870</v>
      </c>
      <c r="CE28" s="17" t="s">
        <v>870</v>
      </c>
      <c r="CF28" s="17" t="s">
        <v>870</v>
      </c>
      <c r="CG28" s="17" t="s">
        <v>870</v>
      </c>
      <c r="CH28" s="17" t="s">
        <v>870</v>
      </c>
      <c r="CI28" s="17" t="s">
        <v>870</v>
      </c>
      <c r="CJ28" s="17" t="s">
        <v>870</v>
      </c>
      <c r="CK28" s="17" t="s">
        <v>870</v>
      </c>
      <c r="CL28" s="17" t="s">
        <v>870</v>
      </c>
      <c r="CM28" s="17" t="s">
        <v>870</v>
      </c>
      <c r="CN28" s="61" t="s">
        <v>2</v>
      </c>
      <c r="CO28" s="62"/>
      <c r="CP28" s="17" t="s">
        <v>870</v>
      </c>
      <c r="CQ28" s="17" t="s">
        <v>870</v>
      </c>
      <c r="CR28" s="17" t="s">
        <v>870</v>
      </c>
      <c r="CS28" s="17" t="s">
        <v>870</v>
      </c>
      <c r="CT28" s="61" t="s">
        <v>2</v>
      </c>
      <c r="CU28" s="61" t="s">
        <v>2</v>
      </c>
      <c r="CV28" s="17" t="s">
        <v>870</v>
      </c>
      <c r="CW28" s="17" t="s">
        <v>870</v>
      </c>
      <c r="CX28" s="17" t="s">
        <v>870</v>
      </c>
      <c r="CY28" s="17" t="s">
        <v>870</v>
      </c>
      <c r="CZ28" s="17" t="s">
        <v>870</v>
      </c>
      <c r="DA28" s="17" t="s">
        <v>870</v>
      </c>
      <c r="DB28" s="17" t="s">
        <v>870</v>
      </c>
      <c r="DC28" s="17" t="s">
        <v>870</v>
      </c>
      <c r="DD28" s="17" t="s">
        <v>870</v>
      </c>
      <c r="DE28" s="17" t="s">
        <v>870</v>
      </c>
      <c r="DF28" s="17" t="s">
        <v>870</v>
      </c>
      <c r="DG28" s="17" t="s">
        <v>870</v>
      </c>
      <c r="DH28" s="17" t="s">
        <v>870</v>
      </c>
      <c r="DI28" s="17" t="s">
        <v>870</v>
      </c>
      <c r="DJ28" s="17" t="s">
        <v>870</v>
      </c>
      <c r="DK28" s="17" t="s">
        <v>870</v>
      </c>
      <c r="DL28" s="17" t="s">
        <v>870</v>
      </c>
      <c r="DM28" s="17" t="s">
        <v>870</v>
      </c>
      <c r="DN28" s="17" t="s">
        <v>870</v>
      </c>
      <c r="DO28" s="17" t="s">
        <v>870</v>
      </c>
      <c r="DP28" s="17" t="s">
        <v>870</v>
      </c>
      <c r="DQ28" s="17" t="s">
        <v>870</v>
      </c>
      <c r="DR28" s="17" t="s">
        <v>870</v>
      </c>
      <c r="DS28" s="17" t="s">
        <v>870</v>
      </c>
      <c r="DT28" s="17" t="s">
        <v>870</v>
      </c>
      <c r="DU28" s="17" t="s">
        <v>870</v>
      </c>
      <c r="DV28" s="17" t="s">
        <v>870</v>
      </c>
      <c r="DW28" s="17" t="s">
        <v>870</v>
      </c>
      <c r="DX28" s="17" t="s">
        <v>870</v>
      </c>
      <c r="DY28" s="17" t="s">
        <v>870</v>
      </c>
      <c r="DZ28" s="63"/>
      <c r="EA28" s="63"/>
      <c r="EB28" s="17" t="s">
        <v>870</v>
      </c>
      <c r="EC28" s="17" t="s">
        <v>870</v>
      </c>
      <c r="ED28" s="17" t="s">
        <v>870</v>
      </c>
      <c r="EE28" s="17" t="s">
        <v>870</v>
      </c>
      <c r="EF28" s="17" t="s">
        <v>870</v>
      </c>
      <c r="EG28" s="17" t="s">
        <v>870</v>
      </c>
      <c r="EH28" s="17" t="s">
        <v>870</v>
      </c>
      <c r="EI28" s="17" t="s">
        <v>870</v>
      </c>
      <c r="EJ28" s="17" t="s">
        <v>870</v>
      </c>
      <c r="EK28" s="17" t="s">
        <v>870</v>
      </c>
      <c r="EL28" s="17" t="s">
        <v>870</v>
      </c>
      <c r="EM28" s="17" t="s">
        <v>870</v>
      </c>
      <c r="EN28" s="17" t="s">
        <v>870</v>
      </c>
      <c r="EO28" s="17" t="s">
        <v>870</v>
      </c>
      <c r="EP28" s="17" t="s">
        <v>870</v>
      </c>
      <c r="EQ28" s="17" t="s">
        <v>870</v>
      </c>
      <c r="ER28" s="17" t="s">
        <v>870</v>
      </c>
      <c r="ES28" s="17" t="s">
        <v>870</v>
      </c>
      <c r="ET28" s="17" t="s">
        <v>870</v>
      </c>
      <c r="EU28" s="17" t="s">
        <v>870</v>
      </c>
      <c r="EV28" s="17" t="s">
        <v>870</v>
      </c>
      <c r="EW28" s="17" t="s">
        <v>870</v>
      </c>
      <c r="EX28" s="17" t="s">
        <v>870</v>
      </c>
      <c r="EY28" s="17" t="s">
        <v>870</v>
      </c>
      <c r="EZ28" s="17" t="s">
        <v>870</v>
      </c>
      <c r="FA28" s="17" t="s">
        <v>870</v>
      </c>
      <c r="FB28" s="17" t="s">
        <v>870</v>
      </c>
      <c r="FC28" s="17" t="s">
        <v>870</v>
      </c>
      <c r="FD28" s="17" t="s">
        <v>870</v>
      </c>
      <c r="FE28" s="17" t="s">
        <v>870</v>
      </c>
      <c r="FF28" s="17" t="s">
        <v>870</v>
      </c>
      <c r="FG28" s="17" t="s">
        <v>870</v>
      </c>
      <c r="FH28" s="17" t="s">
        <v>870</v>
      </c>
      <c r="FI28" s="17" t="s">
        <v>870</v>
      </c>
      <c r="FJ28" s="17" t="s">
        <v>870</v>
      </c>
      <c r="FK28" s="17" t="s">
        <v>870</v>
      </c>
      <c r="FL28" s="17" t="s">
        <v>870</v>
      </c>
      <c r="FM28" s="17" t="s">
        <v>870</v>
      </c>
      <c r="FN28" s="17" t="s">
        <v>870</v>
      </c>
      <c r="FO28" s="17" t="s">
        <v>870</v>
      </c>
      <c r="FP28" s="17" t="s">
        <v>870</v>
      </c>
      <c r="FQ28" s="17" t="s">
        <v>870</v>
      </c>
      <c r="FR28" s="17" t="s">
        <v>870</v>
      </c>
      <c r="FS28" s="17" t="s">
        <v>870</v>
      </c>
      <c r="FT28" s="61" t="s">
        <v>2</v>
      </c>
      <c r="FU28" s="17" t="s">
        <v>870</v>
      </c>
      <c r="FV28" s="17" t="s">
        <v>870</v>
      </c>
      <c r="FW28" s="17" t="s">
        <v>870</v>
      </c>
      <c r="FX28" s="17" t="s">
        <v>870</v>
      </c>
      <c r="FY28" s="17" t="s">
        <v>870</v>
      </c>
      <c r="FZ28" s="17" t="s">
        <v>870</v>
      </c>
      <c r="GA28" s="17" t="s">
        <v>870</v>
      </c>
      <c r="GB28" s="17" t="s">
        <v>870</v>
      </c>
      <c r="GC28" s="17" t="s">
        <v>870</v>
      </c>
      <c r="GD28" s="62"/>
      <c r="GE28" s="61" t="s">
        <v>2</v>
      </c>
      <c r="GF28" s="17" t="s">
        <v>870</v>
      </c>
      <c r="GG28" s="17" t="s">
        <v>870</v>
      </c>
      <c r="GH28" s="63"/>
      <c r="GI28" s="62"/>
      <c r="GJ28" s="17" t="s">
        <v>870</v>
      </c>
      <c r="GK28" s="17" t="s">
        <v>870</v>
      </c>
      <c r="GL28" s="17" t="s">
        <v>870</v>
      </c>
      <c r="GM28" s="17" t="s">
        <v>870</v>
      </c>
      <c r="GN28" s="17" t="s">
        <v>870</v>
      </c>
      <c r="GO28" s="17" t="s">
        <v>870</v>
      </c>
      <c r="GP28" s="17" t="s">
        <v>870</v>
      </c>
      <c r="GQ28" s="17" t="s">
        <v>870</v>
      </c>
      <c r="GR28" s="17" t="s">
        <v>870</v>
      </c>
      <c r="GS28" s="17" t="s">
        <v>870</v>
      </c>
      <c r="GT28" s="17" t="s">
        <v>870</v>
      </c>
      <c r="GU28" s="17" t="s">
        <v>870</v>
      </c>
      <c r="GV28" s="63"/>
      <c r="GW28" s="63"/>
      <c r="GX28" s="63"/>
      <c r="GY28" s="61" t="s">
        <v>2</v>
      </c>
      <c r="GZ28" s="61" t="s">
        <v>2</v>
      </c>
      <c r="HA28" s="63"/>
      <c r="HB28" s="63"/>
      <c r="HC28" s="61" t="s">
        <v>2</v>
      </c>
      <c r="HD28" s="63"/>
      <c r="HE28" s="61" t="s">
        <v>2</v>
      </c>
      <c r="HF28" s="61" t="s">
        <v>2</v>
      </c>
      <c r="HG28" s="61" t="s">
        <v>2</v>
      </c>
      <c r="HH28" s="62"/>
      <c r="HI28" s="63"/>
      <c r="HJ28" s="63"/>
      <c r="HK28" s="63"/>
      <c r="HL28" s="17" t="s">
        <v>870</v>
      </c>
      <c r="HM28" s="17" t="s">
        <v>870</v>
      </c>
      <c r="HN28" s="63"/>
      <c r="HO28" s="63"/>
      <c r="HP28" s="17" t="s">
        <v>870</v>
      </c>
      <c r="HQ28" s="17" t="s">
        <v>870</v>
      </c>
      <c r="HR28" s="63"/>
      <c r="HS28" s="62"/>
      <c r="HT28" s="17" t="s">
        <v>870</v>
      </c>
      <c r="HU28" s="17" t="s">
        <v>870</v>
      </c>
      <c r="HV28" s="63"/>
      <c r="HW28" s="62"/>
      <c r="HX28" s="17" t="s">
        <v>870</v>
      </c>
      <c r="HY28" s="17" t="s">
        <v>870</v>
      </c>
      <c r="HZ28" s="17" t="s">
        <v>870</v>
      </c>
      <c r="IA28" s="17" t="s">
        <v>870</v>
      </c>
      <c r="IB28" s="17" t="s">
        <v>870</v>
      </c>
      <c r="IC28" s="17" t="s">
        <v>870</v>
      </c>
      <c r="ID28" s="72" t="s">
        <v>1552</v>
      </c>
      <c r="IE28" s="17" t="s">
        <v>870</v>
      </c>
      <c r="IF28" s="17" t="s">
        <v>870</v>
      </c>
      <c r="IG28" s="17" t="s">
        <v>870</v>
      </c>
      <c r="IH28" s="62"/>
      <c r="II28" s="63"/>
      <c r="IJ28" s="17" t="s">
        <v>870</v>
      </c>
      <c r="IK28" s="17" t="s">
        <v>870</v>
      </c>
      <c r="IL28" s="17" t="s">
        <v>870</v>
      </c>
      <c r="IM28" s="17" t="s">
        <v>870</v>
      </c>
      <c r="IN28" s="17" t="s">
        <v>870</v>
      </c>
      <c r="IO28" s="17" t="s">
        <v>870</v>
      </c>
    </row>
    <row r="29" spans="1:249" x14ac:dyDescent="0.25">
      <c r="A29" t="s">
        <v>31</v>
      </c>
      <c r="B29" s="62"/>
      <c r="C29" s="61" t="s">
        <v>2</v>
      </c>
      <c r="D29" s="63"/>
      <c r="E29" s="63"/>
      <c r="F29" s="61" t="s">
        <v>2</v>
      </c>
      <c r="G29" s="63"/>
      <c r="H29" s="62"/>
      <c r="I29" s="63"/>
      <c r="J29" s="17" t="s">
        <v>870</v>
      </c>
      <c r="K29" s="61" t="s">
        <v>2</v>
      </c>
      <c r="L29" s="63"/>
      <c r="M29" s="63"/>
      <c r="N29" s="61" t="s">
        <v>2</v>
      </c>
      <c r="O29" s="17" t="s">
        <v>870</v>
      </c>
      <c r="P29" s="61" t="s">
        <v>2</v>
      </c>
      <c r="Q29" s="63"/>
      <c r="R29" s="17" t="s">
        <v>870</v>
      </c>
      <c r="S29" s="17" t="s">
        <v>870</v>
      </c>
      <c r="T29" s="61" t="s">
        <v>2</v>
      </c>
      <c r="U29" s="62"/>
      <c r="V29" s="17" t="s">
        <v>870</v>
      </c>
      <c r="W29" s="17" t="s">
        <v>870</v>
      </c>
      <c r="X29" s="17" t="s">
        <v>870</v>
      </c>
      <c r="Y29" s="17" t="s">
        <v>870</v>
      </c>
      <c r="Z29" s="17" t="s">
        <v>870</v>
      </c>
      <c r="AA29" s="17" t="s">
        <v>870</v>
      </c>
      <c r="AB29" s="17" t="s">
        <v>870</v>
      </c>
      <c r="AC29" s="17" t="s">
        <v>870</v>
      </c>
      <c r="AD29" s="17" t="s">
        <v>870</v>
      </c>
      <c r="AE29" s="17" t="s">
        <v>870</v>
      </c>
      <c r="AF29" s="17" t="s">
        <v>870</v>
      </c>
      <c r="AG29" s="17" t="s">
        <v>870</v>
      </c>
      <c r="AH29" s="17" t="s">
        <v>870</v>
      </c>
      <c r="AI29" s="17" t="s">
        <v>870</v>
      </c>
      <c r="AJ29" s="17" t="s">
        <v>870</v>
      </c>
      <c r="AK29" s="17" t="s">
        <v>870</v>
      </c>
      <c r="AL29" s="17" t="s">
        <v>870</v>
      </c>
      <c r="AM29" s="17" t="s">
        <v>870</v>
      </c>
      <c r="AN29" s="17" t="s">
        <v>870</v>
      </c>
      <c r="AO29" s="17" t="s">
        <v>870</v>
      </c>
      <c r="AP29" s="17" t="s">
        <v>870</v>
      </c>
      <c r="AQ29" s="17" t="s">
        <v>870</v>
      </c>
      <c r="AR29" s="17" t="s">
        <v>870</v>
      </c>
      <c r="AS29" s="17" t="s">
        <v>870</v>
      </c>
      <c r="AT29" s="17" t="s">
        <v>870</v>
      </c>
      <c r="AU29" s="17" t="s">
        <v>870</v>
      </c>
      <c r="AV29" s="17" t="s">
        <v>870</v>
      </c>
      <c r="AW29" s="17" t="s">
        <v>870</v>
      </c>
      <c r="AX29" s="17" t="s">
        <v>870</v>
      </c>
      <c r="AY29" s="17" t="s">
        <v>870</v>
      </c>
      <c r="AZ29" s="17" t="s">
        <v>870</v>
      </c>
      <c r="BA29" s="17" t="s">
        <v>870</v>
      </c>
      <c r="BB29" s="17" t="s">
        <v>870</v>
      </c>
      <c r="BC29" s="17" t="s">
        <v>870</v>
      </c>
      <c r="BD29" s="17" t="s">
        <v>870</v>
      </c>
      <c r="BE29" s="17" t="s">
        <v>870</v>
      </c>
      <c r="BF29" s="17" t="s">
        <v>870</v>
      </c>
      <c r="BG29" s="17" t="s">
        <v>870</v>
      </c>
      <c r="BH29" s="17" t="s">
        <v>870</v>
      </c>
      <c r="BI29" s="17" t="s">
        <v>870</v>
      </c>
      <c r="BJ29" s="17" t="s">
        <v>870</v>
      </c>
      <c r="BK29" s="17" t="s">
        <v>870</v>
      </c>
      <c r="BL29" s="17" t="s">
        <v>870</v>
      </c>
      <c r="BM29" s="17" t="s">
        <v>870</v>
      </c>
      <c r="BN29" s="17" t="s">
        <v>870</v>
      </c>
      <c r="BO29" s="17" t="s">
        <v>870</v>
      </c>
      <c r="BP29" s="17" t="s">
        <v>870</v>
      </c>
      <c r="BQ29" s="17" t="s">
        <v>870</v>
      </c>
      <c r="BR29" s="17" t="s">
        <v>870</v>
      </c>
      <c r="BS29" s="17" t="s">
        <v>870</v>
      </c>
      <c r="BT29" s="17" t="s">
        <v>870</v>
      </c>
      <c r="BU29" s="17" t="s">
        <v>870</v>
      </c>
      <c r="BV29" s="17" t="s">
        <v>870</v>
      </c>
      <c r="BW29" s="17" t="s">
        <v>870</v>
      </c>
      <c r="BX29" s="17" t="s">
        <v>870</v>
      </c>
      <c r="BY29" s="17" t="s">
        <v>870</v>
      </c>
      <c r="BZ29" s="17" t="s">
        <v>870</v>
      </c>
      <c r="CA29" s="17" t="s">
        <v>870</v>
      </c>
      <c r="CB29" s="17" t="s">
        <v>870</v>
      </c>
      <c r="CC29" s="17" t="s">
        <v>870</v>
      </c>
      <c r="CD29" s="17" t="s">
        <v>870</v>
      </c>
      <c r="CE29" s="17" t="s">
        <v>870</v>
      </c>
      <c r="CF29" s="17" t="s">
        <v>870</v>
      </c>
      <c r="CG29" s="17" t="s">
        <v>870</v>
      </c>
      <c r="CH29" s="17" t="s">
        <v>870</v>
      </c>
      <c r="CI29" s="17" t="s">
        <v>870</v>
      </c>
      <c r="CJ29" s="17" t="s">
        <v>870</v>
      </c>
      <c r="CK29" s="17" t="s">
        <v>870</v>
      </c>
      <c r="CL29" s="17" t="s">
        <v>870</v>
      </c>
      <c r="CM29" s="17" t="s">
        <v>870</v>
      </c>
      <c r="CN29" s="17" t="s">
        <v>870</v>
      </c>
      <c r="CO29" s="17" t="s">
        <v>870</v>
      </c>
      <c r="CP29" s="17" t="s">
        <v>870</v>
      </c>
      <c r="CQ29" s="17" t="s">
        <v>870</v>
      </c>
      <c r="CR29" s="17" t="s">
        <v>870</v>
      </c>
      <c r="CS29" s="17" t="s">
        <v>870</v>
      </c>
      <c r="CT29" s="17" t="s">
        <v>870</v>
      </c>
      <c r="CU29" s="17" t="s">
        <v>870</v>
      </c>
      <c r="CV29" s="17" t="s">
        <v>870</v>
      </c>
      <c r="CW29" s="17" t="s">
        <v>870</v>
      </c>
      <c r="CX29" s="17" t="s">
        <v>870</v>
      </c>
      <c r="CY29" s="17" t="s">
        <v>870</v>
      </c>
      <c r="CZ29" s="17" t="s">
        <v>870</v>
      </c>
      <c r="DA29" s="17" t="s">
        <v>870</v>
      </c>
      <c r="DB29" s="17" t="s">
        <v>870</v>
      </c>
      <c r="DC29" s="17" t="s">
        <v>870</v>
      </c>
      <c r="DD29" s="17" t="s">
        <v>870</v>
      </c>
      <c r="DE29" s="17" t="s">
        <v>870</v>
      </c>
      <c r="DF29" s="17" t="s">
        <v>870</v>
      </c>
      <c r="DG29" s="17" t="s">
        <v>870</v>
      </c>
      <c r="DH29" s="17" t="s">
        <v>870</v>
      </c>
      <c r="DI29" s="17" t="s">
        <v>870</v>
      </c>
      <c r="DJ29" s="17" t="s">
        <v>870</v>
      </c>
      <c r="DK29" s="17" t="s">
        <v>870</v>
      </c>
      <c r="DL29" s="17" t="s">
        <v>870</v>
      </c>
      <c r="DM29" s="17" t="s">
        <v>870</v>
      </c>
      <c r="DN29" s="17" t="s">
        <v>870</v>
      </c>
      <c r="DO29" s="17" t="s">
        <v>870</v>
      </c>
      <c r="DP29" s="17" t="s">
        <v>870</v>
      </c>
      <c r="DQ29" s="17" t="s">
        <v>870</v>
      </c>
      <c r="DR29" s="17" t="s">
        <v>870</v>
      </c>
      <c r="DS29" s="17" t="s">
        <v>870</v>
      </c>
      <c r="DT29" s="17" t="s">
        <v>870</v>
      </c>
      <c r="DU29" s="17" t="s">
        <v>870</v>
      </c>
      <c r="DV29" s="17" t="s">
        <v>870</v>
      </c>
      <c r="DW29" s="17" t="s">
        <v>870</v>
      </c>
      <c r="DX29" s="17" t="s">
        <v>870</v>
      </c>
      <c r="DY29" s="17" t="s">
        <v>870</v>
      </c>
      <c r="DZ29" s="17" t="s">
        <v>870</v>
      </c>
      <c r="EA29" s="17" t="s">
        <v>870</v>
      </c>
      <c r="EB29" s="17" t="s">
        <v>870</v>
      </c>
      <c r="EC29" s="17" t="s">
        <v>870</v>
      </c>
      <c r="ED29" s="17" t="s">
        <v>870</v>
      </c>
      <c r="EE29" s="17" t="s">
        <v>870</v>
      </c>
      <c r="EF29" s="17" t="s">
        <v>870</v>
      </c>
      <c r="EG29" s="17" t="s">
        <v>870</v>
      </c>
      <c r="EH29" s="17" t="s">
        <v>870</v>
      </c>
      <c r="EI29" s="17" t="s">
        <v>870</v>
      </c>
      <c r="EJ29" s="17" t="s">
        <v>870</v>
      </c>
      <c r="EK29" s="17" t="s">
        <v>870</v>
      </c>
      <c r="EL29" s="17" t="s">
        <v>870</v>
      </c>
      <c r="EM29" s="17" t="s">
        <v>870</v>
      </c>
      <c r="EN29" s="17" t="s">
        <v>870</v>
      </c>
      <c r="EO29" s="17" t="s">
        <v>870</v>
      </c>
      <c r="EP29" s="17" t="s">
        <v>870</v>
      </c>
      <c r="EQ29" s="17" t="s">
        <v>870</v>
      </c>
      <c r="ER29" s="17" t="s">
        <v>870</v>
      </c>
      <c r="ES29" s="17" t="s">
        <v>870</v>
      </c>
      <c r="ET29" s="17" t="s">
        <v>870</v>
      </c>
      <c r="EU29" s="17" t="s">
        <v>870</v>
      </c>
      <c r="EV29" s="17" t="s">
        <v>870</v>
      </c>
      <c r="EW29" s="17" t="s">
        <v>870</v>
      </c>
      <c r="EX29" s="17" t="s">
        <v>870</v>
      </c>
      <c r="EY29" s="17" t="s">
        <v>870</v>
      </c>
      <c r="EZ29" s="17" t="s">
        <v>870</v>
      </c>
      <c r="FA29" s="17" t="s">
        <v>870</v>
      </c>
      <c r="FB29" s="17" t="s">
        <v>870</v>
      </c>
      <c r="FC29" s="17" t="s">
        <v>870</v>
      </c>
      <c r="FD29" s="17" t="s">
        <v>870</v>
      </c>
      <c r="FE29" s="17" t="s">
        <v>870</v>
      </c>
      <c r="FF29" s="17" t="s">
        <v>870</v>
      </c>
      <c r="FG29" s="17" t="s">
        <v>870</v>
      </c>
      <c r="FH29" s="17" t="s">
        <v>870</v>
      </c>
      <c r="FI29" s="17" t="s">
        <v>870</v>
      </c>
      <c r="FJ29" s="17" t="s">
        <v>870</v>
      </c>
      <c r="FK29" s="17" t="s">
        <v>870</v>
      </c>
      <c r="FL29" s="17" t="s">
        <v>870</v>
      </c>
      <c r="FM29" s="17" t="s">
        <v>870</v>
      </c>
      <c r="FN29" s="17" t="s">
        <v>870</v>
      </c>
      <c r="FO29" s="17" t="s">
        <v>870</v>
      </c>
      <c r="FP29" s="17" t="s">
        <v>870</v>
      </c>
      <c r="FQ29" s="17" t="s">
        <v>870</v>
      </c>
      <c r="FR29" s="17" t="s">
        <v>870</v>
      </c>
      <c r="FS29" s="17" t="s">
        <v>870</v>
      </c>
      <c r="FT29" s="17" t="s">
        <v>870</v>
      </c>
      <c r="FU29" s="17" t="s">
        <v>870</v>
      </c>
      <c r="FV29" s="17" t="s">
        <v>870</v>
      </c>
      <c r="FW29" s="17" t="s">
        <v>870</v>
      </c>
      <c r="FX29" s="17" t="s">
        <v>870</v>
      </c>
      <c r="FY29" s="17" t="s">
        <v>870</v>
      </c>
      <c r="FZ29" s="17" t="s">
        <v>870</v>
      </c>
      <c r="GA29" s="17" t="s">
        <v>870</v>
      </c>
      <c r="GB29" s="17" t="s">
        <v>870</v>
      </c>
      <c r="GC29" s="17" t="s">
        <v>870</v>
      </c>
      <c r="GD29" s="17" t="s">
        <v>870</v>
      </c>
      <c r="GE29" s="17" t="s">
        <v>870</v>
      </c>
      <c r="GF29" s="17" t="s">
        <v>870</v>
      </c>
      <c r="GG29" s="17" t="s">
        <v>870</v>
      </c>
      <c r="GH29" s="17" t="s">
        <v>870</v>
      </c>
      <c r="GI29" s="17" t="s">
        <v>870</v>
      </c>
      <c r="GJ29" s="17" t="s">
        <v>870</v>
      </c>
      <c r="GK29" s="17" t="s">
        <v>870</v>
      </c>
      <c r="GL29" s="17" t="s">
        <v>870</v>
      </c>
      <c r="GM29" s="17" t="s">
        <v>870</v>
      </c>
      <c r="GN29" s="17" t="s">
        <v>870</v>
      </c>
      <c r="GO29" s="17" t="s">
        <v>870</v>
      </c>
      <c r="GP29" s="17" t="s">
        <v>870</v>
      </c>
      <c r="GQ29" s="17" t="s">
        <v>870</v>
      </c>
      <c r="GR29" s="17" t="s">
        <v>870</v>
      </c>
      <c r="GS29" s="17" t="s">
        <v>870</v>
      </c>
      <c r="GT29" s="17" t="s">
        <v>870</v>
      </c>
      <c r="GU29" s="17" t="s">
        <v>870</v>
      </c>
      <c r="GV29" s="17" t="s">
        <v>870</v>
      </c>
      <c r="GW29" s="17" t="s">
        <v>870</v>
      </c>
      <c r="GX29" s="17" t="s">
        <v>870</v>
      </c>
      <c r="GY29" s="17" t="s">
        <v>870</v>
      </c>
      <c r="GZ29" s="17" t="s">
        <v>870</v>
      </c>
      <c r="HA29" s="17" t="s">
        <v>870</v>
      </c>
      <c r="HB29" s="17" t="s">
        <v>870</v>
      </c>
      <c r="HC29" s="17" t="s">
        <v>870</v>
      </c>
      <c r="HD29" s="17" t="s">
        <v>870</v>
      </c>
      <c r="HE29" s="17" t="s">
        <v>870</v>
      </c>
      <c r="HF29" s="17" t="s">
        <v>870</v>
      </c>
      <c r="HG29" s="17" t="s">
        <v>870</v>
      </c>
      <c r="HH29" s="17" t="s">
        <v>870</v>
      </c>
      <c r="HI29" s="17" t="s">
        <v>870</v>
      </c>
      <c r="HJ29" s="17" t="s">
        <v>870</v>
      </c>
      <c r="HK29" s="17" t="s">
        <v>870</v>
      </c>
      <c r="HL29" s="17" t="s">
        <v>870</v>
      </c>
      <c r="HM29" s="17" t="s">
        <v>870</v>
      </c>
      <c r="HN29" s="17" t="s">
        <v>870</v>
      </c>
      <c r="HO29" s="17" t="s">
        <v>870</v>
      </c>
      <c r="HP29" s="17" t="s">
        <v>870</v>
      </c>
      <c r="HQ29" s="17" t="s">
        <v>870</v>
      </c>
      <c r="HR29" s="17" t="s">
        <v>870</v>
      </c>
      <c r="HS29" s="17" t="s">
        <v>870</v>
      </c>
      <c r="HT29" s="17" t="s">
        <v>870</v>
      </c>
      <c r="HU29" s="17" t="s">
        <v>870</v>
      </c>
      <c r="HV29" s="17" t="s">
        <v>870</v>
      </c>
      <c r="HW29" s="17" t="s">
        <v>870</v>
      </c>
      <c r="HX29" s="17" t="s">
        <v>870</v>
      </c>
      <c r="HY29" s="17" t="s">
        <v>870</v>
      </c>
      <c r="HZ29" s="17" t="s">
        <v>870</v>
      </c>
      <c r="IA29" s="17" t="s">
        <v>870</v>
      </c>
      <c r="IB29" s="17" t="s">
        <v>870</v>
      </c>
      <c r="IC29" s="17" t="s">
        <v>870</v>
      </c>
      <c r="ID29" s="72" t="s">
        <v>1552</v>
      </c>
      <c r="IE29" s="17" t="s">
        <v>870</v>
      </c>
      <c r="IF29" s="17" t="s">
        <v>870</v>
      </c>
      <c r="IG29" s="17" t="s">
        <v>870</v>
      </c>
      <c r="IH29" s="17" t="s">
        <v>870</v>
      </c>
      <c r="II29" s="17" t="s">
        <v>870</v>
      </c>
      <c r="IJ29" s="17" t="s">
        <v>870</v>
      </c>
      <c r="IK29" s="17" t="s">
        <v>870</v>
      </c>
      <c r="IL29" s="17" t="s">
        <v>870</v>
      </c>
      <c r="IM29" s="17" t="s">
        <v>870</v>
      </c>
      <c r="IN29" s="17" t="s">
        <v>870</v>
      </c>
      <c r="IO29" s="17" t="s">
        <v>870</v>
      </c>
    </row>
    <row r="30" spans="1:249" x14ac:dyDescent="0.25">
      <c r="A30" t="s">
        <v>35</v>
      </c>
      <c r="B30" s="17" t="s">
        <v>870</v>
      </c>
      <c r="C30" s="17" t="s">
        <v>870</v>
      </c>
      <c r="D30" s="17" t="s">
        <v>870</v>
      </c>
      <c r="E30" s="17" t="s">
        <v>870</v>
      </c>
      <c r="F30" s="17" t="s">
        <v>870</v>
      </c>
      <c r="G30" s="17" t="s">
        <v>870</v>
      </c>
      <c r="H30" s="17" t="s">
        <v>870</v>
      </c>
      <c r="I30" s="17" t="s">
        <v>870</v>
      </c>
      <c r="J30" s="17" t="s">
        <v>870</v>
      </c>
      <c r="K30" s="17" t="s">
        <v>870</v>
      </c>
      <c r="L30" s="17" t="s">
        <v>870</v>
      </c>
      <c r="M30" s="17" t="s">
        <v>870</v>
      </c>
      <c r="N30" s="17" t="s">
        <v>870</v>
      </c>
      <c r="O30" s="17" t="s">
        <v>870</v>
      </c>
      <c r="P30" s="17" t="s">
        <v>870</v>
      </c>
      <c r="Q30" s="17" t="s">
        <v>870</v>
      </c>
      <c r="R30" s="17" t="s">
        <v>870</v>
      </c>
      <c r="S30" s="17" t="s">
        <v>870</v>
      </c>
      <c r="T30" s="17" t="s">
        <v>870</v>
      </c>
      <c r="U30" s="17" t="s">
        <v>870</v>
      </c>
      <c r="V30" s="63"/>
      <c r="W30" s="62"/>
      <c r="X30" s="63"/>
      <c r="Y30" s="63"/>
      <c r="Z30" s="63"/>
      <c r="AA30" s="63"/>
      <c r="AB30" s="63"/>
      <c r="AC30" s="63"/>
      <c r="AD30" s="63"/>
      <c r="AE30" s="63"/>
      <c r="AF30" s="63"/>
      <c r="AG30" s="17" t="s">
        <v>870</v>
      </c>
      <c r="AH30" s="17" t="s">
        <v>870</v>
      </c>
      <c r="AI30" s="17" t="s">
        <v>870</v>
      </c>
      <c r="AJ30" s="62"/>
      <c r="AK30" s="63"/>
      <c r="AL30" s="17" t="s">
        <v>870</v>
      </c>
      <c r="AM30" s="17" t="s">
        <v>870</v>
      </c>
      <c r="AN30" s="63"/>
      <c r="AO30" s="62"/>
      <c r="AP30" s="63"/>
      <c r="AQ30" s="63"/>
      <c r="AR30" s="63"/>
      <c r="AS30" s="63"/>
      <c r="AT30" s="17" t="s">
        <v>870</v>
      </c>
      <c r="AU30" s="17" t="s">
        <v>870</v>
      </c>
      <c r="AV30" s="61" t="s">
        <v>2</v>
      </c>
      <c r="AW30" s="63"/>
      <c r="AX30" s="63"/>
      <c r="AY30" s="63"/>
      <c r="AZ30" s="17" t="s">
        <v>870</v>
      </c>
      <c r="BA30" s="17" t="s">
        <v>870</v>
      </c>
      <c r="BB30" s="63"/>
      <c r="BC30" s="63"/>
      <c r="BD30" s="63"/>
      <c r="BE30" s="63"/>
      <c r="BF30" s="63"/>
      <c r="BG30" s="63"/>
      <c r="BH30" s="63"/>
      <c r="BI30" s="62"/>
      <c r="BJ30" s="63"/>
      <c r="BK30" s="63"/>
      <c r="BL30" s="62"/>
      <c r="BM30" s="63"/>
      <c r="BN30" s="63"/>
      <c r="BO30" s="63"/>
      <c r="BP30" s="17" t="s">
        <v>870</v>
      </c>
      <c r="BQ30" s="17" t="s">
        <v>870</v>
      </c>
      <c r="BR30" s="62"/>
      <c r="BS30" s="63"/>
      <c r="BT30" s="63"/>
      <c r="BU30" s="63"/>
      <c r="BV30" s="61" t="s">
        <v>2</v>
      </c>
      <c r="BW30" s="63"/>
      <c r="BX30" s="63"/>
      <c r="BY30" s="63"/>
      <c r="BZ30" s="63"/>
      <c r="CA30" s="63"/>
      <c r="CB30" s="63"/>
      <c r="CC30" s="61" t="s">
        <v>2</v>
      </c>
      <c r="CD30" s="17" t="s">
        <v>870</v>
      </c>
      <c r="CE30" s="17" t="s">
        <v>870</v>
      </c>
      <c r="CF30" s="63"/>
      <c r="CG30" s="63"/>
      <c r="CH30" s="63"/>
      <c r="CI30" s="63"/>
      <c r="CJ30" s="63"/>
      <c r="CK30" s="63"/>
      <c r="CL30" s="63"/>
      <c r="CM30" s="63"/>
      <c r="CN30" s="63"/>
      <c r="CO30" s="63"/>
      <c r="CP30" s="63"/>
      <c r="CQ30" s="63"/>
      <c r="CR30" s="63"/>
      <c r="CS30" s="63"/>
      <c r="CT30" s="63"/>
      <c r="CU30" s="63"/>
      <c r="CV30" s="63"/>
      <c r="CW30" s="63"/>
      <c r="CX30" s="63"/>
      <c r="CY30" s="63"/>
      <c r="CZ30" s="63"/>
      <c r="DA30" s="63"/>
      <c r="DB30" s="17" t="s">
        <v>870</v>
      </c>
      <c r="DC30" s="17" t="s">
        <v>870</v>
      </c>
      <c r="DD30" s="63"/>
      <c r="DE30" s="63"/>
      <c r="DF30" s="17" t="s">
        <v>870</v>
      </c>
      <c r="DG30" s="17" t="s">
        <v>870</v>
      </c>
      <c r="DH30" s="63"/>
      <c r="DI30" s="63"/>
      <c r="DJ30" s="63"/>
      <c r="DK30" s="63"/>
      <c r="DL30" s="17" t="s">
        <v>870</v>
      </c>
      <c r="DM30" s="17" t="s">
        <v>870</v>
      </c>
      <c r="DN30" s="63"/>
      <c r="DO30" s="63"/>
      <c r="DP30" s="17" t="s">
        <v>870</v>
      </c>
      <c r="DQ30" s="17" t="s">
        <v>870</v>
      </c>
      <c r="DR30" s="17" t="s">
        <v>870</v>
      </c>
      <c r="DS30" s="17" t="s">
        <v>870</v>
      </c>
      <c r="DT30" s="63"/>
      <c r="DU30" s="62"/>
      <c r="DV30" s="63"/>
      <c r="DW30" s="63"/>
      <c r="DX30" s="63"/>
      <c r="DY30" s="63"/>
      <c r="DZ30" s="17" t="s">
        <v>870</v>
      </c>
      <c r="EA30" s="17" t="s">
        <v>870</v>
      </c>
      <c r="EB30" s="63"/>
      <c r="EC30" s="63"/>
      <c r="ED30" s="63"/>
      <c r="EE30" s="63"/>
      <c r="EF30" s="63"/>
      <c r="EG30" s="63"/>
      <c r="EH30" s="63"/>
      <c r="EI30" s="63"/>
      <c r="EJ30" s="62"/>
      <c r="EK30" s="63"/>
      <c r="EL30" s="63"/>
      <c r="EM30" s="63"/>
      <c r="EN30" s="63"/>
      <c r="EO30" s="63"/>
      <c r="EP30" s="17" t="s">
        <v>870</v>
      </c>
      <c r="EQ30" s="17" t="s">
        <v>870</v>
      </c>
      <c r="ER30" s="63"/>
      <c r="ES30" s="63"/>
      <c r="ET30" s="63"/>
      <c r="EU30" s="63"/>
      <c r="EV30" s="63"/>
      <c r="EW30" s="61" t="s">
        <v>2</v>
      </c>
      <c r="EX30" s="63"/>
      <c r="EY30" s="62"/>
      <c r="EZ30" s="62"/>
      <c r="FA30" s="63"/>
      <c r="FB30" s="63"/>
      <c r="FC30" s="63"/>
      <c r="FD30" s="17" t="s">
        <v>870</v>
      </c>
      <c r="FE30" s="17" t="s">
        <v>870</v>
      </c>
      <c r="FF30" s="63"/>
      <c r="FG30" s="63"/>
      <c r="FH30" s="63"/>
      <c r="FI30" s="63"/>
      <c r="FJ30" s="63"/>
      <c r="FK30" s="63"/>
      <c r="FL30" s="63"/>
      <c r="FM30" s="63"/>
      <c r="FN30" s="17" t="s">
        <v>870</v>
      </c>
      <c r="FO30" s="17" t="s">
        <v>870</v>
      </c>
      <c r="FP30" s="17" t="s">
        <v>870</v>
      </c>
      <c r="FQ30" s="17" t="s">
        <v>870</v>
      </c>
      <c r="FR30" s="63"/>
      <c r="FS30" s="63"/>
      <c r="FT30" s="62"/>
      <c r="FU30" s="63"/>
      <c r="FV30" s="17" t="s">
        <v>870</v>
      </c>
      <c r="FW30" s="17" t="s">
        <v>870</v>
      </c>
      <c r="FX30" s="63"/>
      <c r="FY30" s="63"/>
      <c r="FZ30" s="17" t="s">
        <v>870</v>
      </c>
      <c r="GA30" s="17" t="s">
        <v>870</v>
      </c>
      <c r="GB30" s="17" t="s">
        <v>870</v>
      </c>
      <c r="GC30" s="17" t="s">
        <v>870</v>
      </c>
      <c r="GD30" s="17" t="s">
        <v>870</v>
      </c>
      <c r="GE30" s="17" t="s">
        <v>870</v>
      </c>
      <c r="GF30" s="17" t="s">
        <v>870</v>
      </c>
      <c r="GG30" s="17" t="s">
        <v>870</v>
      </c>
      <c r="GH30" s="17" t="s">
        <v>870</v>
      </c>
      <c r="GI30" s="17" t="s">
        <v>870</v>
      </c>
      <c r="GJ30" s="17" t="s">
        <v>870</v>
      </c>
      <c r="GK30" s="17" t="s">
        <v>870</v>
      </c>
      <c r="GL30" s="17" t="s">
        <v>870</v>
      </c>
      <c r="GM30" s="17" t="s">
        <v>870</v>
      </c>
      <c r="GN30" s="17" t="s">
        <v>870</v>
      </c>
      <c r="GO30" s="17" t="s">
        <v>870</v>
      </c>
      <c r="GP30" s="17" t="s">
        <v>870</v>
      </c>
      <c r="GQ30" s="17" t="s">
        <v>870</v>
      </c>
      <c r="GR30" s="17" t="s">
        <v>870</v>
      </c>
      <c r="GS30" s="17" t="s">
        <v>870</v>
      </c>
      <c r="GT30" s="17" t="s">
        <v>870</v>
      </c>
      <c r="GU30" s="17" t="s">
        <v>870</v>
      </c>
      <c r="GV30" s="17" t="s">
        <v>870</v>
      </c>
      <c r="GW30" s="17" t="s">
        <v>870</v>
      </c>
      <c r="GX30" s="17" t="s">
        <v>870</v>
      </c>
      <c r="GY30" s="17" t="s">
        <v>870</v>
      </c>
      <c r="GZ30" s="17" t="s">
        <v>870</v>
      </c>
      <c r="HA30" s="17" t="s">
        <v>870</v>
      </c>
      <c r="HB30" s="17" t="s">
        <v>870</v>
      </c>
      <c r="HC30" s="17" t="s">
        <v>870</v>
      </c>
      <c r="HD30" s="17" t="s">
        <v>870</v>
      </c>
      <c r="HE30" s="17" t="s">
        <v>870</v>
      </c>
      <c r="HF30" s="17" t="s">
        <v>870</v>
      </c>
      <c r="HG30" s="17" t="s">
        <v>870</v>
      </c>
      <c r="HH30" s="17" t="s">
        <v>870</v>
      </c>
      <c r="HI30" s="17" t="s">
        <v>870</v>
      </c>
      <c r="HJ30" s="17" t="s">
        <v>870</v>
      </c>
      <c r="HK30" s="17" t="s">
        <v>870</v>
      </c>
      <c r="HL30" s="17" t="s">
        <v>870</v>
      </c>
      <c r="HM30" s="17" t="s">
        <v>870</v>
      </c>
      <c r="HN30" s="17" t="s">
        <v>870</v>
      </c>
      <c r="HO30" s="17" t="s">
        <v>870</v>
      </c>
      <c r="HP30" s="63"/>
      <c r="HQ30" s="61" t="s">
        <v>2</v>
      </c>
      <c r="HR30" s="63"/>
      <c r="HS30" s="63"/>
      <c r="HT30" s="62"/>
      <c r="HU30" s="62"/>
      <c r="HV30" s="63"/>
      <c r="HW30" s="63"/>
      <c r="HX30" s="62"/>
      <c r="HY30" s="63"/>
      <c r="HZ30" s="63"/>
      <c r="IA30" s="63"/>
      <c r="IB30" s="63"/>
      <c r="IC30" s="63"/>
      <c r="ID30" s="72" t="s">
        <v>1552</v>
      </c>
      <c r="IE30" s="63"/>
      <c r="IF30" s="63"/>
      <c r="IG30" s="63"/>
      <c r="IH30" s="63"/>
      <c r="II30" s="63"/>
      <c r="IJ30" s="17" t="s">
        <v>870</v>
      </c>
      <c r="IK30" s="17" t="s">
        <v>870</v>
      </c>
      <c r="IL30" s="17" t="s">
        <v>870</v>
      </c>
      <c r="IM30" s="17" t="s">
        <v>870</v>
      </c>
      <c r="IN30" s="17" t="s">
        <v>870</v>
      </c>
      <c r="IO30" s="17" t="s">
        <v>870</v>
      </c>
    </row>
    <row r="31" spans="1:249" x14ac:dyDescent="0.25">
      <c r="A31" t="s">
        <v>19</v>
      </c>
      <c r="B31" s="61" t="s">
        <v>2</v>
      </c>
      <c r="C31" s="62"/>
      <c r="D31" s="17" t="s">
        <v>870</v>
      </c>
      <c r="E31" s="17" t="s">
        <v>870</v>
      </c>
      <c r="F31" s="17" t="s">
        <v>870</v>
      </c>
      <c r="G31" s="17" t="s">
        <v>870</v>
      </c>
      <c r="H31" s="17" t="s">
        <v>870</v>
      </c>
      <c r="I31" s="17" t="s">
        <v>870</v>
      </c>
      <c r="J31" s="17" t="s">
        <v>870</v>
      </c>
      <c r="K31" s="61" t="s">
        <v>2</v>
      </c>
      <c r="L31" s="61" t="s">
        <v>2</v>
      </c>
      <c r="M31" s="17" t="s">
        <v>870</v>
      </c>
      <c r="N31" s="17" t="s">
        <v>870</v>
      </c>
      <c r="O31" s="17" t="s">
        <v>870</v>
      </c>
      <c r="P31" s="17" t="s">
        <v>870</v>
      </c>
      <c r="Q31" s="17" t="s">
        <v>870</v>
      </c>
      <c r="R31" s="17" t="s">
        <v>870</v>
      </c>
      <c r="S31" s="17" t="s">
        <v>870</v>
      </c>
      <c r="T31" s="17" t="s">
        <v>870</v>
      </c>
      <c r="U31" s="17" t="s">
        <v>870</v>
      </c>
      <c r="V31" s="17" t="s">
        <v>870</v>
      </c>
      <c r="W31" s="17" t="s">
        <v>870</v>
      </c>
      <c r="X31" s="17" t="s">
        <v>870</v>
      </c>
      <c r="Y31" s="17" t="s">
        <v>870</v>
      </c>
      <c r="Z31" s="17" t="s">
        <v>870</v>
      </c>
      <c r="AA31" s="17" t="s">
        <v>870</v>
      </c>
      <c r="AB31" s="17" t="s">
        <v>870</v>
      </c>
      <c r="AC31" s="17" t="s">
        <v>870</v>
      </c>
      <c r="AD31" s="17" t="s">
        <v>870</v>
      </c>
      <c r="AE31" s="17" t="s">
        <v>870</v>
      </c>
      <c r="AF31" s="17" t="s">
        <v>870</v>
      </c>
      <c r="AG31" s="17" t="s">
        <v>870</v>
      </c>
      <c r="AH31" s="17" t="s">
        <v>870</v>
      </c>
      <c r="AI31" s="17" t="s">
        <v>870</v>
      </c>
      <c r="AJ31" s="17" t="s">
        <v>870</v>
      </c>
      <c r="AK31" s="17" t="s">
        <v>870</v>
      </c>
      <c r="AL31" s="17" t="s">
        <v>870</v>
      </c>
      <c r="AM31" s="17" t="s">
        <v>870</v>
      </c>
      <c r="AN31" s="17" t="s">
        <v>870</v>
      </c>
      <c r="AO31" s="17" t="s">
        <v>870</v>
      </c>
      <c r="AP31" s="17" t="s">
        <v>870</v>
      </c>
      <c r="AQ31" s="17" t="s">
        <v>870</v>
      </c>
      <c r="AR31" s="17" t="s">
        <v>870</v>
      </c>
      <c r="AS31" s="17" t="s">
        <v>870</v>
      </c>
      <c r="AT31" s="17" t="s">
        <v>870</v>
      </c>
      <c r="AU31" s="17" t="s">
        <v>870</v>
      </c>
      <c r="AV31" s="17" t="s">
        <v>870</v>
      </c>
      <c r="AW31" s="17" t="s">
        <v>870</v>
      </c>
      <c r="AX31" s="17" t="s">
        <v>870</v>
      </c>
      <c r="AY31" s="17" t="s">
        <v>870</v>
      </c>
      <c r="AZ31" s="17" t="s">
        <v>870</v>
      </c>
      <c r="BA31" s="17" t="s">
        <v>870</v>
      </c>
      <c r="BB31" s="17" t="s">
        <v>870</v>
      </c>
      <c r="BC31" s="17" t="s">
        <v>870</v>
      </c>
      <c r="BD31" s="17" t="s">
        <v>870</v>
      </c>
      <c r="BE31" s="17" t="s">
        <v>870</v>
      </c>
      <c r="BF31" s="17" t="s">
        <v>870</v>
      </c>
      <c r="BG31" s="17" t="s">
        <v>870</v>
      </c>
      <c r="BH31" s="17" t="s">
        <v>870</v>
      </c>
      <c r="BI31" s="17" t="s">
        <v>870</v>
      </c>
      <c r="BJ31" s="17" t="s">
        <v>870</v>
      </c>
      <c r="BK31" s="17" t="s">
        <v>870</v>
      </c>
      <c r="BL31" s="17" t="s">
        <v>870</v>
      </c>
      <c r="BM31" s="17" t="s">
        <v>870</v>
      </c>
      <c r="BN31" s="17" t="s">
        <v>870</v>
      </c>
      <c r="BO31" s="17" t="s">
        <v>870</v>
      </c>
      <c r="BP31" s="17" t="s">
        <v>870</v>
      </c>
      <c r="BQ31" s="17" t="s">
        <v>870</v>
      </c>
      <c r="BR31" s="17" t="s">
        <v>870</v>
      </c>
      <c r="BS31" s="17" t="s">
        <v>870</v>
      </c>
      <c r="BT31" s="17" t="s">
        <v>870</v>
      </c>
      <c r="BU31" s="17" t="s">
        <v>870</v>
      </c>
      <c r="BV31" s="17" t="s">
        <v>870</v>
      </c>
      <c r="BW31" s="17" t="s">
        <v>870</v>
      </c>
      <c r="BX31" s="17" t="s">
        <v>870</v>
      </c>
      <c r="BY31" s="17" t="s">
        <v>870</v>
      </c>
      <c r="BZ31" s="17" t="s">
        <v>870</v>
      </c>
      <c r="CA31" s="17" t="s">
        <v>870</v>
      </c>
      <c r="CB31" s="17" t="s">
        <v>870</v>
      </c>
      <c r="CC31" s="17" t="s">
        <v>870</v>
      </c>
      <c r="CD31" s="17" t="s">
        <v>870</v>
      </c>
      <c r="CE31" s="17" t="s">
        <v>870</v>
      </c>
      <c r="CF31" s="17" t="s">
        <v>870</v>
      </c>
      <c r="CG31" s="17" t="s">
        <v>870</v>
      </c>
      <c r="CH31" s="17" t="s">
        <v>870</v>
      </c>
      <c r="CI31" s="17" t="s">
        <v>870</v>
      </c>
      <c r="CJ31" s="17" t="s">
        <v>870</v>
      </c>
      <c r="CK31" s="17" t="s">
        <v>870</v>
      </c>
      <c r="CL31" s="17" t="s">
        <v>870</v>
      </c>
      <c r="CM31" s="17" t="s">
        <v>870</v>
      </c>
      <c r="CN31" s="17" t="s">
        <v>870</v>
      </c>
      <c r="CO31" s="17" t="s">
        <v>870</v>
      </c>
      <c r="CP31" s="17" t="s">
        <v>870</v>
      </c>
      <c r="CQ31" s="17" t="s">
        <v>870</v>
      </c>
      <c r="CR31" s="17" t="s">
        <v>870</v>
      </c>
      <c r="CS31" s="17" t="s">
        <v>870</v>
      </c>
      <c r="CT31" s="17" t="s">
        <v>870</v>
      </c>
      <c r="CU31" s="17" t="s">
        <v>870</v>
      </c>
      <c r="CV31" s="17" t="s">
        <v>870</v>
      </c>
      <c r="CW31" s="17" t="s">
        <v>870</v>
      </c>
      <c r="CX31" s="17" t="s">
        <v>870</v>
      </c>
      <c r="CY31" s="17" t="s">
        <v>870</v>
      </c>
      <c r="CZ31" s="17" t="s">
        <v>870</v>
      </c>
      <c r="DA31" s="17" t="s">
        <v>870</v>
      </c>
      <c r="DB31" s="17" t="s">
        <v>870</v>
      </c>
      <c r="DC31" s="17" t="s">
        <v>870</v>
      </c>
      <c r="DD31" s="17" t="s">
        <v>870</v>
      </c>
      <c r="DE31" s="17" t="s">
        <v>870</v>
      </c>
      <c r="DF31" s="17" t="s">
        <v>870</v>
      </c>
      <c r="DG31" s="17" t="s">
        <v>870</v>
      </c>
      <c r="DH31" s="17" t="s">
        <v>870</v>
      </c>
      <c r="DI31" s="17" t="s">
        <v>870</v>
      </c>
      <c r="DJ31" s="17" t="s">
        <v>870</v>
      </c>
      <c r="DK31" s="17" t="s">
        <v>870</v>
      </c>
      <c r="DL31" s="17" t="s">
        <v>870</v>
      </c>
      <c r="DM31" s="17" t="s">
        <v>870</v>
      </c>
      <c r="DN31" s="17" t="s">
        <v>870</v>
      </c>
      <c r="DO31" s="17" t="s">
        <v>870</v>
      </c>
      <c r="DP31" s="17" t="s">
        <v>870</v>
      </c>
      <c r="DQ31" s="17" t="s">
        <v>870</v>
      </c>
      <c r="DR31" s="17" t="s">
        <v>870</v>
      </c>
      <c r="DS31" s="17" t="s">
        <v>870</v>
      </c>
      <c r="DT31" s="17" t="s">
        <v>870</v>
      </c>
      <c r="DU31" s="17" t="s">
        <v>870</v>
      </c>
      <c r="DV31" s="17" t="s">
        <v>870</v>
      </c>
      <c r="DW31" s="17" t="s">
        <v>870</v>
      </c>
      <c r="DX31" s="17" t="s">
        <v>870</v>
      </c>
      <c r="DY31" s="17" t="s">
        <v>870</v>
      </c>
      <c r="DZ31" s="17" t="s">
        <v>870</v>
      </c>
      <c r="EA31" s="17" t="s">
        <v>870</v>
      </c>
      <c r="EB31" s="17" t="s">
        <v>870</v>
      </c>
      <c r="EC31" s="17" t="s">
        <v>870</v>
      </c>
      <c r="ED31" s="17" t="s">
        <v>870</v>
      </c>
      <c r="EE31" s="17" t="s">
        <v>870</v>
      </c>
      <c r="EF31" s="17" t="s">
        <v>870</v>
      </c>
      <c r="EG31" s="17" t="s">
        <v>870</v>
      </c>
      <c r="EH31" s="17" t="s">
        <v>870</v>
      </c>
      <c r="EI31" s="17" t="s">
        <v>870</v>
      </c>
      <c r="EJ31" s="17" t="s">
        <v>870</v>
      </c>
      <c r="EK31" s="17" t="s">
        <v>870</v>
      </c>
      <c r="EL31" s="17" t="s">
        <v>870</v>
      </c>
      <c r="EM31" s="17" t="s">
        <v>870</v>
      </c>
      <c r="EN31" s="17" t="s">
        <v>870</v>
      </c>
      <c r="EO31" s="17" t="s">
        <v>870</v>
      </c>
      <c r="EP31" s="17" t="s">
        <v>870</v>
      </c>
      <c r="EQ31" s="17" t="s">
        <v>870</v>
      </c>
      <c r="ER31" s="17" t="s">
        <v>870</v>
      </c>
      <c r="ES31" s="17" t="s">
        <v>870</v>
      </c>
      <c r="ET31" s="17" t="s">
        <v>870</v>
      </c>
      <c r="EU31" s="17" t="s">
        <v>870</v>
      </c>
      <c r="EV31" s="17" t="s">
        <v>870</v>
      </c>
      <c r="EW31" s="17" t="s">
        <v>870</v>
      </c>
      <c r="EX31" s="17" t="s">
        <v>870</v>
      </c>
      <c r="EY31" s="17" t="s">
        <v>870</v>
      </c>
      <c r="EZ31" s="17" t="s">
        <v>870</v>
      </c>
      <c r="FA31" s="17" t="s">
        <v>870</v>
      </c>
      <c r="FB31" s="17" t="s">
        <v>870</v>
      </c>
      <c r="FC31" s="17" t="s">
        <v>870</v>
      </c>
      <c r="FD31" s="17" t="s">
        <v>870</v>
      </c>
      <c r="FE31" s="17" t="s">
        <v>870</v>
      </c>
      <c r="FF31" s="17" t="s">
        <v>870</v>
      </c>
      <c r="FG31" s="17" t="s">
        <v>870</v>
      </c>
      <c r="FH31" s="17" t="s">
        <v>870</v>
      </c>
      <c r="FI31" s="17" t="s">
        <v>870</v>
      </c>
      <c r="FJ31" s="17" t="s">
        <v>870</v>
      </c>
      <c r="FK31" s="17" t="s">
        <v>870</v>
      </c>
      <c r="FL31" s="17" t="s">
        <v>870</v>
      </c>
      <c r="FM31" s="17" t="s">
        <v>870</v>
      </c>
      <c r="FN31" s="17" t="s">
        <v>870</v>
      </c>
      <c r="FO31" s="17" t="s">
        <v>870</v>
      </c>
      <c r="FP31" s="17" t="s">
        <v>870</v>
      </c>
      <c r="FQ31" s="17" t="s">
        <v>870</v>
      </c>
      <c r="FR31" s="17" t="s">
        <v>870</v>
      </c>
      <c r="FS31" s="17" t="s">
        <v>870</v>
      </c>
      <c r="FT31" s="17" t="s">
        <v>870</v>
      </c>
      <c r="FU31" s="17" t="s">
        <v>870</v>
      </c>
      <c r="FV31" s="17" t="s">
        <v>870</v>
      </c>
      <c r="FW31" s="17" t="s">
        <v>870</v>
      </c>
      <c r="FX31" s="17" t="s">
        <v>870</v>
      </c>
      <c r="FY31" s="17" t="s">
        <v>870</v>
      </c>
      <c r="FZ31" s="17" t="s">
        <v>870</v>
      </c>
      <c r="GA31" s="17" t="s">
        <v>870</v>
      </c>
      <c r="GB31" s="17" t="s">
        <v>870</v>
      </c>
      <c r="GC31" s="17" t="s">
        <v>870</v>
      </c>
      <c r="GD31" s="17" t="s">
        <v>870</v>
      </c>
      <c r="GE31" s="17" t="s">
        <v>870</v>
      </c>
      <c r="GF31" s="17" t="s">
        <v>870</v>
      </c>
      <c r="GG31" s="17" t="s">
        <v>870</v>
      </c>
      <c r="GH31" s="17" t="s">
        <v>870</v>
      </c>
      <c r="GI31" s="17" t="s">
        <v>870</v>
      </c>
      <c r="GJ31" s="17" t="s">
        <v>870</v>
      </c>
      <c r="GK31" s="17" t="s">
        <v>870</v>
      </c>
      <c r="GL31" s="17" t="s">
        <v>870</v>
      </c>
      <c r="GM31" s="17" t="s">
        <v>870</v>
      </c>
      <c r="GN31" s="17" t="s">
        <v>870</v>
      </c>
      <c r="GO31" s="17" t="s">
        <v>870</v>
      </c>
      <c r="GP31" s="17" t="s">
        <v>870</v>
      </c>
      <c r="GQ31" s="17" t="s">
        <v>870</v>
      </c>
      <c r="GR31" s="17" t="s">
        <v>870</v>
      </c>
      <c r="GS31" s="17" t="s">
        <v>870</v>
      </c>
      <c r="GT31" s="17" t="s">
        <v>870</v>
      </c>
      <c r="GU31" s="17" t="s">
        <v>870</v>
      </c>
      <c r="GV31" s="17" t="s">
        <v>870</v>
      </c>
      <c r="GW31" s="17" t="s">
        <v>870</v>
      </c>
      <c r="GX31" s="17" t="s">
        <v>870</v>
      </c>
      <c r="GY31" s="17" t="s">
        <v>870</v>
      </c>
      <c r="GZ31" s="17" t="s">
        <v>870</v>
      </c>
      <c r="HA31" s="17" t="s">
        <v>870</v>
      </c>
      <c r="HB31" s="17" t="s">
        <v>870</v>
      </c>
      <c r="HC31" s="17" t="s">
        <v>870</v>
      </c>
      <c r="HD31" s="17" t="s">
        <v>870</v>
      </c>
      <c r="HE31" s="17" t="s">
        <v>870</v>
      </c>
      <c r="HF31" s="17" t="s">
        <v>870</v>
      </c>
      <c r="HG31" s="17" t="s">
        <v>870</v>
      </c>
      <c r="HH31" s="17" t="s">
        <v>870</v>
      </c>
      <c r="HI31" s="17" t="s">
        <v>870</v>
      </c>
      <c r="HJ31" s="17" t="s">
        <v>870</v>
      </c>
      <c r="HK31" s="17" t="s">
        <v>870</v>
      </c>
      <c r="HL31" s="17" t="s">
        <v>870</v>
      </c>
      <c r="HM31" s="17" t="s">
        <v>870</v>
      </c>
      <c r="HN31" s="17" t="s">
        <v>870</v>
      </c>
      <c r="HO31" s="17" t="s">
        <v>870</v>
      </c>
      <c r="HP31" s="17" t="s">
        <v>870</v>
      </c>
      <c r="HQ31" s="17" t="s">
        <v>870</v>
      </c>
      <c r="HR31" s="17" t="s">
        <v>870</v>
      </c>
      <c r="HS31" s="17" t="s">
        <v>870</v>
      </c>
      <c r="HT31" s="17" t="s">
        <v>870</v>
      </c>
      <c r="HU31" s="17" t="s">
        <v>870</v>
      </c>
      <c r="HV31" s="17" t="s">
        <v>870</v>
      </c>
      <c r="HW31" s="17" t="s">
        <v>870</v>
      </c>
      <c r="HX31" s="17" t="s">
        <v>870</v>
      </c>
      <c r="HY31" s="17" t="s">
        <v>870</v>
      </c>
      <c r="HZ31" s="17" t="s">
        <v>870</v>
      </c>
      <c r="IA31" s="17" t="s">
        <v>870</v>
      </c>
      <c r="IB31" s="17" t="s">
        <v>870</v>
      </c>
      <c r="IC31" s="17" t="s">
        <v>870</v>
      </c>
      <c r="ID31" s="72" t="s">
        <v>1552</v>
      </c>
      <c r="IE31" s="17" t="s">
        <v>870</v>
      </c>
      <c r="IF31" s="17" t="s">
        <v>870</v>
      </c>
      <c r="IG31" s="17" t="s">
        <v>870</v>
      </c>
      <c r="IH31" s="17" t="s">
        <v>870</v>
      </c>
      <c r="II31" s="17" t="s">
        <v>870</v>
      </c>
      <c r="IJ31" s="17" t="s">
        <v>870</v>
      </c>
      <c r="IK31" s="17" t="s">
        <v>870</v>
      </c>
      <c r="IL31" s="17" t="s">
        <v>870</v>
      </c>
      <c r="IM31" s="17" t="s">
        <v>870</v>
      </c>
      <c r="IN31" s="17" t="s">
        <v>870</v>
      </c>
      <c r="IO31" s="17" t="s">
        <v>870</v>
      </c>
    </row>
    <row r="32" spans="1:249" x14ac:dyDescent="0.25">
      <c r="A32" t="s">
        <v>14</v>
      </c>
      <c r="B32" s="17" t="s">
        <v>870</v>
      </c>
      <c r="C32" s="17" t="s">
        <v>870</v>
      </c>
      <c r="D32" s="17" t="s">
        <v>870</v>
      </c>
      <c r="E32" s="17" t="s">
        <v>870</v>
      </c>
      <c r="F32" s="17" t="s">
        <v>870</v>
      </c>
      <c r="G32" s="17" t="s">
        <v>870</v>
      </c>
      <c r="H32" s="17" t="s">
        <v>870</v>
      </c>
      <c r="I32" s="17" t="s">
        <v>870</v>
      </c>
      <c r="J32" s="17" t="s">
        <v>870</v>
      </c>
      <c r="K32" s="17" t="s">
        <v>870</v>
      </c>
      <c r="L32" s="17" t="s">
        <v>870</v>
      </c>
      <c r="M32" s="17" t="s">
        <v>870</v>
      </c>
      <c r="N32" s="17" t="s">
        <v>870</v>
      </c>
      <c r="O32" s="17" t="s">
        <v>870</v>
      </c>
      <c r="P32" s="17" t="s">
        <v>870</v>
      </c>
      <c r="Q32" s="17" t="s">
        <v>870</v>
      </c>
      <c r="R32" s="17" t="s">
        <v>870</v>
      </c>
      <c r="S32" s="17" t="s">
        <v>870</v>
      </c>
      <c r="T32" s="17" t="s">
        <v>870</v>
      </c>
      <c r="U32" s="17" t="s">
        <v>870</v>
      </c>
      <c r="V32" s="17" t="s">
        <v>870</v>
      </c>
      <c r="W32" s="17" t="s">
        <v>870</v>
      </c>
      <c r="X32" s="17" t="s">
        <v>870</v>
      </c>
      <c r="Y32" s="17" t="s">
        <v>870</v>
      </c>
      <c r="Z32" s="17" t="s">
        <v>870</v>
      </c>
      <c r="AA32" s="17" t="s">
        <v>870</v>
      </c>
      <c r="AB32" s="17" t="s">
        <v>870</v>
      </c>
      <c r="AC32" s="17" t="s">
        <v>870</v>
      </c>
      <c r="AD32" s="17" t="s">
        <v>870</v>
      </c>
      <c r="AE32" s="17" t="s">
        <v>870</v>
      </c>
      <c r="AF32" s="17" t="s">
        <v>870</v>
      </c>
      <c r="AG32" s="17" t="s">
        <v>870</v>
      </c>
      <c r="AH32" s="62"/>
      <c r="AI32" s="61" t="s">
        <v>2</v>
      </c>
      <c r="AJ32" s="17" t="s">
        <v>870</v>
      </c>
      <c r="AK32" s="17" t="s">
        <v>870</v>
      </c>
      <c r="AL32" s="17" t="s">
        <v>870</v>
      </c>
      <c r="AM32" s="17" t="s">
        <v>870</v>
      </c>
      <c r="AN32" s="17" t="s">
        <v>870</v>
      </c>
      <c r="AO32" s="17" t="s">
        <v>870</v>
      </c>
      <c r="AP32" s="17" t="s">
        <v>870</v>
      </c>
      <c r="AQ32" s="17" t="s">
        <v>870</v>
      </c>
      <c r="AR32" s="17" t="s">
        <v>870</v>
      </c>
      <c r="AS32" s="17" t="s">
        <v>870</v>
      </c>
      <c r="AT32" s="17" t="s">
        <v>870</v>
      </c>
      <c r="AU32" s="17" t="s">
        <v>870</v>
      </c>
      <c r="AV32" s="17" t="s">
        <v>870</v>
      </c>
      <c r="AW32" s="17" t="s">
        <v>870</v>
      </c>
      <c r="AX32" s="17" t="s">
        <v>870</v>
      </c>
      <c r="AY32" s="17" t="s">
        <v>870</v>
      </c>
      <c r="AZ32" s="17" t="s">
        <v>870</v>
      </c>
      <c r="BA32" s="17" t="s">
        <v>870</v>
      </c>
      <c r="BB32" s="17" t="s">
        <v>870</v>
      </c>
      <c r="BC32" s="17" t="s">
        <v>870</v>
      </c>
      <c r="BD32" s="61" t="s">
        <v>2</v>
      </c>
      <c r="BE32" s="62"/>
      <c r="BF32" s="63"/>
      <c r="BG32" s="61" t="s">
        <v>2</v>
      </c>
      <c r="BH32" s="17" t="s">
        <v>870</v>
      </c>
      <c r="BI32" s="17" t="s">
        <v>870</v>
      </c>
      <c r="BJ32" s="17" t="s">
        <v>870</v>
      </c>
      <c r="BK32" s="17" t="s">
        <v>870</v>
      </c>
      <c r="BL32" s="17" t="s">
        <v>870</v>
      </c>
      <c r="BM32" s="17" t="s">
        <v>870</v>
      </c>
      <c r="BN32" s="17" t="s">
        <v>870</v>
      </c>
      <c r="BO32" s="17" t="s">
        <v>870</v>
      </c>
      <c r="BP32" s="61" t="s">
        <v>2</v>
      </c>
      <c r="BQ32" s="63"/>
      <c r="BR32" s="17" t="s">
        <v>870</v>
      </c>
      <c r="BS32" s="17" t="s">
        <v>870</v>
      </c>
      <c r="BT32" s="17" t="s">
        <v>870</v>
      </c>
      <c r="BU32" s="17" t="s">
        <v>870</v>
      </c>
      <c r="BV32" s="17" t="s">
        <v>870</v>
      </c>
      <c r="BW32" s="17" t="s">
        <v>870</v>
      </c>
      <c r="BX32" s="17" t="s">
        <v>870</v>
      </c>
      <c r="BY32" s="17" t="s">
        <v>870</v>
      </c>
      <c r="BZ32" s="17" t="s">
        <v>870</v>
      </c>
      <c r="CA32" s="17" t="s">
        <v>870</v>
      </c>
      <c r="CB32" s="17" t="s">
        <v>870</v>
      </c>
      <c r="CC32" s="17" t="s">
        <v>870</v>
      </c>
      <c r="CD32" s="17" t="s">
        <v>870</v>
      </c>
      <c r="CE32" s="17" t="s">
        <v>870</v>
      </c>
      <c r="CF32" s="17" t="s">
        <v>870</v>
      </c>
      <c r="CG32" s="17" t="s">
        <v>870</v>
      </c>
      <c r="CH32" s="17" t="s">
        <v>870</v>
      </c>
      <c r="CI32" s="17" t="s">
        <v>870</v>
      </c>
      <c r="CJ32" s="17" t="s">
        <v>870</v>
      </c>
      <c r="CK32" s="17" t="s">
        <v>870</v>
      </c>
      <c r="CL32" s="17" t="s">
        <v>870</v>
      </c>
      <c r="CM32" s="17" t="s">
        <v>870</v>
      </c>
      <c r="CN32" s="17" t="s">
        <v>870</v>
      </c>
      <c r="CO32" s="17" t="s">
        <v>870</v>
      </c>
      <c r="CP32" s="17" t="s">
        <v>870</v>
      </c>
      <c r="CQ32" s="17" t="s">
        <v>870</v>
      </c>
      <c r="CR32" s="17" t="s">
        <v>870</v>
      </c>
      <c r="CS32" s="17" t="s">
        <v>870</v>
      </c>
      <c r="CT32" s="17" t="s">
        <v>870</v>
      </c>
      <c r="CU32" s="17" t="s">
        <v>870</v>
      </c>
      <c r="CV32" s="17" t="s">
        <v>870</v>
      </c>
      <c r="CW32" s="17" t="s">
        <v>870</v>
      </c>
      <c r="CX32" s="17" t="s">
        <v>870</v>
      </c>
      <c r="CY32" s="17" t="s">
        <v>870</v>
      </c>
      <c r="CZ32" s="17" t="s">
        <v>870</v>
      </c>
      <c r="DA32" s="17" t="s">
        <v>870</v>
      </c>
      <c r="DB32" s="17" t="s">
        <v>870</v>
      </c>
      <c r="DC32" s="17" t="s">
        <v>870</v>
      </c>
      <c r="DD32" s="17" t="s">
        <v>870</v>
      </c>
      <c r="DE32" s="17" t="s">
        <v>870</v>
      </c>
      <c r="DF32" s="17" t="s">
        <v>870</v>
      </c>
      <c r="DG32" s="17" t="s">
        <v>870</v>
      </c>
      <c r="DH32" s="17" t="s">
        <v>870</v>
      </c>
      <c r="DI32" s="17" t="s">
        <v>870</v>
      </c>
      <c r="DJ32" s="17" t="s">
        <v>870</v>
      </c>
      <c r="DK32" s="17" t="s">
        <v>870</v>
      </c>
      <c r="DL32" s="17" t="s">
        <v>870</v>
      </c>
      <c r="DM32" s="17" t="s">
        <v>870</v>
      </c>
      <c r="DN32" s="17" t="s">
        <v>870</v>
      </c>
      <c r="DO32" s="17" t="s">
        <v>870</v>
      </c>
      <c r="DP32" s="17" t="s">
        <v>870</v>
      </c>
      <c r="DQ32" s="17" t="s">
        <v>870</v>
      </c>
      <c r="DR32" s="17" t="s">
        <v>870</v>
      </c>
      <c r="DS32" s="17" t="s">
        <v>870</v>
      </c>
      <c r="DT32" s="17" t="s">
        <v>870</v>
      </c>
      <c r="DU32" s="17" t="s">
        <v>870</v>
      </c>
      <c r="DV32" s="17" t="s">
        <v>870</v>
      </c>
      <c r="DW32" s="17" t="s">
        <v>870</v>
      </c>
      <c r="DX32" s="17" t="s">
        <v>870</v>
      </c>
      <c r="DY32" s="17" t="s">
        <v>870</v>
      </c>
      <c r="DZ32" s="17" t="s">
        <v>870</v>
      </c>
      <c r="EA32" s="17" t="s">
        <v>870</v>
      </c>
      <c r="EB32" s="17" t="s">
        <v>870</v>
      </c>
      <c r="EC32" s="17" t="s">
        <v>870</v>
      </c>
      <c r="ED32" s="17" t="s">
        <v>870</v>
      </c>
      <c r="EE32" s="17" t="s">
        <v>870</v>
      </c>
      <c r="EF32" s="17" t="s">
        <v>870</v>
      </c>
      <c r="EG32" s="17" t="s">
        <v>870</v>
      </c>
      <c r="EH32" s="17" t="s">
        <v>870</v>
      </c>
      <c r="EI32" s="17" t="s">
        <v>870</v>
      </c>
      <c r="EJ32" s="17" t="s">
        <v>870</v>
      </c>
      <c r="EK32" s="17" t="s">
        <v>870</v>
      </c>
      <c r="EL32" s="17" t="s">
        <v>870</v>
      </c>
      <c r="EM32" s="17" t="s">
        <v>870</v>
      </c>
      <c r="EN32" s="17" t="s">
        <v>870</v>
      </c>
      <c r="EO32" s="17" t="s">
        <v>870</v>
      </c>
      <c r="EP32" s="17" t="s">
        <v>870</v>
      </c>
      <c r="EQ32" s="17" t="s">
        <v>870</v>
      </c>
      <c r="ER32" s="17" t="s">
        <v>870</v>
      </c>
      <c r="ES32" s="17" t="s">
        <v>870</v>
      </c>
      <c r="ET32" s="17" t="s">
        <v>870</v>
      </c>
      <c r="EU32" s="17" t="s">
        <v>870</v>
      </c>
      <c r="EV32" s="17" t="s">
        <v>870</v>
      </c>
      <c r="EW32" s="17" t="s">
        <v>870</v>
      </c>
      <c r="EX32" s="17" t="s">
        <v>870</v>
      </c>
      <c r="EY32" s="17" t="s">
        <v>870</v>
      </c>
      <c r="EZ32" s="17" t="s">
        <v>870</v>
      </c>
      <c r="FA32" s="17" t="s">
        <v>870</v>
      </c>
      <c r="FB32" s="17" t="s">
        <v>870</v>
      </c>
      <c r="FC32" s="17" t="s">
        <v>870</v>
      </c>
      <c r="FD32" s="17" t="s">
        <v>870</v>
      </c>
      <c r="FE32" s="17" t="s">
        <v>870</v>
      </c>
      <c r="FF32" s="61" t="s">
        <v>2</v>
      </c>
      <c r="FG32" s="63"/>
      <c r="FH32" s="17" t="s">
        <v>870</v>
      </c>
      <c r="FI32" s="17" t="s">
        <v>870</v>
      </c>
      <c r="FJ32" s="17" t="s">
        <v>870</v>
      </c>
      <c r="FK32" s="17" t="s">
        <v>870</v>
      </c>
      <c r="FL32" s="17" t="s">
        <v>870</v>
      </c>
      <c r="FM32" s="17" t="s">
        <v>870</v>
      </c>
      <c r="FN32" s="17" t="s">
        <v>870</v>
      </c>
      <c r="FO32" s="17" t="s">
        <v>870</v>
      </c>
      <c r="FP32" s="17" t="s">
        <v>870</v>
      </c>
      <c r="FQ32" s="17" t="s">
        <v>870</v>
      </c>
      <c r="FR32" s="17" t="s">
        <v>870</v>
      </c>
      <c r="FS32" s="17" t="s">
        <v>870</v>
      </c>
      <c r="FT32" s="17" t="s">
        <v>870</v>
      </c>
      <c r="FU32" s="17" t="s">
        <v>870</v>
      </c>
      <c r="FV32" s="17" t="s">
        <v>870</v>
      </c>
      <c r="FW32" s="17" t="s">
        <v>870</v>
      </c>
      <c r="FX32" s="17" t="s">
        <v>870</v>
      </c>
      <c r="FY32" s="17" t="s">
        <v>870</v>
      </c>
      <c r="FZ32" s="17" t="s">
        <v>870</v>
      </c>
      <c r="GA32" s="17" t="s">
        <v>870</v>
      </c>
      <c r="GB32" s="17" t="s">
        <v>870</v>
      </c>
      <c r="GC32" s="17" t="s">
        <v>870</v>
      </c>
      <c r="GD32" s="17" t="s">
        <v>870</v>
      </c>
      <c r="GE32" s="17" t="s">
        <v>870</v>
      </c>
      <c r="GF32" s="17" t="s">
        <v>870</v>
      </c>
      <c r="GG32" s="17" t="s">
        <v>870</v>
      </c>
      <c r="GH32" s="17" t="s">
        <v>870</v>
      </c>
      <c r="GI32" s="17" t="s">
        <v>870</v>
      </c>
      <c r="GJ32" s="17" t="s">
        <v>870</v>
      </c>
      <c r="GK32" s="17" t="s">
        <v>870</v>
      </c>
      <c r="GL32" s="17" t="s">
        <v>870</v>
      </c>
      <c r="GM32" s="17" t="s">
        <v>870</v>
      </c>
      <c r="GN32" s="17" t="s">
        <v>870</v>
      </c>
      <c r="GO32" s="17" t="s">
        <v>870</v>
      </c>
      <c r="GP32" s="17" t="s">
        <v>870</v>
      </c>
      <c r="GQ32" s="17" t="s">
        <v>870</v>
      </c>
      <c r="GR32" s="17" t="s">
        <v>870</v>
      </c>
      <c r="GS32" s="17" t="s">
        <v>870</v>
      </c>
      <c r="GT32" s="17" t="s">
        <v>870</v>
      </c>
      <c r="GU32" s="17" t="s">
        <v>870</v>
      </c>
      <c r="GV32" s="17" t="s">
        <v>870</v>
      </c>
      <c r="GW32" s="61" t="s">
        <v>2</v>
      </c>
      <c r="GX32" s="63"/>
      <c r="GY32" s="63"/>
      <c r="GZ32" s="17" t="s">
        <v>870</v>
      </c>
      <c r="HA32" s="17" t="s">
        <v>870</v>
      </c>
      <c r="HB32" s="61" t="s">
        <v>2</v>
      </c>
      <c r="HC32" s="63"/>
      <c r="HD32" s="61" t="s">
        <v>2</v>
      </c>
      <c r="HE32" s="63"/>
      <c r="HF32" s="62"/>
      <c r="HG32" s="63"/>
      <c r="HH32" s="17" t="s">
        <v>870</v>
      </c>
      <c r="HI32" s="17" t="s">
        <v>870</v>
      </c>
      <c r="HJ32" s="17" t="s">
        <v>870</v>
      </c>
      <c r="HK32" s="17" t="s">
        <v>870</v>
      </c>
      <c r="HL32" s="17" t="s">
        <v>870</v>
      </c>
      <c r="HM32" s="17" t="s">
        <v>870</v>
      </c>
      <c r="HN32" s="17" t="s">
        <v>870</v>
      </c>
      <c r="HO32" s="17" t="s">
        <v>870</v>
      </c>
      <c r="HP32" s="17" t="s">
        <v>870</v>
      </c>
      <c r="HQ32" s="17" t="s">
        <v>870</v>
      </c>
      <c r="HR32" s="17" t="s">
        <v>870</v>
      </c>
      <c r="HS32" s="17" t="s">
        <v>870</v>
      </c>
      <c r="HT32" s="17" t="s">
        <v>870</v>
      </c>
      <c r="HU32" s="17" t="s">
        <v>870</v>
      </c>
      <c r="HV32" s="17" t="s">
        <v>870</v>
      </c>
      <c r="HW32" s="17" t="s">
        <v>870</v>
      </c>
      <c r="HX32" s="17" t="s">
        <v>870</v>
      </c>
      <c r="HY32" s="17" t="s">
        <v>870</v>
      </c>
      <c r="HZ32" s="17" t="s">
        <v>870</v>
      </c>
      <c r="IA32" s="17" t="s">
        <v>870</v>
      </c>
      <c r="IB32" s="17" t="s">
        <v>870</v>
      </c>
      <c r="IC32" s="17" t="s">
        <v>870</v>
      </c>
      <c r="ID32" s="72" t="s">
        <v>1552</v>
      </c>
      <c r="IE32" s="17" t="s">
        <v>870</v>
      </c>
      <c r="IF32" s="17" t="s">
        <v>870</v>
      </c>
      <c r="IG32" s="17" t="s">
        <v>870</v>
      </c>
      <c r="IH32" s="17" t="s">
        <v>870</v>
      </c>
      <c r="II32" s="17" t="s">
        <v>870</v>
      </c>
      <c r="IJ32" s="17" t="s">
        <v>870</v>
      </c>
      <c r="IK32" s="17" t="s">
        <v>870</v>
      </c>
      <c r="IL32" s="17" t="s">
        <v>870</v>
      </c>
      <c r="IM32" s="17" t="s">
        <v>870</v>
      </c>
      <c r="IN32" s="17" t="s">
        <v>870</v>
      </c>
      <c r="IO32" s="17" t="s">
        <v>870</v>
      </c>
    </row>
    <row r="33" spans="1:249" x14ac:dyDescent="0.25">
      <c r="A33" t="s">
        <v>37</v>
      </c>
      <c r="B33" s="17" t="s">
        <v>870</v>
      </c>
      <c r="C33" s="17" t="s">
        <v>870</v>
      </c>
      <c r="D33" s="17" t="s">
        <v>870</v>
      </c>
      <c r="E33" s="17" t="s">
        <v>870</v>
      </c>
      <c r="F33" s="17" t="s">
        <v>870</v>
      </c>
      <c r="G33" s="17" t="s">
        <v>870</v>
      </c>
      <c r="H33" s="17" t="s">
        <v>870</v>
      </c>
      <c r="I33" s="17" t="s">
        <v>870</v>
      </c>
      <c r="J33" s="17" t="s">
        <v>870</v>
      </c>
      <c r="K33" s="17" t="s">
        <v>870</v>
      </c>
      <c r="L33" s="17" t="s">
        <v>870</v>
      </c>
      <c r="M33" s="17" t="s">
        <v>870</v>
      </c>
      <c r="N33" s="17" t="s">
        <v>870</v>
      </c>
      <c r="O33" s="17" t="s">
        <v>870</v>
      </c>
      <c r="P33" s="17" t="s">
        <v>870</v>
      </c>
      <c r="Q33" s="17" t="s">
        <v>870</v>
      </c>
      <c r="R33" s="17" t="s">
        <v>870</v>
      </c>
      <c r="S33" s="17" t="s">
        <v>870</v>
      </c>
      <c r="T33" s="17" t="s">
        <v>870</v>
      </c>
      <c r="U33" s="17" t="s">
        <v>870</v>
      </c>
      <c r="V33" s="61" t="s">
        <v>2</v>
      </c>
      <c r="W33" s="63"/>
      <c r="X33" s="63"/>
      <c r="Y33" s="63"/>
      <c r="Z33" s="61" t="s">
        <v>2</v>
      </c>
      <c r="AA33" s="63"/>
      <c r="AB33" s="61" t="s">
        <v>2</v>
      </c>
      <c r="AC33" s="63"/>
      <c r="AD33" s="63"/>
      <c r="AE33" s="17" t="s">
        <v>870</v>
      </c>
      <c r="AF33" s="17" t="s">
        <v>870</v>
      </c>
      <c r="AG33" s="61" t="s">
        <v>2</v>
      </c>
      <c r="AH33" s="17" t="s">
        <v>870</v>
      </c>
      <c r="AI33" s="62"/>
      <c r="AJ33" s="17" t="s">
        <v>870</v>
      </c>
      <c r="AK33" s="17" t="s">
        <v>870</v>
      </c>
      <c r="AL33" s="17" t="s">
        <v>870</v>
      </c>
      <c r="AM33" s="17" t="s">
        <v>870</v>
      </c>
      <c r="AN33" s="17" t="s">
        <v>870</v>
      </c>
      <c r="AO33" s="17" t="s">
        <v>870</v>
      </c>
      <c r="AP33" s="17" t="s">
        <v>870</v>
      </c>
      <c r="AQ33" s="17" t="s">
        <v>870</v>
      </c>
      <c r="AR33" s="17" t="s">
        <v>870</v>
      </c>
      <c r="AS33" s="17" t="s">
        <v>870</v>
      </c>
      <c r="AT33" s="63"/>
      <c r="AU33" s="62"/>
      <c r="AV33" s="62"/>
      <c r="AW33" s="63"/>
      <c r="AX33" s="63"/>
      <c r="AY33" s="63"/>
      <c r="AZ33" s="63"/>
      <c r="BA33" s="62"/>
      <c r="BB33" s="17" t="s">
        <v>870</v>
      </c>
      <c r="BC33" s="17" t="s">
        <v>870</v>
      </c>
      <c r="BD33" s="17" t="s">
        <v>870</v>
      </c>
      <c r="BE33" s="17" t="s">
        <v>870</v>
      </c>
      <c r="BF33" s="17" t="s">
        <v>870</v>
      </c>
      <c r="BG33" s="17" t="s">
        <v>870</v>
      </c>
      <c r="BH33" s="17" t="s">
        <v>870</v>
      </c>
      <c r="BI33" s="17" t="s">
        <v>870</v>
      </c>
      <c r="BJ33" s="17" t="s">
        <v>870</v>
      </c>
      <c r="BK33" s="17" t="s">
        <v>870</v>
      </c>
      <c r="BL33" s="17" t="s">
        <v>870</v>
      </c>
      <c r="BM33" s="17" t="s">
        <v>870</v>
      </c>
      <c r="BN33" s="17" t="s">
        <v>870</v>
      </c>
      <c r="BO33" s="17" t="s">
        <v>870</v>
      </c>
      <c r="BP33" s="17" t="s">
        <v>870</v>
      </c>
      <c r="BQ33" s="17" t="s">
        <v>870</v>
      </c>
      <c r="BR33" s="17" t="s">
        <v>870</v>
      </c>
      <c r="BS33" s="17" t="s">
        <v>870</v>
      </c>
      <c r="BT33" s="17" t="s">
        <v>870</v>
      </c>
      <c r="BU33" s="17" t="s">
        <v>870</v>
      </c>
      <c r="BV33" s="17" t="s">
        <v>870</v>
      </c>
      <c r="BW33" s="17" t="s">
        <v>870</v>
      </c>
      <c r="BX33" s="17" t="s">
        <v>870</v>
      </c>
      <c r="BY33" s="17" t="s">
        <v>870</v>
      </c>
      <c r="BZ33" s="17" t="s">
        <v>870</v>
      </c>
      <c r="CA33" s="17" t="s">
        <v>870</v>
      </c>
      <c r="CB33" s="17" t="s">
        <v>870</v>
      </c>
      <c r="CC33" s="17" t="s">
        <v>870</v>
      </c>
      <c r="CD33" s="17" t="s">
        <v>870</v>
      </c>
      <c r="CE33" s="17" t="s">
        <v>870</v>
      </c>
      <c r="CF33" s="17" t="s">
        <v>870</v>
      </c>
      <c r="CG33" s="17" t="s">
        <v>870</v>
      </c>
      <c r="CH33" s="17" t="s">
        <v>870</v>
      </c>
      <c r="CI33" s="17" t="s">
        <v>870</v>
      </c>
      <c r="CJ33" s="17" t="s">
        <v>870</v>
      </c>
      <c r="CK33" s="17" t="s">
        <v>870</v>
      </c>
      <c r="CL33" s="17" t="s">
        <v>870</v>
      </c>
      <c r="CM33" s="17" t="s">
        <v>870</v>
      </c>
      <c r="CN33" s="17" t="s">
        <v>870</v>
      </c>
      <c r="CO33" s="17" t="s">
        <v>870</v>
      </c>
      <c r="CP33" s="17" t="s">
        <v>870</v>
      </c>
      <c r="CQ33" s="17" t="s">
        <v>870</v>
      </c>
      <c r="CR33" s="17" t="s">
        <v>870</v>
      </c>
      <c r="CS33" s="17" t="s">
        <v>870</v>
      </c>
      <c r="CT33" s="17" t="s">
        <v>870</v>
      </c>
      <c r="CU33" s="17" t="s">
        <v>870</v>
      </c>
      <c r="CV33" s="17" t="s">
        <v>870</v>
      </c>
      <c r="CW33" s="17" t="s">
        <v>870</v>
      </c>
      <c r="CX33" s="17" t="s">
        <v>870</v>
      </c>
      <c r="CY33" s="17" t="s">
        <v>870</v>
      </c>
      <c r="CZ33" s="17" t="s">
        <v>870</v>
      </c>
      <c r="DA33" s="17" t="s">
        <v>870</v>
      </c>
      <c r="DB33" s="17" t="s">
        <v>870</v>
      </c>
      <c r="DC33" s="17" t="s">
        <v>870</v>
      </c>
      <c r="DD33" s="17" t="s">
        <v>870</v>
      </c>
      <c r="DE33" s="17" t="s">
        <v>870</v>
      </c>
      <c r="DF33" s="17" t="s">
        <v>870</v>
      </c>
      <c r="DG33" s="17" t="s">
        <v>870</v>
      </c>
      <c r="DH33" s="17" t="s">
        <v>870</v>
      </c>
      <c r="DI33" s="17" t="s">
        <v>870</v>
      </c>
      <c r="DJ33" s="17" t="s">
        <v>870</v>
      </c>
      <c r="DK33" s="17" t="s">
        <v>870</v>
      </c>
      <c r="DL33" s="17" t="s">
        <v>870</v>
      </c>
      <c r="DM33" s="17" t="s">
        <v>870</v>
      </c>
      <c r="DN33" s="17" t="s">
        <v>870</v>
      </c>
      <c r="DO33" s="17" t="s">
        <v>870</v>
      </c>
      <c r="DP33" s="17" t="s">
        <v>870</v>
      </c>
      <c r="DQ33" s="17" t="s">
        <v>870</v>
      </c>
      <c r="DR33" s="17" t="s">
        <v>870</v>
      </c>
      <c r="DS33" s="17" t="s">
        <v>870</v>
      </c>
      <c r="DT33" s="17" t="s">
        <v>870</v>
      </c>
      <c r="DU33" s="17" t="s">
        <v>870</v>
      </c>
      <c r="DV33" s="17" t="s">
        <v>870</v>
      </c>
      <c r="DW33" s="17" t="s">
        <v>870</v>
      </c>
      <c r="DX33" s="17" t="s">
        <v>870</v>
      </c>
      <c r="DY33" s="17" t="s">
        <v>870</v>
      </c>
      <c r="DZ33" s="17" t="s">
        <v>870</v>
      </c>
      <c r="EA33" s="17" t="s">
        <v>870</v>
      </c>
      <c r="EB33" s="17" t="s">
        <v>870</v>
      </c>
      <c r="EC33" s="17" t="s">
        <v>870</v>
      </c>
      <c r="ED33" s="17" t="s">
        <v>870</v>
      </c>
      <c r="EE33" s="17" t="s">
        <v>870</v>
      </c>
      <c r="EF33" s="17" t="s">
        <v>870</v>
      </c>
      <c r="EG33" s="17" t="s">
        <v>870</v>
      </c>
      <c r="EH33" s="17" t="s">
        <v>870</v>
      </c>
      <c r="EI33" s="17" t="s">
        <v>870</v>
      </c>
      <c r="EJ33" s="17" t="s">
        <v>870</v>
      </c>
      <c r="EK33" s="17" t="s">
        <v>870</v>
      </c>
      <c r="EL33" s="17" t="s">
        <v>870</v>
      </c>
      <c r="EM33" s="17" t="s">
        <v>870</v>
      </c>
      <c r="EN33" s="17" t="s">
        <v>870</v>
      </c>
      <c r="EO33" s="17" t="s">
        <v>870</v>
      </c>
      <c r="EP33" s="17" t="s">
        <v>870</v>
      </c>
      <c r="EQ33" s="17" t="s">
        <v>870</v>
      </c>
      <c r="ER33" s="17" t="s">
        <v>870</v>
      </c>
      <c r="ES33" s="17" t="s">
        <v>870</v>
      </c>
      <c r="ET33" s="17" t="s">
        <v>870</v>
      </c>
      <c r="EU33" s="17" t="s">
        <v>870</v>
      </c>
      <c r="EV33" s="17" t="s">
        <v>870</v>
      </c>
      <c r="EW33" s="17" t="s">
        <v>870</v>
      </c>
      <c r="EX33" s="17" t="s">
        <v>870</v>
      </c>
      <c r="EY33" s="17" t="s">
        <v>870</v>
      </c>
      <c r="EZ33" s="17" t="s">
        <v>870</v>
      </c>
      <c r="FA33" s="17" t="s">
        <v>870</v>
      </c>
      <c r="FB33" s="17" t="s">
        <v>870</v>
      </c>
      <c r="FC33" s="17" t="s">
        <v>870</v>
      </c>
      <c r="FD33" s="17" t="s">
        <v>870</v>
      </c>
      <c r="FE33" s="17" t="s">
        <v>870</v>
      </c>
      <c r="FF33" s="17" t="s">
        <v>870</v>
      </c>
      <c r="FG33" s="17" t="s">
        <v>870</v>
      </c>
      <c r="FH33" s="17" t="s">
        <v>870</v>
      </c>
      <c r="FI33" s="17" t="s">
        <v>870</v>
      </c>
      <c r="FJ33" s="17" t="s">
        <v>870</v>
      </c>
      <c r="FK33" s="17" t="s">
        <v>870</v>
      </c>
      <c r="FL33" s="17" t="s">
        <v>870</v>
      </c>
      <c r="FM33" s="17" t="s">
        <v>870</v>
      </c>
      <c r="FN33" s="17" t="s">
        <v>870</v>
      </c>
      <c r="FO33" s="17" t="s">
        <v>870</v>
      </c>
      <c r="FP33" s="17" t="s">
        <v>870</v>
      </c>
      <c r="FQ33" s="17" t="s">
        <v>870</v>
      </c>
      <c r="FR33" s="17" t="s">
        <v>870</v>
      </c>
      <c r="FS33" s="17" t="s">
        <v>870</v>
      </c>
      <c r="FT33" s="17" t="s">
        <v>870</v>
      </c>
      <c r="FU33" s="17" t="s">
        <v>870</v>
      </c>
      <c r="FV33" s="17" t="s">
        <v>870</v>
      </c>
      <c r="FW33" s="17" t="s">
        <v>870</v>
      </c>
      <c r="FX33" s="17" t="s">
        <v>870</v>
      </c>
      <c r="FY33" s="17" t="s">
        <v>870</v>
      </c>
      <c r="FZ33" s="17" t="s">
        <v>870</v>
      </c>
      <c r="GA33" s="17" t="s">
        <v>870</v>
      </c>
      <c r="GB33" s="17" t="s">
        <v>870</v>
      </c>
      <c r="GC33" s="17" t="s">
        <v>870</v>
      </c>
      <c r="GD33" s="17" t="s">
        <v>870</v>
      </c>
      <c r="GE33" s="17" t="s">
        <v>870</v>
      </c>
      <c r="GF33" s="17" t="s">
        <v>870</v>
      </c>
      <c r="GG33" s="17" t="s">
        <v>870</v>
      </c>
      <c r="GH33" s="17" t="s">
        <v>870</v>
      </c>
      <c r="GI33" s="17" t="s">
        <v>870</v>
      </c>
      <c r="GJ33" s="17" t="s">
        <v>870</v>
      </c>
      <c r="GK33" s="17" t="s">
        <v>870</v>
      </c>
      <c r="GL33" s="17" t="s">
        <v>870</v>
      </c>
      <c r="GM33" s="17" t="s">
        <v>870</v>
      </c>
      <c r="GN33" s="17" t="s">
        <v>870</v>
      </c>
      <c r="GO33" s="17" t="s">
        <v>870</v>
      </c>
      <c r="GP33" s="17" t="s">
        <v>870</v>
      </c>
      <c r="GQ33" s="17" t="s">
        <v>870</v>
      </c>
      <c r="GR33" s="17" t="s">
        <v>870</v>
      </c>
      <c r="GS33" s="17" t="s">
        <v>870</v>
      </c>
      <c r="GT33" s="17" t="s">
        <v>870</v>
      </c>
      <c r="GU33" s="17" t="s">
        <v>870</v>
      </c>
      <c r="GV33" s="17" t="s">
        <v>870</v>
      </c>
      <c r="GW33" s="17" t="s">
        <v>870</v>
      </c>
      <c r="GX33" s="17" t="s">
        <v>870</v>
      </c>
      <c r="GY33" s="17" t="s">
        <v>870</v>
      </c>
      <c r="GZ33" s="17" t="s">
        <v>870</v>
      </c>
      <c r="HA33" s="17" t="s">
        <v>870</v>
      </c>
      <c r="HB33" s="17" t="s">
        <v>870</v>
      </c>
      <c r="HC33" s="17" t="s">
        <v>870</v>
      </c>
      <c r="HD33" s="17" t="s">
        <v>870</v>
      </c>
      <c r="HE33" s="17" t="s">
        <v>870</v>
      </c>
      <c r="HF33" s="17" t="s">
        <v>870</v>
      </c>
      <c r="HG33" s="17" t="s">
        <v>870</v>
      </c>
      <c r="HH33" s="17" t="s">
        <v>870</v>
      </c>
      <c r="HI33" s="17" t="s">
        <v>870</v>
      </c>
      <c r="HJ33" s="17" t="s">
        <v>870</v>
      </c>
      <c r="HK33" s="17" t="s">
        <v>870</v>
      </c>
      <c r="HL33" s="17" t="s">
        <v>870</v>
      </c>
      <c r="HM33" s="17" t="s">
        <v>870</v>
      </c>
      <c r="HN33" s="17" t="s">
        <v>870</v>
      </c>
      <c r="HO33" s="17" t="s">
        <v>870</v>
      </c>
      <c r="HP33" s="17" t="s">
        <v>870</v>
      </c>
      <c r="HQ33" s="17" t="s">
        <v>870</v>
      </c>
      <c r="HR33" s="17" t="s">
        <v>870</v>
      </c>
      <c r="HS33" s="17" t="s">
        <v>870</v>
      </c>
      <c r="HT33" s="17" t="s">
        <v>870</v>
      </c>
      <c r="HU33" s="17" t="s">
        <v>870</v>
      </c>
      <c r="HV33" s="17" t="s">
        <v>870</v>
      </c>
      <c r="HW33" s="17" t="s">
        <v>870</v>
      </c>
      <c r="HX33" s="17" t="s">
        <v>870</v>
      </c>
      <c r="HY33" s="17" t="s">
        <v>870</v>
      </c>
      <c r="HZ33" s="17" t="s">
        <v>870</v>
      </c>
      <c r="IA33" s="17" t="s">
        <v>870</v>
      </c>
      <c r="IB33" s="17" t="s">
        <v>870</v>
      </c>
      <c r="IC33" s="17" t="s">
        <v>870</v>
      </c>
      <c r="ID33" s="72" t="s">
        <v>1552</v>
      </c>
      <c r="IE33" s="17" t="s">
        <v>870</v>
      </c>
      <c r="IF33" s="17" t="s">
        <v>870</v>
      </c>
      <c r="IG33" s="17" t="s">
        <v>870</v>
      </c>
      <c r="IH33" s="17" t="s">
        <v>870</v>
      </c>
      <c r="II33" s="17" t="s">
        <v>870</v>
      </c>
      <c r="IJ33" s="17" t="s">
        <v>870</v>
      </c>
      <c r="IK33" s="17" t="s">
        <v>870</v>
      </c>
      <c r="IL33" s="17" t="s">
        <v>870</v>
      </c>
      <c r="IM33" s="17" t="s">
        <v>870</v>
      </c>
      <c r="IN33" s="17" t="s">
        <v>870</v>
      </c>
      <c r="IO33" s="17" t="s">
        <v>870</v>
      </c>
    </row>
    <row r="34" spans="1:249" x14ac:dyDescent="0.25">
      <c r="A34" t="s">
        <v>12</v>
      </c>
      <c r="B34" s="62"/>
      <c r="C34" s="63"/>
      <c r="D34" s="63"/>
      <c r="E34" s="63"/>
      <c r="F34" s="17" t="s">
        <v>870</v>
      </c>
      <c r="G34" s="63"/>
      <c r="H34" s="61" t="s">
        <v>2</v>
      </c>
      <c r="I34" s="17" t="s">
        <v>870</v>
      </c>
      <c r="J34" s="17" t="s">
        <v>870</v>
      </c>
      <c r="K34" s="17" t="s">
        <v>870</v>
      </c>
      <c r="L34" s="17" t="s">
        <v>870</v>
      </c>
      <c r="M34" s="17" t="s">
        <v>870</v>
      </c>
      <c r="N34" s="17" t="s">
        <v>870</v>
      </c>
      <c r="O34" s="17" t="s">
        <v>870</v>
      </c>
      <c r="P34" s="17" t="s">
        <v>870</v>
      </c>
      <c r="Q34" s="17" t="s">
        <v>870</v>
      </c>
      <c r="R34" s="62"/>
      <c r="S34" s="63"/>
      <c r="T34" s="17" t="s">
        <v>870</v>
      </c>
      <c r="U34" s="17" t="s">
        <v>870</v>
      </c>
      <c r="V34" s="17" t="s">
        <v>870</v>
      </c>
      <c r="W34" s="17" t="s">
        <v>870</v>
      </c>
      <c r="X34" s="17" t="s">
        <v>870</v>
      </c>
      <c r="Y34" s="17" t="s">
        <v>870</v>
      </c>
      <c r="Z34" s="17" t="s">
        <v>870</v>
      </c>
      <c r="AA34" s="17" t="s">
        <v>870</v>
      </c>
      <c r="AB34" s="17" t="s">
        <v>870</v>
      </c>
      <c r="AC34" s="17" t="s">
        <v>870</v>
      </c>
      <c r="AD34" s="17" t="s">
        <v>870</v>
      </c>
      <c r="AE34" s="17" t="s">
        <v>870</v>
      </c>
      <c r="AF34" s="17" t="s">
        <v>870</v>
      </c>
      <c r="AG34" s="17" t="s">
        <v>870</v>
      </c>
      <c r="AH34" s="17" t="s">
        <v>870</v>
      </c>
      <c r="AI34" s="17" t="s">
        <v>870</v>
      </c>
      <c r="AJ34" s="17" t="s">
        <v>870</v>
      </c>
      <c r="AK34" s="63"/>
      <c r="AL34" s="17" t="s">
        <v>870</v>
      </c>
      <c r="AM34" s="61" t="s">
        <v>2</v>
      </c>
      <c r="AN34" s="17" t="s">
        <v>870</v>
      </c>
      <c r="AO34" s="63"/>
      <c r="AP34" s="17" t="s">
        <v>870</v>
      </c>
      <c r="AQ34" s="17" t="s">
        <v>870</v>
      </c>
      <c r="AR34" s="17" t="s">
        <v>870</v>
      </c>
      <c r="AS34" s="17" t="s">
        <v>870</v>
      </c>
      <c r="AT34" s="17" t="s">
        <v>870</v>
      </c>
      <c r="AU34" s="17" t="s">
        <v>870</v>
      </c>
      <c r="AV34" s="17" t="s">
        <v>870</v>
      </c>
      <c r="AW34" s="17" t="s">
        <v>870</v>
      </c>
      <c r="AX34" s="17" t="s">
        <v>870</v>
      </c>
      <c r="AY34" s="17" t="s">
        <v>870</v>
      </c>
      <c r="AZ34" s="17" t="s">
        <v>870</v>
      </c>
      <c r="BA34" s="17" t="s">
        <v>870</v>
      </c>
      <c r="BB34" s="17" t="s">
        <v>870</v>
      </c>
      <c r="BC34" s="17" t="s">
        <v>870</v>
      </c>
      <c r="BD34" s="17" t="s">
        <v>870</v>
      </c>
      <c r="BE34" s="17" t="s">
        <v>870</v>
      </c>
      <c r="BF34" s="17" t="s">
        <v>870</v>
      </c>
      <c r="BG34" s="17" t="s">
        <v>870</v>
      </c>
      <c r="BH34" s="17" t="s">
        <v>870</v>
      </c>
      <c r="BI34" s="17" t="s">
        <v>870</v>
      </c>
      <c r="BJ34" s="17" t="s">
        <v>870</v>
      </c>
      <c r="BK34" s="17" t="s">
        <v>870</v>
      </c>
      <c r="BL34" s="62"/>
      <c r="BM34" s="63"/>
      <c r="BN34" s="17" t="s">
        <v>870</v>
      </c>
      <c r="BO34" s="17" t="s">
        <v>870</v>
      </c>
      <c r="BP34" s="17" t="s">
        <v>870</v>
      </c>
      <c r="BQ34" s="17" t="s">
        <v>870</v>
      </c>
      <c r="BR34" s="17" t="s">
        <v>870</v>
      </c>
      <c r="BS34" s="17" t="s">
        <v>870</v>
      </c>
      <c r="BT34" s="17" t="s">
        <v>870</v>
      </c>
      <c r="BU34" s="17" t="s">
        <v>870</v>
      </c>
      <c r="BV34" s="17" t="s">
        <v>870</v>
      </c>
      <c r="BW34" s="17" t="s">
        <v>870</v>
      </c>
      <c r="BX34" s="62"/>
      <c r="BY34" s="17" t="s">
        <v>870</v>
      </c>
      <c r="BZ34" s="17" t="s">
        <v>870</v>
      </c>
      <c r="CA34" s="17" t="s">
        <v>870</v>
      </c>
      <c r="CB34" s="17" t="s">
        <v>870</v>
      </c>
      <c r="CC34" s="17" t="s">
        <v>870</v>
      </c>
      <c r="CD34" s="17" t="s">
        <v>870</v>
      </c>
      <c r="CE34" s="17" t="s">
        <v>870</v>
      </c>
      <c r="CF34" s="17" t="s">
        <v>870</v>
      </c>
      <c r="CG34" s="17" t="s">
        <v>870</v>
      </c>
      <c r="CH34" s="17" t="s">
        <v>870</v>
      </c>
      <c r="CI34" s="17" t="s">
        <v>870</v>
      </c>
      <c r="CJ34" s="17" t="s">
        <v>870</v>
      </c>
      <c r="CK34" s="17" t="s">
        <v>870</v>
      </c>
      <c r="CL34" s="17" t="s">
        <v>870</v>
      </c>
      <c r="CM34" s="17" t="s">
        <v>870</v>
      </c>
      <c r="CN34" s="17" t="s">
        <v>870</v>
      </c>
      <c r="CO34" s="17" t="s">
        <v>870</v>
      </c>
      <c r="CP34" s="17" t="s">
        <v>870</v>
      </c>
      <c r="CQ34" s="17" t="s">
        <v>870</v>
      </c>
      <c r="CR34" s="17" t="s">
        <v>870</v>
      </c>
      <c r="CS34" s="17" t="s">
        <v>870</v>
      </c>
      <c r="CT34" s="17" t="s">
        <v>870</v>
      </c>
      <c r="CU34" s="17" t="s">
        <v>870</v>
      </c>
      <c r="CV34" s="17" t="s">
        <v>870</v>
      </c>
      <c r="CW34" s="17" t="s">
        <v>870</v>
      </c>
      <c r="CX34" s="17" t="s">
        <v>870</v>
      </c>
      <c r="CY34" s="17" t="s">
        <v>870</v>
      </c>
      <c r="CZ34" s="17" t="s">
        <v>870</v>
      </c>
      <c r="DA34" s="17" t="s">
        <v>870</v>
      </c>
      <c r="DB34" s="17" t="s">
        <v>870</v>
      </c>
      <c r="DC34" s="17" t="s">
        <v>870</v>
      </c>
      <c r="DD34" s="17" t="s">
        <v>870</v>
      </c>
      <c r="DE34" s="17" t="s">
        <v>870</v>
      </c>
      <c r="DF34" s="17" t="s">
        <v>870</v>
      </c>
      <c r="DG34" s="17" t="s">
        <v>870</v>
      </c>
      <c r="DH34" s="17" t="s">
        <v>870</v>
      </c>
      <c r="DI34" s="17" t="s">
        <v>870</v>
      </c>
      <c r="DJ34" s="17" t="s">
        <v>870</v>
      </c>
      <c r="DK34" s="17" t="s">
        <v>870</v>
      </c>
      <c r="DL34" s="17" t="s">
        <v>870</v>
      </c>
      <c r="DM34" s="17" t="s">
        <v>870</v>
      </c>
      <c r="DN34" s="17" t="s">
        <v>870</v>
      </c>
      <c r="DO34" s="17" t="s">
        <v>870</v>
      </c>
      <c r="DP34" s="17" t="s">
        <v>870</v>
      </c>
      <c r="DQ34" s="17" t="s">
        <v>870</v>
      </c>
      <c r="DR34" s="17" t="s">
        <v>870</v>
      </c>
      <c r="DS34" s="17" t="s">
        <v>870</v>
      </c>
      <c r="DT34" s="17" t="s">
        <v>870</v>
      </c>
      <c r="DU34" s="17" t="s">
        <v>870</v>
      </c>
      <c r="DV34" s="17" t="s">
        <v>870</v>
      </c>
      <c r="DW34" s="17" t="s">
        <v>870</v>
      </c>
      <c r="DX34" s="17" t="s">
        <v>870</v>
      </c>
      <c r="DY34" s="17" t="s">
        <v>870</v>
      </c>
      <c r="DZ34" s="17" t="s">
        <v>870</v>
      </c>
      <c r="EA34" s="17" t="s">
        <v>870</v>
      </c>
      <c r="EB34" s="17" t="s">
        <v>870</v>
      </c>
      <c r="EC34" s="17" t="s">
        <v>870</v>
      </c>
      <c r="ED34" s="17" t="s">
        <v>870</v>
      </c>
      <c r="EE34" s="17" t="s">
        <v>870</v>
      </c>
      <c r="EF34" s="17" t="s">
        <v>870</v>
      </c>
      <c r="EG34" s="17" t="s">
        <v>870</v>
      </c>
      <c r="EH34" s="17" t="s">
        <v>870</v>
      </c>
      <c r="EI34" s="17" t="s">
        <v>870</v>
      </c>
      <c r="EJ34" s="17" t="s">
        <v>870</v>
      </c>
      <c r="EK34" s="17" t="s">
        <v>870</v>
      </c>
      <c r="EL34" s="17" t="s">
        <v>870</v>
      </c>
      <c r="EM34" s="17" t="s">
        <v>870</v>
      </c>
      <c r="EN34" s="17" t="s">
        <v>870</v>
      </c>
      <c r="EO34" s="17" t="s">
        <v>870</v>
      </c>
      <c r="EP34" s="17" t="s">
        <v>870</v>
      </c>
      <c r="EQ34" s="17" t="s">
        <v>870</v>
      </c>
      <c r="ER34" s="17" t="s">
        <v>870</v>
      </c>
      <c r="ES34" s="17" t="s">
        <v>870</v>
      </c>
      <c r="ET34" s="17" t="s">
        <v>870</v>
      </c>
      <c r="EU34" s="17" t="s">
        <v>870</v>
      </c>
      <c r="EV34" s="17" t="s">
        <v>870</v>
      </c>
      <c r="EW34" s="17" t="s">
        <v>870</v>
      </c>
      <c r="EX34" s="17" t="s">
        <v>870</v>
      </c>
      <c r="EY34" s="17" t="s">
        <v>870</v>
      </c>
      <c r="EZ34" s="17" t="s">
        <v>870</v>
      </c>
      <c r="FA34" s="17" t="s">
        <v>870</v>
      </c>
      <c r="FB34" s="17" t="s">
        <v>870</v>
      </c>
      <c r="FC34" s="17" t="s">
        <v>870</v>
      </c>
      <c r="FD34" s="17" t="s">
        <v>870</v>
      </c>
      <c r="FE34" s="17" t="s">
        <v>870</v>
      </c>
      <c r="FF34" s="17" t="s">
        <v>870</v>
      </c>
      <c r="FG34" s="17" t="s">
        <v>870</v>
      </c>
      <c r="FH34" s="17" t="s">
        <v>870</v>
      </c>
      <c r="FI34" s="17" t="s">
        <v>870</v>
      </c>
      <c r="FJ34" s="17" t="s">
        <v>870</v>
      </c>
      <c r="FK34" s="17" t="s">
        <v>870</v>
      </c>
      <c r="FL34" s="17" t="s">
        <v>870</v>
      </c>
      <c r="FM34" s="17" t="s">
        <v>870</v>
      </c>
      <c r="FN34" s="17" t="s">
        <v>870</v>
      </c>
      <c r="FO34" s="17" t="s">
        <v>870</v>
      </c>
      <c r="FP34" s="17" t="s">
        <v>870</v>
      </c>
      <c r="FQ34" s="17" t="s">
        <v>870</v>
      </c>
      <c r="FR34" s="17" t="s">
        <v>870</v>
      </c>
      <c r="FS34" s="17" t="s">
        <v>870</v>
      </c>
      <c r="FT34" s="17" t="s">
        <v>870</v>
      </c>
      <c r="FU34" s="17" t="s">
        <v>870</v>
      </c>
      <c r="FV34" s="17" t="s">
        <v>870</v>
      </c>
      <c r="FW34" s="17" t="s">
        <v>870</v>
      </c>
      <c r="FX34" s="17" t="s">
        <v>870</v>
      </c>
      <c r="FY34" s="17" t="s">
        <v>870</v>
      </c>
      <c r="FZ34" s="17" t="s">
        <v>870</v>
      </c>
      <c r="GA34" s="17" t="s">
        <v>870</v>
      </c>
      <c r="GB34" s="17" t="s">
        <v>870</v>
      </c>
      <c r="GC34" s="17" t="s">
        <v>870</v>
      </c>
      <c r="GD34" s="17" t="s">
        <v>870</v>
      </c>
      <c r="GE34" s="17" t="s">
        <v>870</v>
      </c>
      <c r="GF34" s="17" t="s">
        <v>870</v>
      </c>
      <c r="GG34" s="17" t="s">
        <v>870</v>
      </c>
      <c r="GH34" s="61" t="s">
        <v>2</v>
      </c>
      <c r="GI34" s="63"/>
      <c r="GJ34" s="17" t="s">
        <v>870</v>
      </c>
      <c r="GK34" s="17" t="s">
        <v>870</v>
      </c>
      <c r="GL34" s="17" t="s">
        <v>870</v>
      </c>
      <c r="GM34" s="17" t="s">
        <v>870</v>
      </c>
      <c r="GN34" s="61" t="s">
        <v>2</v>
      </c>
      <c r="GO34" s="63"/>
      <c r="GP34" s="17" t="s">
        <v>870</v>
      </c>
      <c r="GQ34" s="17" t="s">
        <v>870</v>
      </c>
      <c r="GR34" s="63"/>
      <c r="GS34" s="17" t="s">
        <v>870</v>
      </c>
      <c r="GT34" s="62"/>
      <c r="GU34" s="61" t="s">
        <v>2</v>
      </c>
      <c r="GV34" s="63"/>
      <c r="GW34" s="63"/>
      <c r="GX34" s="63"/>
      <c r="GY34" s="63"/>
      <c r="GZ34" s="63"/>
      <c r="HA34" s="63"/>
      <c r="HB34" s="62"/>
      <c r="HC34" s="62"/>
      <c r="HD34" s="63"/>
      <c r="HE34" s="61" t="s">
        <v>2</v>
      </c>
      <c r="HF34" s="63"/>
      <c r="HG34" s="63"/>
      <c r="HH34" s="62"/>
      <c r="HI34" s="63"/>
      <c r="HJ34" s="63"/>
      <c r="HK34" s="61" t="s">
        <v>2</v>
      </c>
      <c r="HL34" s="17" t="s">
        <v>870</v>
      </c>
      <c r="HM34" s="17" t="s">
        <v>870</v>
      </c>
      <c r="HN34" s="17" t="s">
        <v>870</v>
      </c>
      <c r="HO34" s="17" t="s">
        <v>870</v>
      </c>
      <c r="HP34" s="17" t="s">
        <v>870</v>
      </c>
      <c r="HQ34" s="17" t="s">
        <v>870</v>
      </c>
      <c r="HR34" s="17" t="s">
        <v>870</v>
      </c>
      <c r="HS34" s="17" t="s">
        <v>870</v>
      </c>
      <c r="HT34" s="17" t="s">
        <v>870</v>
      </c>
      <c r="HU34" s="17" t="s">
        <v>870</v>
      </c>
      <c r="HV34" s="17" t="s">
        <v>870</v>
      </c>
      <c r="HW34" s="17" t="s">
        <v>870</v>
      </c>
      <c r="HX34" s="63"/>
      <c r="HY34" s="63"/>
      <c r="HZ34" s="17" t="s">
        <v>870</v>
      </c>
      <c r="IA34" s="17" t="s">
        <v>870</v>
      </c>
      <c r="IB34" s="17" t="s">
        <v>870</v>
      </c>
      <c r="IC34" s="17" t="s">
        <v>870</v>
      </c>
      <c r="ID34" s="72" t="s">
        <v>1552</v>
      </c>
      <c r="IE34" s="63"/>
      <c r="IF34" s="63"/>
      <c r="IG34" s="61" t="s">
        <v>2</v>
      </c>
      <c r="IH34" s="17" t="s">
        <v>870</v>
      </c>
      <c r="II34" s="17" t="s">
        <v>870</v>
      </c>
      <c r="IJ34" s="63"/>
      <c r="IK34" s="63"/>
      <c r="IL34" s="61" t="s">
        <v>2</v>
      </c>
      <c r="IM34" s="63"/>
      <c r="IN34" s="62"/>
      <c r="IO34" s="63"/>
    </row>
    <row r="35" spans="1:249" x14ac:dyDescent="0.25">
      <c r="A35" t="s">
        <v>83</v>
      </c>
      <c r="B35" s="17" t="s">
        <v>870</v>
      </c>
      <c r="C35" s="17" t="s">
        <v>870</v>
      </c>
      <c r="D35" s="17" t="s">
        <v>870</v>
      </c>
      <c r="E35" s="17" t="s">
        <v>870</v>
      </c>
      <c r="F35" s="17" t="s">
        <v>870</v>
      </c>
      <c r="G35" s="17" t="s">
        <v>870</v>
      </c>
      <c r="H35" s="17" t="s">
        <v>870</v>
      </c>
      <c r="I35" s="17" t="s">
        <v>870</v>
      </c>
      <c r="J35" s="17" t="s">
        <v>870</v>
      </c>
      <c r="K35" s="17" t="s">
        <v>870</v>
      </c>
      <c r="L35" s="17" t="s">
        <v>870</v>
      </c>
      <c r="M35" s="17" t="s">
        <v>870</v>
      </c>
      <c r="N35" s="17" t="s">
        <v>870</v>
      </c>
      <c r="O35" s="17" t="s">
        <v>870</v>
      </c>
      <c r="P35" s="17" t="s">
        <v>870</v>
      </c>
      <c r="Q35" s="17" t="s">
        <v>870</v>
      </c>
      <c r="R35" s="17" t="s">
        <v>870</v>
      </c>
      <c r="S35" s="17" t="s">
        <v>870</v>
      </c>
      <c r="T35" s="17" t="s">
        <v>870</v>
      </c>
      <c r="U35" s="17" t="s">
        <v>870</v>
      </c>
      <c r="V35" s="17" t="s">
        <v>870</v>
      </c>
      <c r="W35" s="17" t="s">
        <v>870</v>
      </c>
      <c r="X35" s="17" t="s">
        <v>870</v>
      </c>
      <c r="Y35" s="17" t="s">
        <v>870</v>
      </c>
      <c r="Z35" s="17" t="s">
        <v>870</v>
      </c>
      <c r="AA35" s="17" t="s">
        <v>870</v>
      </c>
      <c r="AB35" s="17" t="s">
        <v>870</v>
      </c>
      <c r="AC35" s="17" t="s">
        <v>870</v>
      </c>
      <c r="AD35" s="17" t="s">
        <v>870</v>
      </c>
      <c r="AE35" s="17" t="s">
        <v>870</v>
      </c>
      <c r="AF35" s="17" t="s">
        <v>870</v>
      </c>
      <c r="AG35" s="17" t="s">
        <v>870</v>
      </c>
      <c r="AH35" s="17" t="s">
        <v>870</v>
      </c>
      <c r="AI35" s="17" t="s">
        <v>870</v>
      </c>
      <c r="AJ35" s="17" t="s">
        <v>870</v>
      </c>
      <c r="AK35" s="17" t="s">
        <v>870</v>
      </c>
      <c r="AL35" s="17" t="s">
        <v>870</v>
      </c>
      <c r="AM35" s="17" t="s">
        <v>870</v>
      </c>
      <c r="AN35" s="17" t="s">
        <v>870</v>
      </c>
      <c r="AO35" s="17" t="s">
        <v>870</v>
      </c>
      <c r="AP35" s="17" t="s">
        <v>870</v>
      </c>
      <c r="AQ35" s="17" t="s">
        <v>870</v>
      </c>
      <c r="AR35" s="17" t="s">
        <v>870</v>
      </c>
      <c r="AS35" s="17" t="s">
        <v>870</v>
      </c>
      <c r="AT35" s="17" t="s">
        <v>870</v>
      </c>
      <c r="AU35" s="17" t="s">
        <v>870</v>
      </c>
      <c r="AV35" s="17" t="s">
        <v>870</v>
      </c>
      <c r="AW35" s="17" t="s">
        <v>870</v>
      </c>
      <c r="AX35" s="17" t="s">
        <v>870</v>
      </c>
      <c r="AY35" s="17" t="s">
        <v>870</v>
      </c>
      <c r="AZ35" s="17" t="s">
        <v>870</v>
      </c>
      <c r="BA35" s="17" t="s">
        <v>870</v>
      </c>
      <c r="BB35" s="17" t="s">
        <v>870</v>
      </c>
      <c r="BC35" s="17" t="s">
        <v>870</v>
      </c>
      <c r="BD35" s="17" t="s">
        <v>870</v>
      </c>
      <c r="BE35" s="17" t="s">
        <v>870</v>
      </c>
      <c r="BF35" s="17" t="s">
        <v>870</v>
      </c>
      <c r="BG35" s="17" t="s">
        <v>870</v>
      </c>
      <c r="BH35" s="61" t="s">
        <v>2</v>
      </c>
      <c r="BI35" s="17" t="s">
        <v>870</v>
      </c>
      <c r="BJ35" s="61" t="s">
        <v>2</v>
      </c>
      <c r="BK35" s="61" t="s">
        <v>2</v>
      </c>
      <c r="BL35" s="61" t="s">
        <v>2</v>
      </c>
      <c r="BM35" s="63"/>
      <c r="BN35" s="17" t="s">
        <v>870</v>
      </c>
      <c r="BO35" s="17" t="s">
        <v>870</v>
      </c>
      <c r="BP35" s="63"/>
      <c r="BQ35" s="63"/>
      <c r="BR35" s="63"/>
      <c r="BS35" s="63"/>
      <c r="BT35" s="63"/>
      <c r="BU35" s="63"/>
      <c r="BV35" s="17" t="s">
        <v>870</v>
      </c>
      <c r="BW35" s="17" t="s">
        <v>870</v>
      </c>
      <c r="BX35" s="17" t="s">
        <v>870</v>
      </c>
      <c r="BY35" s="17" t="s">
        <v>870</v>
      </c>
      <c r="BZ35" s="61" t="s">
        <v>2</v>
      </c>
      <c r="CA35" s="17" t="s">
        <v>870</v>
      </c>
      <c r="CB35" s="17" t="s">
        <v>870</v>
      </c>
      <c r="CC35" s="17" t="s">
        <v>870</v>
      </c>
      <c r="CD35" s="17" t="s">
        <v>870</v>
      </c>
      <c r="CE35" s="17" t="s">
        <v>870</v>
      </c>
      <c r="CF35" s="17" t="s">
        <v>870</v>
      </c>
      <c r="CG35" s="17" t="s">
        <v>870</v>
      </c>
      <c r="CH35" s="17" t="s">
        <v>870</v>
      </c>
      <c r="CI35" s="17" t="s">
        <v>870</v>
      </c>
      <c r="CJ35" s="17" t="s">
        <v>870</v>
      </c>
      <c r="CK35" s="17" t="s">
        <v>870</v>
      </c>
      <c r="CL35" s="17" t="s">
        <v>870</v>
      </c>
      <c r="CM35" s="17" t="s">
        <v>870</v>
      </c>
      <c r="CN35" s="17" t="s">
        <v>870</v>
      </c>
      <c r="CO35" s="17" t="s">
        <v>870</v>
      </c>
      <c r="CP35" s="17" t="s">
        <v>870</v>
      </c>
      <c r="CQ35" s="17" t="s">
        <v>870</v>
      </c>
      <c r="CR35" s="17" t="s">
        <v>870</v>
      </c>
      <c r="CS35" s="17" t="s">
        <v>870</v>
      </c>
      <c r="CT35" s="17" t="s">
        <v>870</v>
      </c>
      <c r="CU35" s="17" t="s">
        <v>870</v>
      </c>
      <c r="CV35" s="17" t="s">
        <v>870</v>
      </c>
      <c r="CW35" s="17" t="s">
        <v>870</v>
      </c>
      <c r="CX35" s="17" t="s">
        <v>870</v>
      </c>
      <c r="CY35" s="17" t="s">
        <v>870</v>
      </c>
      <c r="CZ35" s="17" t="s">
        <v>870</v>
      </c>
      <c r="DA35" s="17" t="s">
        <v>870</v>
      </c>
      <c r="DB35" s="17" t="s">
        <v>870</v>
      </c>
      <c r="DC35" s="17" t="s">
        <v>870</v>
      </c>
      <c r="DD35" s="17" t="s">
        <v>870</v>
      </c>
      <c r="DE35" s="17" t="s">
        <v>870</v>
      </c>
      <c r="DF35" s="17" t="s">
        <v>870</v>
      </c>
      <c r="DG35" s="17" t="s">
        <v>870</v>
      </c>
      <c r="DH35" s="17" t="s">
        <v>870</v>
      </c>
      <c r="DI35" s="17" t="s">
        <v>870</v>
      </c>
      <c r="DJ35" s="17" t="s">
        <v>870</v>
      </c>
      <c r="DK35" s="17" t="s">
        <v>870</v>
      </c>
      <c r="DL35" s="17" t="s">
        <v>870</v>
      </c>
      <c r="DM35" s="17" t="s">
        <v>870</v>
      </c>
      <c r="DN35" s="17" t="s">
        <v>870</v>
      </c>
      <c r="DO35" s="17" t="s">
        <v>870</v>
      </c>
      <c r="DP35" s="17" t="s">
        <v>870</v>
      </c>
      <c r="DQ35" s="17" t="s">
        <v>870</v>
      </c>
      <c r="DR35" s="17" t="s">
        <v>870</v>
      </c>
      <c r="DS35" s="17" t="s">
        <v>870</v>
      </c>
      <c r="DT35" s="17" t="s">
        <v>870</v>
      </c>
      <c r="DU35" s="17" t="s">
        <v>870</v>
      </c>
      <c r="DV35" s="17" t="s">
        <v>870</v>
      </c>
      <c r="DW35" s="17" t="s">
        <v>870</v>
      </c>
      <c r="DX35" s="17" t="s">
        <v>870</v>
      </c>
      <c r="DY35" s="17" t="s">
        <v>870</v>
      </c>
      <c r="DZ35" s="17" t="s">
        <v>870</v>
      </c>
      <c r="EA35" s="17" t="s">
        <v>870</v>
      </c>
      <c r="EB35" s="17" t="s">
        <v>870</v>
      </c>
      <c r="EC35" s="17" t="s">
        <v>870</v>
      </c>
      <c r="ED35" s="17" t="s">
        <v>870</v>
      </c>
      <c r="EE35" s="17" t="s">
        <v>870</v>
      </c>
      <c r="EF35" s="17" t="s">
        <v>870</v>
      </c>
      <c r="EG35" s="17" t="s">
        <v>870</v>
      </c>
      <c r="EH35" s="17" t="s">
        <v>870</v>
      </c>
      <c r="EI35" s="17" t="s">
        <v>870</v>
      </c>
      <c r="EJ35" s="17" t="s">
        <v>870</v>
      </c>
      <c r="EK35" s="17" t="s">
        <v>870</v>
      </c>
      <c r="EL35" s="17" t="s">
        <v>870</v>
      </c>
      <c r="EM35" s="17" t="s">
        <v>870</v>
      </c>
      <c r="EN35" s="17" t="s">
        <v>870</v>
      </c>
      <c r="EO35" s="17" t="s">
        <v>870</v>
      </c>
      <c r="EP35" s="17" t="s">
        <v>870</v>
      </c>
      <c r="EQ35" s="17" t="s">
        <v>870</v>
      </c>
      <c r="ER35" s="17" t="s">
        <v>870</v>
      </c>
      <c r="ES35" s="17" t="s">
        <v>870</v>
      </c>
      <c r="ET35" s="17" t="s">
        <v>870</v>
      </c>
      <c r="EU35" s="17" t="s">
        <v>870</v>
      </c>
      <c r="EV35" s="17" t="s">
        <v>870</v>
      </c>
      <c r="EW35" s="17" t="s">
        <v>870</v>
      </c>
      <c r="EX35" s="17" t="s">
        <v>870</v>
      </c>
      <c r="EY35" s="17" t="s">
        <v>870</v>
      </c>
      <c r="EZ35" s="17" t="s">
        <v>870</v>
      </c>
      <c r="FA35" s="17" t="s">
        <v>870</v>
      </c>
      <c r="FB35" s="17" t="s">
        <v>870</v>
      </c>
      <c r="FC35" s="17" t="s">
        <v>870</v>
      </c>
      <c r="FD35" s="17" t="s">
        <v>870</v>
      </c>
      <c r="FE35" s="17" t="s">
        <v>870</v>
      </c>
      <c r="FF35" s="17" t="s">
        <v>870</v>
      </c>
      <c r="FG35" s="17" t="s">
        <v>870</v>
      </c>
      <c r="FH35" s="17" t="s">
        <v>870</v>
      </c>
      <c r="FI35" s="17" t="s">
        <v>870</v>
      </c>
      <c r="FJ35" s="17" t="s">
        <v>870</v>
      </c>
      <c r="FK35" s="17" t="s">
        <v>870</v>
      </c>
      <c r="FL35" s="17" t="s">
        <v>870</v>
      </c>
      <c r="FM35" s="17" t="s">
        <v>870</v>
      </c>
      <c r="FN35" s="17" t="s">
        <v>870</v>
      </c>
      <c r="FO35" s="17" t="s">
        <v>870</v>
      </c>
      <c r="FP35" s="17" t="s">
        <v>870</v>
      </c>
      <c r="FQ35" s="17" t="s">
        <v>870</v>
      </c>
      <c r="FR35" s="17" t="s">
        <v>870</v>
      </c>
      <c r="FS35" s="17" t="s">
        <v>870</v>
      </c>
      <c r="FT35" s="17" t="s">
        <v>870</v>
      </c>
      <c r="FU35" s="17" t="s">
        <v>870</v>
      </c>
      <c r="FV35" s="17" t="s">
        <v>870</v>
      </c>
      <c r="FW35" s="17" t="s">
        <v>870</v>
      </c>
      <c r="FX35" s="17" t="s">
        <v>870</v>
      </c>
      <c r="FY35" s="17" t="s">
        <v>870</v>
      </c>
      <c r="FZ35" s="17" t="s">
        <v>870</v>
      </c>
      <c r="GA35" s="17" t="s">
        <v>870</v>
      </c>
      <c r="GB35" s="17" t="s">
        <v>870</v>
      </c>
      <c r="GC35" s="17" t="s">
        <v>870</v>
      </c>
      <c r="GD35" s="17" t="s">
        <v>870</v>
      </c>
      <c r="GE35" s="17" t="s">
        <v>870</v>
      </c>
      <c r="GF35" s="17" t="s">
        <v>870</v>
      </c>
      <c r="GG35" s="17" t="s">
        <v>870</v>
      </c>
      <c r="GH35" s="17" t="s">
        <v>870</v>
      </c>
      <c r="GI35" s="17" t="s">
        <v>870</v>
      </c>
      <c r="GJ35" s="17" t="s">
        <v>870</v>
      </c>
      <c r="GK35" s="17" t="s">
        <v>870</v>
      </c>
      <c r="GL35" s="17" t="s">
        <v>870</v>
      </c>
      <c r="GM35" s="17" t="s">
        <v>870</v>
      </c>
      <c r="GN35" s="17" t="s">
        <v>870</v>
      </c>
      <c r="GO35" s="17" t="s">
        <v>870</v>
      </c>
      <c r="GP35" s="17" t="s">
        <v>870</v>
      </c>
      <c r="GQ35" s="17" t="s">
        <v>870</v>
      </c>
      <c r="GR35" s="17" t="s">
        <v>870</v>
      </c>
      <c r="GS35" s="17" t="s">
        <v>870</v>
      </c>
      <c r="GT35" s="17" t="s">
        <v>870</v>
      </c>
      <c r="GU35" s="17" t="s">
        <v>870</v>
      </c>
      <c r="GV35" s="17" t="s">
        <v>870</v>
      </c>
      <c r="GW35" s="17" t="s">
        <v>870</v>
      </c>
      <c r="GX35" s="17" t="s">
        <v>870</v>
      </c>
      <c r="GY35" s="17" t="s">
        <v>870</v>
      </c>
      <c r="GZ35" s="17" t="s">
        <v>870</v>
      </c>
      <c r="HA35" s="17" t="s">
        <v>870</v>
      </c>
      <c r="HB35" s="17" t="s">
        <v>870</v>
      </c>
      <c r="HC35" s="17" t="s">
        <v>870</v>
      </c>
      <c r="HD35" s="17" t="s">
        <v>870</v>
      </c>
      <c r="HE35" s="17" t="s">
        <v>870</v>
      </c>
      <c r="HF35" s="17" t="s">
        <v>870</v>
      </c>
      <c r="HG35" s="17" t="s">
        <v>870</v>
      </c>
      <c r="HH35" s="17" t="s">
        <v>870</v>
      </c>
      <c r="HI35" s="17" t="s">
        <v>870</v>
      </c>
      <c r="HJ35" s="17" t="s">
        <v>870</v>
      </c>
      <c r="HK35" s="17" t="s">
        <v>870</v>
      </c>
      <c r="HL35" s="17" t="s">
        <v>870</v>
      </c>
      <c r="HM35" s="17" t="s">
        <v>870</v>
      </c>
      <c r="HN35" s="17" t="s">
        <v>870</v>
      </c>
      <c r="HO35" s="17" t="s">
        <v>870</v>
      </c>
      <c r="HP35" s="17" t="s">
        <v>870</v>
      </c>
      <c r="HQ35" s="17" t="s">
        <v>870</v>
      </c>
      <c r="HR35" s="17" t="s">
        <v>870</v>
      </c>
      <c r="HS35" s="17" t="s">
        <v>870</v>
      </c>
      <c r="HT35" s="17" t="s">
        <v>870</v>
      </c>
      <c r="HU35" s="17" t="s">
        <v>870</v>
      </c>
      <c r="HV35" s="17" t="s">
        <v>870</v>
      </c>
      <c r="HW35" s="17" t="s">
        <v>870</v>
      </c>
      <c r="HX35" s="17" t="s">
        <v>870</v>
      </c>
      <c r="HY35" s="17" t="s">
        <v>870</v>
      </c>
      <c r="HZ35" s="17" t="s">
        <v>870</v>
      </c>
      <c r="IA35" s="17" t="s">
        <v>870</v>
      </c>
      <c r="IB35" s="17" t="s">
        <v>870</v>
      </c>
      <c r="IC35" s="17" t="s">
        <v>870</v>
      </c>
      <c r="ID35" s="72" t="s">
        <v>1552</v>
      </c>
      <c r="IE35" s="17" t="s">
        <v>870</v>
      </c>
      <c r="IF35" s="17" t="s">
        <v>870</v>
      </c>
      <c r="IG35" s="17" t="s">
        <v>870</v>
      </c>
      <c r="IH35" s="17" t="s">
        <v>870</v>
      </c>
      <c r="II35" s="17" t="s">
        <v>870</v>
      </c>
      <c r="IJ35" s="17" t="s">
        <v>870</v>
      </c>
      <c r="IK35" s="17" t="s">
        <v>870</v>
      </c>
      <c r="IL35" s="17" t="s">
        <v>870</v>
      </c>
      <c r="IM35" s="17" t="s">
        <v>870</v>
      </c>
      <c r="IN35" s="17" t="s">
        <v>870</v>
      </c>
      <c r="IO35" s="17" t="s">
        <v>870</v>
      </c>
    </row>
    <row r="36" spans="1:249" x14ac:dyDescent="0.25">
      <c r="A36" t="s">
        <v>15</v>
      </c>
      <c r="B36" s="17" t="s">
        <v>870</v>
      </c>
      <c r="C36" s="17" t="s">
        <v>870</v>
      </c>
      <c r="D36" s="63"/>
      <c r="E36" s="63"/>
      <c r="F36" s="63"/>
      <c r="G36" s="17" t="s">
        <v>870</v>
      </c>
      <c r="H36" s="17" t="s">
        <v>870</v>
      </c>
      <c r="I36" s="17" t="s">
        <v>870</v>
      </c>
      <c r="J36" s="17" t="s">
        <v>870</v>
      </c>
      <c r="K36" s="17" t="s">
        <v>870</v>
      </c>
      <c r="L36" s="17" t="s">
        <v>870</v>
      </c>
      <c r="M36" s="17" t="s">
        <v>870</v>
      </c>
      <c r="N36" s="17" t="s">
        <v>870</v>
      </c>
      <c r="O36" s="61" t="s">
        <v>2</v>
      </c>
      <c r="P36" s="17" t="s">
        <v>870</v>
      </c>
      <c r="Q36" s="17" t="s">
        <v>870</v>
      </c>
      <c r="R36" s="17" t="s">
        <v>870</v>
      </c>
      <c r="S36" s="17" t="s">
        <v>870</v>
      </c>
      <c r="T36" s="17" t="s">
        <v>870</v>
      </c>
      <c r="U36" s="17" t="s">
        <v>870</v>
      </c>
      <c r="V36" s="17" t="s">
        <v>870</v>
      </c>
      <c r="W36" s="17" t="s">
        <v>870</v>
      </c>
      <c r="X36" s="17" t="s">
        <v>870</v>
      </c>
      <c r="Y36" s="17" t="s">
        <v>870</v>
      </c>
      <c r="Z36" s="17" t="s">
        <v>870</v>
      </c>
      <c r="AA36" s="17" t="s">
        <v>870</v>
      </c>
      <c r="AB36" s="17" t="s">
        <v>870</v>
      </c>
      <c r="AC36" s="17" t="s">
        <v>870</v>
      </c>
      <c r="AD36" s="17" t="s">
        <v>870</v>
      </c>
      <c r="AE36" s="17" t="s">
        <v>870</v>
      </c>
      <c r="AF36" s="17" t="s">
        <v>870</v>
      </c>
      <c r="AG36" s="62"/>
      <c r="AH36" s="17" t="s">
        <v>870</v>
      </c>
      <c r="AI36" s="17" t="s">
        <v>870</v>
      </c>
      <c r="AJ36" s="17" t="s">
        <v>870</v>
      </c>
      <c r="AK36" s="17" t="s">
        <v>870</v>
      </c>
      <c r="AL36" s="17" t="s">
        <v>870</v>
      </c>
      <c r="AM36" s="17" t="s">
        <v>870</v>
      </c>
      <c r="AN36" s="17" t="s">
        <v>870</v>
      </c>
      <c r="AO36" s="17" t="s">
        <v>870</v>
      </c>
      <c r="AP36" s="17" t="s">
        <v>870</v>
      </c>
      <c r="AQ36" s="17" t="s">
        <v>870</v>
      </c>
      <c r="AR36" s="17" t="s">
        <v>870</v>
      </c>
      <c r="AS36" s="17" t="s">
        <v>870</v>
      </c>
      <c r="AT36" s="63"/>
      <c r="AU36" s="63"/>
      <c r="AV36" s="63"/>
      <c r="AW36" s="63"/>
      <c r="AX36" s="17" t="s">
        <v>870</v>
      </c>
      <c r="AY36" s="17" t="s">
        <v>870</v>
      </c>
      <c r="AZ36" s="17" t="s">
        <v>870</v>
      </c>
      <c r="BA36" s="17" t="s">
        <v>870</v>
      </c>
      <c r="BB36" s="17" t="s">
        <v>870</v>
      </c>
      <c r="BC36" s="17" t="s">
        <v>870</v>
      </c>
      <c r="BD36" s="17" t="s">
        <v>870</v>
      </c>
      <c r="BE36" s="17" t="s">
        <v>870</v>
      </c>
      <c r="BF36" s="17" t="s">
        <v>870</v>
      </c>
      <c r="BG36" s="17" t="s">
        <v>870</v>
      </c>
      <c r="BH36" s="61" t="s">
        <v>2</v>
      </c>
      <c r="BI36" s="17" t="s">
        <v>870</v>
      </c>
      <c r="BJ36" s="17" t="s">
        <v>870</v>
      </c>
      <c r="BK36" s="17" t="s">
        <v>870</v>
      </c>
      <c r="BL36" s="17" t="s">
        <v>870</v>
      </c>
      <c r="BM36" s="17" t="s">
        <v>870</v>
      </c>
      <c r="BN36" s="17" t="s">
        <v>870</v>
      </c>
      <c r="BO36" s="17" t="s">
        <v>870</v>
      </c>
      <c r="BP36" s="17" t="s">
        <v>870</v>
      </c>
      <c r="BQ36" s="17" t="s">
        <v>870</v>
      </c>
      <c r="BR36" s="17" t="s">
        <v>870</v>
      </c>
      <c r="BS36" s="17" t="s">
        <v>870</v>
      </c>
      <c r="BT36" s="17" t="s">
        <v>870</v>
      </c>
      <c r="BU36" s="17" t="s">
        <v>870</v>
      </c>
      <c r="BV36" s="17" t="s">
        <v>870</v>
      </c>
      <c r="BW36" s="17" t="s">
        <v>870</v>
      </c>
      <c r="BX36" s="17" t="s">
        <v>870</v>
      </c>
      <c r="BY36" s="17" t="s">
        <v>870</v>
      </c>
      <c r="BZ36" s="17" t="s">
        <v>870</v>
      </c>
      <c r="CA36" s="17" t="s">
        <v>870</v>
      </c>
      <c r="CB36" s="17" t="s">
        <v>870</v>
      </c>
      <c r="CC36" s="17" t="s">
        <v>870</v>
      </c>
      <c r="CD36" s="17" t="s">
        <v>870</v>
      </c>
      <c r="CE36" s="17" t="s">
        <v>870</v>
      </c>
      <c r="CF36" s="17" t="s">
        <v>870</v>
      </c>
      <c r="CG36" s="17" t="s">
        <v>870</v>
      </c>
      <c r="CH36" s="17" t="s">
        <v>870</v>
      </c>
      <c r="CI36" s="17" t="s">
        <v>870</v>
      </c>
      <c r="CJ36" s="17" t="s">
        <v>870</v>
      </c>
      <c r="CK36" s="17" t="s">
        <v>870</v>
      </c>
      <c r="CL36" s="17" t="s">
        <v>870</v>
      </c>
      <c r="CM36" s="17" t="s">
        <v>870</v>
      </c>
      <c r="CN36" s="17" t="s">
        <v>870</v>
      </c>
      <c r="CO36" s="17" t="s">
        <v>870</v>
      </c>
      <c r="CP36" s="17" t="s">
        <v>870</v>
      </c>
      <c r="CQ36" s="17" t="s">
        <v>870</v>
      </c>
      <c r="CR36" s="17" t="s">
        <v>870</v>
      </c>
      <c r="CS36" s="17" t="s">
        <v>870</v>
      </c>
      <c r="CT36" s="17" t="s">
        <v>870</v>
      </c>
      <c r="CU36" s="17" t="s">
        <v>870</v>
      </c>
      <c r="CV36" s="17" t="s">
        <v>870</v>
      </c>
      <c r="CW36" s="17" t="s">
        <v>870</v>
      </c>
      <c r="CX36" s="17" t="s">
        <v>870</v>
      </c>
      <c r="CY36" s="17" t="s">
        <v>870</v>
      </c>
      <c r="CZ36" s="17" t="s">
        <v>870</v>
      </c>
      <c r="DA36" s="17" t="s">
        <v>870</v>
      </c>
      <c r="DB36" s="17" t="s">
        <v>870</v>
      </c>
      <c r="DC36" s="17" t="s">
        <v>870</v>
      </c>
      <c r="DD36" s="17" t="s">
        <v>870</v>
      </c>
      <c r="DE36" s="17" t="s">
        <v>870</v>
      </c>
      <c r="DF36" s="17" t="s">
        <v>870</v>
      </c>
      <c r="DG36" s="17" t="s">
        <v>870</v>
      </c>
      <c r="DH36" s="17" t="s">
        <v>870</v>
      </c>
      <c r="DI36" s="17" t="s">
        <v>870</v>
      </c>
      <c r="DJ36" s="17" t="s">
        <v>870</v>
      </c>
      <c r="DK36" s="17" t="s">
        <v>870</v>
      </c>
      <c r="DL36" s="17" t="s">
        <v>870</v>
      </c>
      <c r="DM36" s="17" t="s">
        <v>870</v>
      </c>
      <c r="DN36" s="17" t="s">
        <v>870</v>
      </c>
      <c r="DO36" s="17" t="s">
        <v>870</v>
      </c>
      <c r="DP36" s="17" t="s">
        <v>870</v>
      </c>
      <c r="DQ36" s="17" t="s">
        <v>870</v>
      </c>
      <c r="DR36" s="17" t="s">
        <v>870</v>
      </c>
      <c r="DS36" s="17" t="s">
        <v>870</v>
      </c>
      <c r="DT36" s="17" t="s">
        <v>870</v>
      </c>
      <c r="DU36" s="17" t="s">
        <v>870</v>
      </c>
      <c r="DV36" s="17" t="s">
        <v>870</v>
      </c>
      <c r="DW36" s="17" t="s">
        <v>870</v>
      </c>
      <c r="DX36" s="17" t="s">
        <v>870</v>
      </c>
      <c r="DY36" s="17" t="s">
        <v>870</v>
      </c>
      <c r="DZ36" s="17" t="s">
        <v>870</v>
      </c>
      <c r="EA36" s="17" t="s">
        <v>870</v>
      </c>
      <c r="EB36" s="17" t="s">
        <v>870</v>
      </c>
      <c r="EC36" s="17" t="s">
        <v>870</v>
      </c>
      <c r="ED36" s="17" t="s">
        <v>870</v>
      </c>
      <c r="EE36" s="17" t="s">
        <v>870</v>
      </c>
      <c r="EF36" s="17" t="s">
        <v>870</v>
      </c>
      <c r="EG36" s="17" t="s">
        <v>870</v>
      </c>
      <c r="EH36" s="17" t="s">
        <v>870</v>
      </c>
      <c r="EI36" s="17" t="s">
        <v>870</v>
      </c>
      <c r="EJ36" s="17" t="s">
        <v>870</v>
      </c>
      <c r="EK36" s="17" t="s">
        <v>870</v>
      </c>
      <c r="EL36" s="17" t="s">
        <v>870</v>
      </c>
      <c r="EM36" s="17" t="s">
        <v>870</v>
      </c>
      <c r="EN36" s="17" t="s">
        <v>870</v>
      </c>
      <c r="EO36" s="17" t="s">
        <v>870</v>
      </c>
      <c r="EP36" s="17" t="s">
        <v>870</v>
      </c>
      <c r="EQ36" s="17" t="s">
        <v>870</v>
      </c>
      <c r="ER36" s="17" t="s">
        <v>870</v>
      </c>
      <c r="ES36" s="17" t="s">
        <v>870</v>
      </c>
      <c r="ET36" s="17" t="s">
        <v>870</v>
      </c>
      <c r="EU36" s="17" t="s">
        <v>870</v>
      </c>
      <c r="EV36" s="17" t="s">
        <v>870</v>
      </c>
      <c r="EW36" s="17" t="s">
        <v>870</v>
      </c>
      <c r="EX36" s="17" t="s">
        <v>870</v>
      </c>
      <c r="EY36" s="17" t="s">
        <v>870</v>
      </c>
      <c r="EZ36" s="17" t="s">
        <v>870</v>
      </c>
      <c r="FA36" s="17" t="s">
        <v>870</v>
      </c>
      <c r="FB36" s="17" t="s">
        <v>870</v>
      </c>
      <c r="FC36" s="17" t="s">
        <v>870</v>
      </c>
      <c r="FD36" s="17" t="s">
        <v>870</v>
      </c>
      <c r="FE36" s="17" t="s">
        <v>870</v>
      </c>
      <c r="FF36" s="17" t="s">
        <v>870</v>
      </c>
      <c r="FG36" s="17" t="s">
        <v>870</v>
      </c>
      <c r="FH36" s="17" t="s">
        <v>870</v>
      </c>
      <c r="FI36" s="17" t="s">
        <v>870</v>
      </c>
      <c r="FJ36" s="17" t="s">
        <v>870</v>
      </c>
      <c r="FK36" s="17" t="s">
        <v>870</v>
      </c>
      <c r="FL36" s="17" t="s">
        <v>870</v>
      </c>
      <c r="FM36" s="17" t="s">
        <v>870</v>
      </c>
      <c r="FN36" s="17" t="s">
        <v>870</v>
      </c>
      <c r="FO36" s="17" t="s">
        <v>870</v>
      </c>
      <c r="FP36" s="17" t="s">
        <v>870</v>
      </c>
      <c r="FQ36" s="17" t="s">
        <v>870</v>
      </c>
      <c r="FR36" s="62"/>
      <c r="FS36" s="63"/>
      <c r="FT36" s="17" t="s">
        <v>870</v>
      </c>
      <c r="FU36" s="17" t="s">
        <v>870</v>
      </c>
      <c r="FV36" s="17" t="s">
        <v>870</v>
      </c>
      <c r="FW36" s="17" t="s">
        <v>870</v>
      </c>
      <c r="FX36" s="17" t="s">
        <v>870</v>
      </c>
      <c r="FY36" s="17" t="s">
        <v>870</v>
      </c>
      <c r="FZ36" s="61" t="s">
        <v>2</v>
      </c>
      <c r="GA36" s="63"/>
      <c r="GB36" s="63"/>
      <c r="GC36" s="63"/>
      <c r="GD36" s="17" t="s">
        <v>870</v>
      </c>
      <c r="GE36" s="17" t="s">
        <v>870</v>
      </c>
      <c r="GF36" s="63"/>
      <c r="GG36" s="63"/>
      <c r="GH36" s="17" t="s">
        <v>870</v>
      </c>
      <c r="GI36" s="63"/>
      <c r="GJ36" s="63"/>
      <c r="GK36" s="63"/>
      <c r="GL36" s="17" t="s">
        <v>870</v>
      </c>
      <c r="GM36" s="17" t="s">
        <v>870</v>
      </c>
      <c r="GN36" s="17" t="s">
        <v>870</v>
      </c>
      <c r="GO36" s="17" t="s">
        <v>870</v>
      </c>
      <c r="GP36" s="63"/>
      <c r="GQ36" s="17" t="s">
        <v>870</v>
      </c>
      <c r="GR36" s="17" t="s">
        <v>870</v>
      </c>
      <c r="GS36" s="17" t="s">
        <v>870</v>
      </c>
      <c r="GT36" s="17" t="s">
        <v>870</v>
      </c>
      <c r="GU36" s="17" t="s">
        <v>870</v>
      </c>
      <c r="GV36" s="17" t="s">
        <v>870</v>
      </c>
      <c r="GW36" s="17" t="s">
        <v>870</v>
      </c>
      <c r="GX36" s="17" t="s">
        <v>870</v>
      </c>
      <c r="GY36" s="17" t="s">
        <v>870</v>
      </c>
      <c r="GZ36" s="17" t="s">
        <v>870</v>
      </c>
      <c r="HA36" s="17" t="s">
        <v>870</v>
      </c>
      <c r="HB36" s="17" t="s">
        <v>870</v>
      </c>
      <c r="HC36" s="17" t="s">
        <v>870</v>
      </c>
      <c r="HD36" s="17" t="s">
        <v>870</v>
      </c>
      <c r="HE36" s="17" t="s">
        <v>870</v>
      </c>
      <c r="HF36" s="17" t="s">
        <v>870</v>
      </c>
      <c r="HG36" s="17" t="s">
        <v>870</v>
      </c>
      <c r="HH36" s="17" t="s">
        <v>870</v>
      </c>
      <c r="HI36" s="17" t="s">
        <v>870</v>
      </c>
      <c r="HJ36" s="17" t="s">
        <v>870</v>
      </c>
      <c r="HK36" s="17" t="s">
        <v>870</v>
      </c>
      <c r="HL36" s="17" t="s">
        <v>870</v>
      </c>
      <c r="HM36" s="17" t="s">
        <v>870</v>
      </c>
      <c r="HN36" s="17" t="s">
        <v>870</v>
      </c>
      <c r="HO36" s="17" t="s">
        <v>870</v>
      </c>
      <c r="HP36" s="17" t="s">
        <v>870</v>
      </c>
      <c r="HQ36" s="17" t="s">
        <v>870</v>
      </c>
      <c r="HR36" s="17" t="s">
        <v>870</v>
      </c>
      <c r="HS36" s="17" t="s">
        <v>870</v>
      </c>
      <c r="HT36" s="17" t="s">
        <v>870</v>
      </c>
      <c r="HU36" s="17" t="s">
        <v>870</v>
      </c>
      <c r="HV36" s="17" t="s">
        <v>870</v>
      </c>
      <c r="HW36" s="17" t="s">
        <v>870</v>
      </c>
      <c r="HX36" s="17" t="s">
        <v>870</v>
      </c>
      <c r="HY36" s="17" t="s">
        <v>870</v>
      </c>
      <c r="HZ36" s="17" t="s">
        <v>870</v>
      </c>
      <c r="IA36" s="17" t="s">
        <v>870</v>
      </c>
      <c r="IB36" s="17" t="s">
        <v>870</v>
      </c>
      <c r="IC36" s="17" t="s">
        <v>870</v>
      </c>
      <c r="ID36" s="72" t="s">
        <v>1552</v>
      </c>
      <c r="IE36" s="17" t="s">
        <v>870</v>
      </c>
      <c r="IF36" s="17" t="s">
        <v>870</v>
      </c>
      <c r="IG36" s="17" t="s">
        <v>870</v>
      </c>
      <c r="IH36" s="17" t="s">
        <v>870</v>
      </c>
      <c r="II36" s="17" t="s">
        <v>870</v>
      </c>
      <c r="IJ36" s="17" t="s">
        <v>870</v>
      </c>
      <c r="IK36" s="17" t="s">
        <v>870</v>
      </c>
      <c r="IL36" s="17" t="s">
        <v>870</v>
      </c>
      <c r="IM36" s="17" t="s">
        <v>870</v>
      </c>
      <c r="IN36" s="17" t="s">
        <v>870</v>
      </c>
      <c r="IO36" s="17" t="s">
        <v>870</v>
      </c>
    </row>
    <row r="37" spans="1:249" x14ac:dyDescent="0.25">
      <c r="A37" t="s">
        <v>356</v>
      </c>
      <c r="B37" s="17" t="s">
        <v>870</v>
      </c>
      <c r="C37" s="17" t="s">
        <v>870</v>
      </c>
      <c r="D37" s="17" t="s">
        <v>870</v>
      </c>
      <c r="E37" s="17" t="s">
        <v>870</v>
      </c>
      <c r="F37" s="17" t="s">
        <v>870</v>
      </c>
      <c r="G37" s="17" t="s">
        <v>870</v>
      </c>
      <c r="H37" s="17" t="s">
        <v>870</v>
      </c>
      <c r="I37" s="17" t="s">
        <v>870</v>
      </c>
      <c r="J37" s="17" t="s">
        <v>870</v>
      </c>
      <c r="K37" s="17" t="s">
        <v>870</v>
      </c>
      <c r="L37" s="17" t="s">
        <v>870</v>
      </c>
      <c r="M37" s="17" t="s">
        <v>870</v>
      </c>
      <c r="N37" s="17" t="s">
        <v>870</v>
      </c>
      <c r="O37" s="17" t="s">
        <v>870</v>
      </c>
      <c r="P37" s="17" t="s">
        <v>870</v>
      </c>
      <c r="Q37" s="17" t="s">
        <v>870</v>
      </c>
      <c r="R37" s="17" t="s">
        <v>870</v>
      </c>
      <c r="S37" s="17" t="s">
        <v>870</v>
      </c>
      <c r="T37" s="17" t="s">
        <v>870</v>
      </c>
      <c r="U37" s="17" t="s">
        <v>870</v>
      </c>
      <c r="V37" s="17" t="s">
        <v>870</v>
      </c>
      <c r="W37" s="17" t="s">
        <v>870</v>
      </c>
      <c r="X37" s="17" t="s">
        <v>870</v>
      </c>
      <c r="Y37" s="17" t="s">
        <v>870</v>
      </c>
      <c r="Z37" s="17" t="s">
        <v>870</v>
      </c>
      <c r="AA37" s="17" t="s">
        <v>870</v>
      </c>
      <c r="AB37" s="17" t="s">
        <v>870</v>
      </c>
      <c r="AC37" s="17" t="s">
        <v>870</v>
      </c>
      <c r="AD37" s="17" t="s">
        <v>870</v>
      </c>
      <c r="AE37" s="17" t="s">
        <v>870</v>
      </c>
      <c r="AF37" s="17" t="s">
        <v>870</v>
      </c>
      <c r="AG37" s="17" t="s">
        <v>870</v>
      </c>
      <c r="AH37" s="17" t="s">
        <v>870</v>
      </c>
      <c r="AI37" s="17" t="s">
        <v>870</v>
      </c>
      <c r="AJ37" s="17" t="s">
        <v>870</v>
      </c>
      <c r="AK37" s="17" t="s">
        <v>870</v>
      </c>
      <c r="AL37" s="17" t="s">
        <v>870</v>
      </c>
      <c r="AM37" s="17" t="s">
        <v>870</v>
      </c>
      <c r="AN37" s="17" t="s">
        <v>870</v>
      </c>
      <c r="AO37" s="17" t="s">
        <v>870</v>
      </c>
      <c r="AP37" s="17" t="s">
        <v>870</v>
      </c>
      <c r="AQ37" s="17" t="s">
        <v>870</v>
      </c>
      <c r="AR37" s="17" t="s">
        <v>870</v>
      </c>
      <c r="AS37" s="17" t="s">
        <v>870</v>
      </c>
      <c r="AT37" s="17" t="s">
        <v>870</v>
      </c>
      <c r="AU37" s="17" t="s">
        <v>870</v>
      </c>
      <c r="AV37" s="17" t="s">
        <v>870</v>
      </c>
      <c r="AW37" s="17" t="s">
        <v>870</v>
      </c>
      <c r="AX37" s="17" t="s">
        <v>870</v>
      </c>
      <c r="AY37" s="17" t="s">
        <v>870</v>
      </c>
      <c r="AZ37" s="17" t="s">
        <v>870</v>
      </c>
      <c r="BA37" s="17" t="s">
        <v>870</v>
      </c>
      <c r="BB37" s="17" t="s">
        <v>870</v>
      </c>
      <c r="BC37" s="17" t="s">
        <v>870</v>
      </c>
      <c r="BD37" s="17" t="s">
        <v>870</v>
      </c>
      <c r="BE37" s="17" t="s">
        <v>870</v>
      </c>
      <c r="BF37" s="17" t="s">
        <v>870</v>
      </c>
      <c r="BG37" s="17" t="s">
        <v>870</v>
      </c>
      <c r="BH37" s="17" t="s">
        <v>870</v>
      </c>
      <c r="BI37" s="17" t="s">
        <v>870</v>
      </c>
      <c r="BJ37" s="17" t="s">
        <v>870</v>
      </c>
      <c r="BK37" s="17" t="s">
        <v>870</v>
      </c>
      <c r="BL37" s="17" t="s">
        <v>870</v>
      </c>
      <c r="BM37" s="17" t="s">
        <v>870</v>
      </c>
      <c r="BN37" s="17" t="s">
        <v>870</v>
      </c>
      <c r="BO37" s="17" t="s">
        <v>870</v>
      </c>
      <c r="BP37" s="17" t="s">
        <v>870</v>
      </c>
      <c r="BQ37" s="17" t="s">
        <v>870</v>
      </c>
      <c r="BR37" s="17" t="s">
        <v>870</v>
      </c>
      <c r="BS37" s="17" t="s">
        <v>870</v>
      </c>
      <c r="BT37" s="17" t="s">
        <v>870</v>
      </c>
      <c r="BU37" s="17" t="s">
        <v>870</v>
      </c>
      <c r="BV37" s="17" t="s">
        <v>870</v>
      </c>
      <c r="BW37" s="17" t="s">
        <v>870</v>
      </c>
      <c r="BX37" s="17" t="s">
        <v>870</v>
      </c>
      <c r="BY37" s="17" t="s">
        <v>870</v>
      </c>
      <c r="BZ37" s="17" t="s">
        <v>870</v>
      </c>
      <c r="CA37" s="17" t="s">
        <v>870</v>
      </c>
      <c r="CB37" s="17" t="s">
        <v>870</v>
      </c>
      <c r="CC37" s="17" t="s">
        <v>870</v>
      </c>
      <c r="CD37" s="17" t="s">
        <v>870</v>
      </c>
      <c r="CE37" s="17" t="s">
        <v>870</v>
      </c>
      <c r="CF37" s="17" t="s">
        <v>870</v>
      </c>
      <c r="CG37" s="17" t="s">
        <v>870</v>
      </c>
      <c r="CH37" s="17" t="s">
        <v>870</v>
      </c>
      <c r="CI37" s="17" t="s">
        <v>870</v>
      </c>
      <c r="CJ37" s="17" t="s">
        <v>870</v>
      </c>
      <c r="CK37" s="17" t="s">
        <v>870</v>
      </c>
      <c r="CL37" s="17" t="s">
        <v>870</v>
      </c>
      <c r="CM37" s="17" t="s">
        <v>870</v>
      </c>
      <c r="CN37" s="17" t="s">
        <v>870</v>
      </c>
      <c r="CO37" s="17" t="s">
        <v>870</v>
      </c>
      <c r="CP37" s="17" t="s">
        <v>870</v>
      </c>
      <c r="CQ37" s="17" t="s">
        <v>870</v>
      </c>
      <c r="CR37" s="17" t="s">
        <v>870</v>
      </c>
      <c r="CS37" s="17" t="s">
        <v>870</v>
      </c>
      <c r="CT37" s="17" t="s">
        <v>870</v>
      </c>
      <c r="CU37" s="17" t="s">
        <v>870</v>
      </c>
      <c r="CV37" s="17" t="s">
        <v>870</v>
      </c>
      <c r="CW37" s="17" t="s">
        <v>870</v>
      </c>
      <c r="CX37" s="17" t="s">
        <v>870</v>
      </c>
      <c r="CY37" s="17" t="s">
        <v>870</v>
      </c>
      <c r="CZ37" s="17" t="s">
        <v>870</v>
      </c>
      <c r="DA37" s="17" t="s">
        <v>870</v>
      </c>
      <c r="DB37" s="17" t="s">
        <v>870</v>
      </c>
      <c r="DC37" s="17" t="s">
        <v>870</v>
      </c>
      <c r="DD37" s="17" t="s">
        <v>870</v>
      </c>
      <c r="DE37" s="17" t="s">
        <v>870</v>
      </c>
      <c r="DF37" s="17" t="s">
        <v>870</v>
      </c>
      <c r="DG37" s="17" t="s">
        <v>870</v>
      </c>
      <c r="DH37" s="17" t="s">
        <v>870</v>
      </c>
      <c r="DI37" s="17" t="s">
        <v>870</v>
      </c>
      <c r="DJ37" s="17" t="s">
        <v>870</v>
      </c>
      <c r="DK37" s="17" t="s">
        <v>870</v>
      </c>
      <c r="DL37" s="17" t="s">
        <v>870</v>
      </c>
      <c r="DM37" s="17" t="s">
        <v>870</v>
      </c>
      <c r="DN37" s="17" t="s">
        <v>870</v>
      </c>
      <c r="DO37" s="17" t="s">
        <v>870</v>
      </c>
      <c r="DP37" s="17" t="s">
        <v>870</v>
      </c>
      <c r="DQ37" s="17" t="s">
        <v>870</v>
      </c>
      <c r="DR37" s="17" t="s">
        <v>870</v>
      </c>
      <c r="DS37" s="17" t="s">
        <v>870</v>
      </c>
      <c r="DT37" s="17" t="s">
        <v>870</v>
      </c>
      <c r="DU37" s="17" t="s">
        <v>870</v>
      </c>
      <c r="DV37" s="17" t="s">
        <v>870</v>
      </c>
      <c r="DW37" s="17" t="s">
        <v>870</v>
      </c>
      <c r="DX37" s="17" t="s">
        <v>870</v>
      </c>
      <c r="DY37" s="17" t="s">
        <v>870</v>
      </c>
      <c r="DZ37" s="17" t="s">
        <v>870</v>
      </c>
      <c r="EA37" s="17" t="s">
        <v>870</v>
      </c>
      <c r="EB37" s="17" t="s">
        <v>870</v>
      </c>
      <c r="EC37" s="17" t="s">
        <v>870</v>
      </c>
      <c r="ED37" s="17" t="s">
        <v>870</v>
      </c>
      <c r="EE37" s="17" t="s">
        <v>870</v>
      </c>
      <c r="EF37" s="17" t="s">
        <v>870</v>
      </c>
      <c r="EG37" s="17" t="s">
        <v>870</v>
      </c>
      <c r="EH37" s="17" t="s">
        <v>870</v>
      </c>
      <c r="EI37" s="17" t="s">
        <v>870</v>
      </c>
      <c r="EJ37" s="17" t="s">
        <v>870</v>
      </c>
      <c r="EK37" s="17" t="s">
        <v>870</v>
      </c>
      <c r="EL37" s="17" t="s">
        <v>870</v>
      </c>
      <c r="EM37" s="17" t="s">
        <v>870</v>
      </c>
      <c r="EN37" s="17" t="s">
        <v>870</v>
      </c>
      <c r="EO37" s="17" t="s">
        <v>870</v>
      </c>
      <c r="EP37" s="17" t="s">
        <v>870</v>
      </c>
      <c r="EQ37" s="17" t="s">
        <v>870</v>
      </c>
      <c r="ER37" s="17" t="s">
        <v>870</v>
      </c>
      <c r="ES37" s="17" t="s">
        <v>870</v>
      </c>
      <c r="ET37" s="17" t="s">
        <v>870</v>
      </c>
      <c r="EU37" s="17" t="s">
        <v>870</v>
      </c>
      <c r="EV37" s="17" t="s">
        <v>870</v>
      </c>
      <c r="EW37" s="17" t="s">
        <v>870</v>
      </c>
      <c r="EX37" s="17" t="s">
        <v>870</v>
      </c>
      <c r="EY37" s="17" t="s">
        <v>870</v>
      </c>
      <c r="EZ37" s="17" t="s">
        <v>870</v>
      </c>
      <c r="FA37" s="61" t="s">
        <v>2</v>
      </c>
      <c r="FB37" s="17" t="s">
        <v>870</v>
      </c>
      <c r="FC37" s="17" t="s">
        <v>870</v>
      </c>
      <c r="FD37" s="61" t="s">
        <v>2</v>
      </c>
      <c r="FE37" s="61" t="s">
        <v>2</v>
      </c>
      <c r="FF37" s="17" t="s">
        <v>870</v>
      </c>
      <c r="FG37" s="17" t="s">
        <v>870</v>
      </c>
      <c r="FH37" s="17" t="s">
        <v>870</v>
      </c>
      <c r="FI37" s="17" t="s">
        <v>870</v>
      </c>
      <c r="FJ37" s="17" t="s">
        <v>870</v>
      </c>
      <c r="FK37" s="17" t="s">
        <v>870</v>
      </c>
      <c r="FL37" s="17" t="s">
        <v>870</v>
      </c>
      <c r="FM37" s="17" t="s">
        <v>870</v>
      </c>
      <c r="FN37" s="17" t="s">
        <v>870</v>
      </c>
      <c r="FO37" s="17" t="s">
        <v>870</v>
      </c>
      <c r="FP37" s="17" t="s">
        <v>870</v>
      </c>
      <c r="FQ37" s="17" t="s">
        <v>870</v>
      </c>
      <c r="FR37" s="17" t="s">
        <v>870</v>
      </c>
      <c r="FS37" s="17" t="s">
        <v>870</v>
      </c>
      <c r="FT37" s="17" t="s">
        <v>870</v>
      </c>
      <c r="FU37" s="17" t="s">
        <v>870</v>
      </c>
      <c r="FV37" s="17" t="s">
        <v>870</v>
      </c>
      <c r="FW37" s="17" t="s">
        <v>870</v>
      </c>
      <c r="FX37" s="17" t="s">
        <v>870</v>
      </c>
      <c r="FY37" s="17" t="s">
        <v>870</v>
      </c>
      <c r="FZ37" s="17" t="s">
        <v>870</v>
      </c>
      <c r="GA37" s="17" t="s">
        <v>870</v>
      </c>
      <c r="GB37" s="17" t="s">
        <v>870</v>
      </c>
      <c r="GC37" s="17" t="s">
        <v>870</v>
      </c>
      <c r="GD37" s="17" t="s">
        <v>870</v>
      </c>
      <c r="GE37" s="17" t="s">
        <v>870</v>
      </c>
      <c r="GF37" s="17" t="s">
        <v>870</v>
      </c>
      <c r="GG37" s="17" t="s">
        <v>870</v>
      </c>
      <c r="GH37" s="17" t="s">
        <v>870</v>
      </c>
      <c r="GI37" s="17" t="s">
        <v>870</v>
      </c>
      <c r="GJ37" s="17" t="s">
        <v>870</v>
      </c>
      <c r="GK37" s="17" t="s">
        <v>870</v>
      </c>
      <c r="GL37" s="17" t="s">
        <v>870</v>
      </c>
      <c r="GM37" s="17" t="s">
        <v>870</v>
      </c>
      <c r="GN37" s="17" t="s">
        <v>870</v>
      </c>
      <c r="GO37" s="17" t="s">
        <v>870</v>
      </c>
      <c r="GP37" s="17" t="s">
        <v>870</v>
      </c>
      <c r="GQ37" s="17" t="s">
        <v>870</v>
      </c>
      <c r="GR37" s="17" t="s">
        <v>870</v>
      </c>
      <c r="GS37" s="17" t="s">
        <v>870</v>
      </c>
      <c r="GT37" s="17" t="s">
        <v>870</v>
      </c>
      <c r="GU37" s="17" t="s">
        <v>870</v>
      </c>
      <c r="GV37" s="62"/>
      <c r="GW37" s="17" t="s">
        <v>870</v>
      </c>
      <c r="GX37" s="17" t="s">
        <v>870</v>
      </c>
      <c r="GY37" s="17" t="s">
        <v>870</v>
      </c>
      <c r="GZ37" s="17" t="s">
        <v>870</v>
      </c>
      <c r="HA37" s="17" t="s">
        <v>870</v>
      </c>
      <c r="HB37" s="17" t="s">
        <v>870</v>
      </c>
      <c r="HC37" s="17" t="s">
        <v>870</v>
      </c>
      <c r="HD37" s="17" t="s">
        <v>870</v>
      </c>
      <c r="HE37" s="17" t="s">
        <v>870</v>
      </c>
      <c r="HF37" s="17" t="s">
        <v>870</v>
      </c>
      <c r="HG37" s="17" t="s">
        <v>870</v>
      </c>
      <c r="HH37" s="17" t="s">
        <v>870</v>
      </c>
      <c r="HI37" s="17" t="s">
        <v>870</v>
      </c>
      <c r="HJ37" s="17" t="s">
        <v>870</v>
      </c>
      <c r="HK37" s="17" t="s">
        <v>870</v>
      </c>
      <c r="HL37" s="17" t="s">
        <v>870</v>
      </c>
      <c r="HM37" s="17" t="s">
        <v>870</v>
      </c>
      <c r="HN37" s="17" t="s">
        <v>870</v>
      </c>
      <c r="HO37" s="17" t="s">
        <v>870</v>
      </c>
      <c r="HP37" s="17" t="s">
        <v>870</v>
      </c>
      <c r="HQ37" s="17" t="s">
        <v>870</v>
      </c>
      <c r="HR37" s="17" t="s">
        <v>870</v>
      </c>
      <c r="HS37" s="17" t="s">
        <v>870</v>
      </c>
      <c r="HT37" s="17" t="s">
        <v>870</v>
      </c>
      <c r="HU37" s="17" t="s">
        <v>870</v>
      </c>
      <c r="HV37" s="17" t="s">
        <v>870</v>
      </c>
      <c r="HW37" s="17" t="s">
        <v>870</v>
      </c>
      <c r="HX37" s="17" t="s">
        <v>870</v>
      </c>
      <c r="HY37" s="17" t="s">
        <v>870</v>
      </c>
      <c r="HZ37" s="17" t="s">
        <v>870</v>
      </c>
      <c r="IA37" s="17" t="s">
        <v>870</v>
      </c>
      <c r="IB37" s="17" t="s">
        <v>870</v>
      </c>
      <c r="IC37" s="17" t="s">
        <v>870</v>
      </c>
      <c r="ID37" s="72" t="s">
        <v>1552</v>
      </c>
      <c r="IE37" s="17" t="s">
        <v>870</v>
      </c>
      <c r="IF37" s="17" t="s">
        <v>870</v>
      </c>
      <c r="IG37" s="17" t="s">
        <v>870</v>
      </c>
      <c r="IH37" s="17" t="s">
        <v>870</v>
      </c>
      <c r="II37" s="17" t="s">
        <v>870</v>
      </c>
      <c r="IJ37" s="17" t="s">
        <v>870</v>
      </c>
      <c r="IK37" s="17" t="s">
        <v>870</v>
      </c>
      <c r="IL37" s="17" t="s">
        <v>870</v>
      </c>
      <c r="IM37" s="17" t="s">
        <v>870</v>
      </c>
      <c r="IN37" s="17" t="s">
        <v>870</v>
      </c>
      <c r="IO37" s="17" t="s">
        <v>870</v>
      </c>
    </row>
    <row r="38" spans="1:249" x14ac:dyDescent="0.25">
      <c r="A38" t="s">
        <v>256</v>
      </c>
      <c r="B38" s="17" t="s">
        <v>870</v>
      </c>
      <c r="C38" s="17" t="s">
        <v>870</v>
      </c>
      <c r="D38" s="17" t="s">
        <v>870</v>
      </c>
      <c r="E38" s="17" t="s">
        <v>870</v>
      </c>
      <c r="F38" s="17" t="s">
        <v>870</v>
      </c>
      <c r="G38" s="17" t="s">
        <v>870</v>
      </c>
      <c r="H38" s="17" t="s">
        <v>870</v>
      </c>
      <c r="I38" s="17" t="s">
        <v>870</v>
      </c>
      <c r="J38" s="17" t="s">
        <v>870</v>
      </c>
      <c r="K38" s="17" t="s">
        <v>870</v>
      </c>
      <c r="L38" s="17" t="s">
        <v>870</v>
      </c>
      <c r="M38" s="17" t="s">
        <v>870</v>
      </c>
      <c r="N38" s="17" t="s">
        <v>870</v>
      </c>
      <c r="O38" s="17" t="s">
        <v>870</v>
      </c>
      <c r="P38" s="17" t="s">
        <v>870</v>
      </c>
      <c r="Q38" s="17" t="s">
        <v>870</v>
      </c>
      <c r="R38" s="17" t="s">
        <v>870</v>
      </c>
      <c r="S38" s="17" t="s">
        <v>870</v>
      </c>
      <c r="T38" s="17" t="s">
        <v>870</v>
      </c>
      <c r="U38" s="17" t="s">
        <v>870</v>
      </c>
      <c r="V38" s="17" t="s">
        <v>870</v>
      </c>
      <c r="W38" s="17" t="s">
        <v>870</v>
      </c>
      <c r="X38" s="17" t="s">
        <v>870</v>
      </c>
      <c r="Y38" s="17" t="s">
        <v>870</v>
      </c>
      <c r="Z38" s="17" t="s">
        <v>870</v>
      </c>
      <c r="AA38" s="17" t="s">
        <v>870</v>
      </c>
      <c r="AB38" s="17" t="s">
        <v>870</v>
      </c>
      <c r="AC38" s="17" t="s">
        <v>870</v>
      </c>
      <c r="AD38" s="17" t="s">
        <v>870</v>
      </c>
      <c r="AE38" s="17" t="s">
        <v>870</v>
      </c>
      <c r="AF38" s="17" t="s">
        <v>870</v>
      </c>
      <c r="AG38" s="17" t="s">
        <v>870</v>
      </c>
      <c r="AH38" s="17" t="s">
        <v>870</v>
      </c>
      <c r="AI38" s="17" t="s">
        <v>870</v>
      </c>
      <c r="AJ38" s="17" t="s">
        <v>870</v>
      </c>
      <c r="AK38" s="17" t="s">
        <v>870</v>
      </c>
      <c r="AL38" s="17" t="s">
        <v>870</v>
      </c>
      <c r="AM38" s="17" t="s">
        <v>870</v>
      </c>
      <c r="AN38" s="17" t="s">
        <v>870</v>
      </c>
      <c r="AO38" s="17" t="s">
        <v>870</v>
      </c>
      <c r="AP38" s="17" t="s">
        <v>870</v>
      </c>
      <c r="AQ38" s="17" t="s">
        <v>870</v>
      </c>
      <c r="AR38" s="17" t="s">
        <v>870</v>
      </c>
      <c r="AS38" s="17" t="s">
        <v>870</v>
      </c>
      <c r="AT38" s="17" t="s">
        <v>870</v>
      </c>
      <c r="AU38" s="17" t="s">
        <v>870</v>
      </c>
      <c r="AV38" s="17" t="s">
        <v>870</v>
      </c>
      <c r="AW38" s="17" t="s">
        <v>870</v>
      </c>
      <c r="AX38" s="17" t="s">
        <v>870</v>
      </c>
      <c r="AY38" s="17" t="s">
        <v>870</v>
      </c>
      <c r="AZ38" s="17" t="s">
        <v>870</v>
      </c>
      <c r="BA38" s="17" t="s">
        <v>870</v>
      </c>
      <c r="BB38" s="17" t="s">
        <v>870</v>
      </c>
      <c r="BC38" s="17" t="s">
        <v>870</v>
      </c>
      <c r="BD38" s="17" t="s">
        <v>870</v>
      </c>
      <c r="BE38" s="17" t="s">
        <v>870</v>
      </c>
      <c r="BF38" s="17" t="s">
        <v>870</v>
      </c>
      <c r="BG38" s="17" t="s">
        <v>870</v>
      </c>
      <c r="BH38" s="17" t="s">
        <v>870</v>
      </c>
      <c r="BI38" s="17" t="s">
        <v>870</v>
      </c>
      <c r="BJ38" s="17" t="s">
        <v>870</v>
      </c>
      <c r="BK38" s="17" t="s">
        <v>870</v>
      </c>
      <c r="BL38" s="17" t="s">
        <v>870</v>
      </c>
      <c r="BM38" s="17" t="s">
        <v>870</v>
      </c>
      <c r="BN38" s="17" t="s">
        <v>870</v>
      </c>
      <c r="BO38" s="17" t="s">
        <v>870</v>
      </c>
      <c r="BP38" s="17" t="s">
        <v>870</v>
      </c>
      <c r="BQ38" s="17" t="s">
        <v>870</v>
      </c>
      <c r="BR38" s="17" t="s">
        <v>870</v>
      </c>
      <c r="BS38" s="17" t="s">
        <v>870</v>
      </c>
      <c r="BT38" s="17" t="s">
        <v>870</v>
      </c>
      <c r="BU38" s="17" t="s">
        <v>870</v>
      </c>
      <c r="BV38" s="17" t="s">
        <v>870</v>
      </c>
      <c r="BW38" s="17" t="s">
        <v>870</v>
      </c>
      <c r="BX38" s="17" t="s">
        <v>870</v>
      </c>
      <c r="BY38" s="17" t="s">
        <v>870</v>
      </c>
      <c r="BZ38" s="17" t="s">
        <v>870</v>
      </c>
      <c r="CA38" s="17" t="s">
        <v>870</v>
      </c>
      <c r="CB38" s="17" t="s">
        <v>870</v>
      </c>
      <c r="CC38" s="17" t="s">
        <v>870</v>
      </c>
      <c r="CD38" s="17" t="s">
        <v>870</v>
      </c>
      <c r="CE38" s="17" t="s">
        <v>870</v>
      </c>
      <c r="CF38" s="17" t="s">
        <v>870</v>
      </c>
      <c r="CG38" s="17" t="s">
        <v>870</v>
      </c>
      <c r="CH38" s="17" t="s">
        <v>870</v>
      </c>
      <c r="CI38" s="17" t="s">
        <v>870</v>
      </c>
      <c r="CJ38" s="17" t="s">
        <v>870</v>
      </c>
      <c r="CK38" s="17" t="s">
        <v>870</v>
      </c>
      <c r="CL38" s="17" t="s">
        <v>870</v>
      </c>
      <c r="CM38" s="17" t="s">
        <v>870</v>
      </c>
      <c r="CN38" s="17" t="s">
        <v>870</v>
      </c>
      <c r="CO38" s="17" t="s">
        <v>870</v>
      </c>
      <c r="CP38" s="17" t="s">
        <v>870</v>
      </c>
      <c r="CQ38" s="17" t="s">
        <v>870</v>
      </c>
      <c r="CR38" s="17" t="s">
        <v>870</v>
      </c>
      <c r="CS38" s="17" t="s">
        <v>870</v>
      </c>
      <c r="CT38" s="17" t="s">
        <v>870</v>
      </c>
      <c r="CU38" s="17" t="s">
        <v>870</v>
      </c>
      <c r="CV38" s="63"/>
      <c r="CW38" s="17" t="s">
        <v>870</v>
      </c>
      <c r="CX38" s="63"/>
      <c r="CY38" s="17" t="s">
        <v>870</v>
      </c>
      <c r="CZ38" s="63"/>
      <c r="DA38" s="63"/>
      <c r="DB38" s="63"/>
      <c r="DC38" s="63"/>
      <c r="DD38" s="63"/>
      <c r="DE38" s="63"/>
      <c r="DF38" s="61" t="s">
        <v>2</v>
      </c>
      <c r="DG38" s="17" t="s">
        <v>870</v>
      </c>
      <c r="DH38" s="63"/>
      <c r="DI38" s="61" t="s">
        <v>2</v>
      </c>
      <c r="DJ38" s="17" t="s">
        <v>870</v>
      </c>
      <c r="DK38" s="17" t="s">
        <v>870</v>
      </c>
      <c r="DL38" s="17" t="s">
        <v>870</v>
      </c>
      <c r="DM38" s="17" t="s">
        <v>870</v>
      </c>
      <c r="DN38" s="17" t="s">
        <v>870</v>
      </c>
      <c r="DO38" s="17" t="s">
        <v>870</v>
      </c>
      <c r="DP38" s="61" t="s">
        <v>2</v>
      </c>
      <c r="DQ38" s="62"/>
      <c r="DR38" s="63"/>
      <c r="DS38" s="63"/>
      <c r="DT38" s="63"/>
      <c r="DU38" s="63"/>
      <c r="DV38" s="63"/>
      <c r="DW38" s="63"/>
      <c r="DX38" s="63"/>
      <c r="DY38" s="63"/>
      <c r="DZ38" s="17" t="s">
        <v>870</v>
      </c>
      <c r="EA38" s="17" t="s">
        <v>870</v>
      </c>
      <c r="EB38" s="17" t="s">
        <v>870</v>
      </c>
      <c r="EC38" s="17" t="s">
        <v>870</v>
      </c>
      <c r="ED38" s="17" t="s">
        <v>870</v>
      </c>
      <c r="EE38" s="17" t="s">
        <v>870</v>
      </c>
      <c r="EF38" s="17" t="s">
        <v>870</v>
      </c>
      <c r="EG38" s="17" t="s">
        <v>870</v>
      </c>
      <c r="EH38" s="17" t="s">
        <v>870</v>
      </c>
      <c r="EI38" s="17" t="s">
        <v>870</v>
      </c>
      <c r="EJ38" s="17" t="s">
        <v>870</v>
      </c>
      <c r="EK38" s="17" t="s">
        <v>870</v>
      </c>
      <c r="EL38" s="17" t="s">
        <v>870</v>
      </c>
      <c r="EM38" s="17" t="s">
        <v>870</v>
      </c>
      <c r="EN38" s="17" t="s">
        <v>870</v>
      </c>
      <c r="EO38" s="17" t="s">
        <v>870</v>
      </c>
      <c r="EP38" s="17" t="s">
        <v>870</v>
      </c>
      <c r="EQ38" s="17" t="s">
        <v>870</v>
      </c>
      <c r="ER38" s="17" t="s">
        <v>870</v>
      </c>
      <c r="ES38" s="17" t="s">
        <v>870</v>
      </c>
      <c r="ET38" s="17" t="s">
        <v>870</v>
      </c>
      <c r="EU38" s="17" t="s">
        <v>870</v>
      </c>
      <c r="EV38" s="17" t="s">
        <v>870</v>
      </c>
      <c r="EW38" s="17" t="s">
        <v>870</v>
      </c>
      <c r="EX38" s="63"/>
      <c r="EY38" s="63"/>
      <c r="EZ38" s="61" t="s">
        <v>2</v>
      </c>
      <c r="FA38" s="63"/>
      <c r="FB38" s="62"/>
      <c r="FC38" s="63"/>
      <c r="FD38" s="63"/>
      <c r="FE38" s="63"/>
      <c r="FF38" s="63"/>
      <c r="FG38" s="63"/>
      <c r="FH38" s="17" t="s">
        <v>870</v>
      </c>
      <c r="FI38" s="17" t="s">
        <v>870</v>
      </c>
      <c r="FJ38" s="17" t="s">
        <v>870</v>
      </c>
      <c r="FK38" s="17" t="s">
        <v>870</v>
      </c>
      <c r="FL38" s="17" t="s">
        <v>870</v>
      </c>
      <c r="FM38" s="17" t="s">
        <v>870</v>
      </c>
      <c r="FN38" s="17" t="s">
        <v>870</v>
      </c>
      <c r="FO38" s="17" t="s">
        <v>870</v>
      </c>
      <c r="FP38" s="17" t="s">
        <v>870</v>
      </c>
      <c r="FQ38" s="17" t="s">
        <v>870</v>
      </c>
      <c r="FR38" s="17" t="s">
        <v>870</v>
      </c>
      <c r="FS38" s="17" t="s">
        <v>870</v>
      </c>
      <c r="FT38" s="17" t="s">
        <v>870</v>
      </c>
      <c r="FU38" s="17" t="s">
        <v>870</v>
      </c>
      <c r="FV38" s="17" t="s">
        <v>870</v>
      </c>
      <c r="FW38" s="17" t="s">
        <v>870</v>
      </c>
      <c r="FX38" s="17" t="s">
        <v>870</v>
      </c>
      <c r="FY38" s="17" t="s">
        <v>870</v>
      </c>
      <c r="FZ38" s="17" t="s">
        <v>870</v>
      </c>
      <c r="GA38" s="17" t="s">
        <v>870</v>
      </c>
      <c r="GB38" s="17" t="s">
        <v>870</v>
      </c>
      <c r="GC38" s="17" t="s">
        <v>870</v>
      </c>
      <c r="GD38" s="17" t="s">
        <v>870</v>
      </c>
      <c r="GE38" s="17" t="s">
        <v>870</v>
      </c>
      <c r="GF38" s="17" t="s">
        <v>870</v>
      </c>
      <c r="GG38" s="17" t="s">
        <v>870</v>
      </c>
      <c r="GH38" s="17" t="s">
        <v>870</v>
      </c>
      <c r="GI38" s="17" t="s">
        <v>870</v>
      </c>
      <c r="GJ38" s="17" t="s">
        <v>870</v>
      </c>
      <c r="GK38" s="17" t="s">
        <v>870</v>
      </c>
      <c r="GL38" s="17" t="s">
        <v>870</v>
      </c>
      <c r="GM38" s="17" t="s">
        <v>870</v>
      </c>
      <c r="GN38" s="17" t="s">
        <v>870</v>
      </c>
      <c r="GO38" s="17" t="s">
        <v>870</v>
      </c>
      <c r="GP38" s="17" t="s">
        <v>870</v>
      </c>
      <c r="GQ38" s="17" t="s">
        <v>870</v>
      </c>
      <c r="GR38" s="17" t="s">
        <v>870</v>
      </c>
      <c r="GS38" s="17" t="s">
        <v>870</v>
      </c>
      <c r="GT38" s="17" t="s">
        <v>870</v>
      </c>
      <c r="GU38" s="17" t="s">
        <v>870</v>
      </c>
      <c r="GV38" s="17" t="s">
        <v>870</v>
      </c>
      <c r="GW38" s="17" t="s">
        <v>870</v>
      </c>
      <c r="GX38" s="17" t="s">
        <v>870</v>
      </c>
      <c r="GY38" s="17" t="s">
        <v>870</v>
      </c>
      <c r="GZ38" s="17" t="s">
        <v>870</v>
      </c>
      <c r="HA38" s="17" t="s">
        <v>870</v>
      </c>
      <c r="HB38" s="17" t="s">
        <v>870</v>
      </c>
      <c r="HC38" s="17" t="s">
        <v>870</v>
      </c>
      <c r="HD38" s="17" t="s">
        <v>870</v>
      </c>
      <c r="HE38" s="17" t="s">
        <v>870</v>
      </c>
      <c r="HF38" s="17" t="s">
        <v>870</v>
      </c>
      <c r="HG38" s="17" t="s">
        <v>870</v>
      </c>
      <c r="HH38" s="17" t="s">
        <v>870</v>
      </c>
      <c r="HI38" s="17" t="s">
        <v>870</v>
      </c>
      <c r="HJ38" s="17" t="s">
        <v>870</v>
      </c>
      <c r="HK38" s="17" t="s">
        <v>870</v>
      </c>
      <c r="HL38" s="17" t="s">
        <v>870</v>
      </c>
      <c r="HM38" s="17" t="s">
        <v>870</v>
      </c>
      <c r="HN38" s="17" t="s">
        <v>870</v>
      </c>
      <c r="HO38" s="17" t="s">
        <v>870</v>
      </c>
      <c r="HP38" s="17" t="s">
        <v>870</v>
      </c>
      <c r="HQ38" s="17" t="s">
        <v>870</v>
      </c>
      <c r="HR38" s="17" t="s">
        <v>870</v>
      </c>
      <c r="HS38" s="17" t="s">
        <v>870</v>
      </c>
      <c r="HT38" s="17" t="s">
        <v>870</v>
      </c>
      <c r="HU38" s="17" t="s">
        <v>870</v>
      </c>
      <c r="HV38" s="17" t="s">
        <v>870</v>
      </c>
      <c r="HW38" s="17" t="s">
        <v>870</v>
      </c>
      <c r="HX38" s="17" t="s">
        <v>870</v>
      </c>
      <c r="HY38" s="17" t="s">
        <v>870</v>
      </c>
      <c r="HZ38" s="17" t="s">
        <v>870</v>
      </c>
      <c r="IA38" s="17" t="s">
        <v>870</v>
      </c>
      <c r="IB38" s="17" t="s">
        <v>870</v>
      </c>
      <c r="IC38" s="17" t="s">
        <v>870</v>
      </c>
      <c r="ID38" s="72" t="s">
        <v>1552</v>
      </c>
      <c r="IE38" s="17" t="s">
        <v>870</v>
      </c>
      <c r="IF38" s="17" t="s">
        <v>870</v>
      </c>
      <c r="IG38" s="17" t="s">
        <v>870</v>
      </c>
      <c r="IH38" s="17" t="s">
        <v>870</v>
      </c>
      <c r="II38" s="17" t="s">
        <v>870</v>
      </c>
      <c r="IJ38" s="17" t="s">
        <v>870</v>
      </c>
      <c r="IK38" s="17" t="s">
        <v>870</v>
      </c>
      <c r="IL38" s="17" t="s">
        <v>870</v>
      </c>
      <c r="IM38" s="17" t="s">
        <v>870</v>
      </c>
      <c r="IN38" s="17" t="s">
        <v>870</v>
      </c>
      <c r="IO38" s="17" t="s">
        <v>870</v>
      </c>
    </row>
    <row r="39" spans="1:249" x14ac:dyDescent="0.25">
      <c r="A39" t="s">
        <v>21</v>
      </c>
      <c r="B39" s="63"/>
      <c r="C39" s="63"/>
      <c r="D39" s="17" t="s">
        <v>870</v>
      </c>
      <c r="E39" s="17" t="s">
        <v>870</v>
      </c>
      <c r="F39" s="62"/>
      <c r="G39" s="63"/>
      <c r="H39" s="63"/>
      <c r="I39" s="63"/>
      <c r="J39" s="63"/>
      <c r="K39" s="63"/>
      <c r="L39" s="62"/>
      <c r="M39" s="63"/>
      <c r="N39" s="63"/>
      <c r="O39" s="63"/>
      <c r="P39" s="63"/>
      <c r="Q39" s="63"/>
      <c r="R39" s="62"/>
      <c r="S39" s="62"/>
      <c r="T39" s="63"/>
      <c r="U39" s="63"/>
      <c r="V39" s="63"/>
      <c r="W39" s="61" t="s">
        <v>2</v>
      </c>
      <c r="X39" s="63"/>
      <c r="Y39" s="63"/>
      <c r="Z39" s="63"/>
      <c r="AA39" s="63"/>
      <c r="AB39" s="62"/>
      <c r="AC39" s="63"/>
      <c r="AD39" s="63"/>
      <c r="AE39" s="63"/>
      <c r="AF39" s="61" t="s">
        <v>2</v>
      </c>
      <c r="AG39" s="63"/>
      <c r="AH39" s="17" t="s">
        <v>870</v>
      </c>
      <c r="AI39" s="17" t="s">
        <v>870</v>
      </c>
      <c r="AJ39" s="63"/>
      <c r="AK39" s="63"/>
      <c r="AL39" s="17" t="s">
        <v>870</v>
      </c>
      <c r="AM39" s="17" t="s">
        <v>870</v>
      </c>
      <c r="AN39" s="17" t="s">
        <v>870</v>
      </c>
      <c r="AO39" s="17" t="s">
        <v>870</v>
      </c>
      <c r="AP39" s="61" t="s">
        <v>2</v>
      </c>
      <c r="AQ39" s="63"/>
      <c r="AR39" s="63"/>
      <c r="AS39" s="63"/>
      <c r="AT39" s="63"/>
      <c r="AU39" s="63"/>
      <c r="AV39" s="17" t="s">
        <v>870</v>
      </c>
      <c r="AW39" s="17" t="s">
        <v>870</v>
      </c>
      <c r="AX39" s="17" t="s">
        <v>870</v>
      </c>
      <c r="AY39" s="17" t="s">
        <v>870</v>
      </c>
      <c r="AZ39" s="17" t="s">
        <v>870</v>
      </c>
      <c r="BA39" s="17" t="s">
        <v>870</v>
      </c>
      <c r="BB39" s="17" t="s">
        <v>870</v>
      </c>
      <c r="BC39" s="17" t="s">
        <v>870</v>
      </c>
      <c r="BD39" s="17" t="s">
        <v>870</v>
      </c>
      <c r="BE39" s="17" t="s">
        <v>870</v>
      </c>
      <c r="BF39" s="17" t="s">
        <v>870</v>
      </c>
      <c r="BG39" s="17" t="s">
        <v>870</v>
      </c>
      <c r="BH39" s="17" t="s">
        <v>870</v>
      </c>
      <c r="BI39" s="17" t="s">
        <v>870</v>
      </c>
      <c r="BJ39" s="17" t="s">
        <v>870</v>
      </c>
      <c r="BK39" s="17" t="s">
        <v>870</v>
      </c>
      <c r="BL39" s="17" t="s">
        <v>870</v>
      </c>
      <c r="BM39" s="17" t="s">
        <v>870</v>
      </c>
      <c r="BN39" s="17" t="s">
        <v>870</v>
      </c>
      <c r="BO39" s="17" t="s">
        <v>870</v>
      </c>
      <c r="BP39" s="17" t="s">
        <v>870</v>
      </c>
      <c r="BQ39" s="17" t="s">
        <v>870</v>
      </c>
      <c r="BR39" s="17" t="s">
        <v>870</v>
      </c>
      <c r="BS39" s="17" t="s">
        <v>870</v>
      </c>
      <c r="BT39" s="17" t="s">
        <v>870</v>
      </c>
      <c r="BU39" s="17" t="s">
        <v>870</v>
      </c>
      <c r="BV39" s="17" t="s">
        <v>870</v>
      </c>
      <c r="BW39" s="17" t="s">
        <v>870</v>
      </c>
      <c r="BX39" s="17" t="s">
        <v>870</v>
      </c>
      <c r="BY39" s="17" t="s">
        <v>870</v>
      </c>
      <c r="BZ39" s="17" t="s">
        <v>870</v>
      </c>
      <c r="CA39" s="17" t="s">
        <v>870</v>
      </c>
      <c r="CB39" s="17" t="s">
        <v>870</v>
      </c>
      <c r="CC39" s="17" t="s">
        <v>870</v>
      </c>
      <c r="CD39" s="17" t="s">
        <v>870</v>
      </c>
      <c r="CE39" s="17" t="s">
        <v>870</v>
      </c>
      <c r="CF39" s="17" t="s">
        <v>870</v>
      </c>
      <c r="CG39" s="17" t="s">
        <v>870</v>
      </c>
      <c r="CH39" s="17" t="s">
        <v>870</v>
      </c>
      <c r="CI39" s="17" t="s">
        <v>870</v>
      </c>
      <c r="CJ39" s="17" t="s">
        <v>870</v>
      </c>
      <c r="CK39" s="17" t="s">
        <v>870</v>
      </c>
      <c r="CL39" s="17" t="s">
        <v>870</v>
      </c>
      <c r="CM39" s="17" t="s">
        <v>870</v>
      </c>
      <c r="CN39" s="17" t="s">
        <v>870</v>
      </c>
      <c r="CO39" s="17" t="s">
        <v>870</v>
      </c>
      <c r="CP39" s="17" t="s">
        <v>870</v>
      </c>
      <c r="CQ39" s="17" t="s">
        <v>870</v>
      </c>
      <c r="CR39" s="17" t="s">
        <v>870</v>
      </c>
      <c r="CS39" s="17" t="s">
        <v>870</v>
      </c>
      <c r="CT39" s="17" t="s">
        <v>870</v>
      </c>
      <c r="CU39" s="17" t="s">
        <v>870</v>
      </c>
      <c r="CV39" s="17" t="s">
        <v>870</v>
      </c>
      <c r="CW39" s="17" t="s">
        <v>870</v>
      </c>
      <c r="CX39" s="17" t="s">
        <v>870</v>
      </c>
      <c r="CY39" s="17" t="s">
        <v>870</v>
      </c>
      <c r="CZ39" s="17" t="s">
        <v>870</v>
      </c>
      <c r="DA39" s="17" t="s">
        <v>870</v>
      </c>
      <c r="DB39" s="17" t="s">
        <v>870</v>
      </c>
      <c r="DC39" s="17" t="s">
        <v>870</v>
      </c>
      <c r="DD39" s="17" t="s">
        <v>870</v>
      </c>
      <c r="DE39" s="17" t="s">
        <v>870</v>
      </c>
      <c r="DF39" s="17" t="s">
        <v>870</v>
      </c>
      <c r="DG39" s="17" t="s">
        <v>870</v>
      </c>
      <c r="DH39" s="17" t="s">
        <v>870</v>
      </c>
      <c r="DI39" s="17" t="s">
        <v>870</v>
      </c>
      <c r="DJ39" s="17" t="s">
        <v>870</v>
      </c>
      <c r="DK39" s="17" t="s">
        <v>870</v>
      </c>
      <c r="DL39" s="17" t="s">
        <v>870</v>
      </c>
      <c r="DM39" s="17" t="s">
        <v>870</v>
      </c>
      <c r="DN39" s="17" t="s">
        <v>870</v>
      </c>
      <c r="DO39" s="17" t="s">
        <v>870</v>
      </c>
      <c r="DP39" s="17" t="s">
        <v>870</v>
      </c>
      <c r="DQ39" s="17" t="s">
        <v>870</v>
      </c>
      <c r="DR39" s="17" t="s">
        <v>870</v>
      </c>
      <c r="DS39" s="17" t="s">
        <v>870</v>
      </c>
      <c r="DT39" s="17" t="s">
        <v>870</v>
      </c>
      <c r="DU39" s="17" t="s">
        <v>870</v>
      </c>
      <c r="DV39" s="17" t="s">
        <v>870</v>
      </c>
      <c r="DW39" s="17" t="s">
        <v>870</v>
      </c>
      <c r="DX39" s="17" t="s">
        <v>870</v>
      </c>
      <c r="DY39" s="17" t="s">
        <v>870</v>
      </c>
      <c r="DZ39" s="17" t="s">
        <v>870</v>
      </c>
      <c r="EA39" s="17" t="s">
        <v>870</v>
      </c>
      <c r="EB39" s="17" t="s">
        <v>870</v>
      </c>
      <c r="EC39" s="17" t="s">
        <v>870</v>
      </c>
      <c r="ED39" s="17" t="s">
        <v>870</v>
      </c>
      <c r="EE39" s="17" t="s">
        <v>870</v>
      </c>
      <c r="EF39" s="17" t="s">
        <v>870</v>
      </c>
      <c r="EG39" s="17" t="s">
        <v>870</v>
      </c>
      <c r="EH39" s="17" t="s">
        <v>870</v>
      </c>
      <c r="EI39" s="17" t="s">
        <v>870</v>
      </c>
      <c r="EJ39" s="17" t="s">
        <v>870</v>
      </c>
      <c r="EK39" s="17" t="s">
        <v>870</v>
      </c>
      <c r="EL39" s="17" t="s">
        <v>870</v>
      </c>
      <c r="EM39" s="17" t="s">
        <v>870</v>
      </c>
      <c r="EN39" s="17" t="s">
        <v>870</v>
      </c>
      <c r="EO39" s="17" t="s">
        <v>870</v>
      </c>
      <c r="EP39" s="17" t="s">
        <v>870</v>
      </c>
      <c r="EQ39" s="17" t="s">
        <v>870</v>
      </c>
      <c r="ER39" s="17" t="s">
        <v>870</v>
      </c>
      <c r="ES39" s="17" t="s">
        <v>870</v>
      </c>
      <c r="ET39" s="17" t="s">
        <v>870</v>
      </c>
      <c r="EU39" s="17" t="s">
        <v>870</v>
      </c>
      <c r="EV39" s="17" t="s">
        <v>870</v>
      </c>
      <c r="EW39" s="17" t="s">
        <v>870</v>
      </c>
      <c r="EX39" s="17" t="s">
        <v>870</v>
      </c>
      <c r="EY39" s="17" t="s">
        <v>870</v>
      </c>
      <c r="EZ39" s="17" t="s">
        <v>870</v>
      </c>
      <c r="FA39" s="17" t="s">
        <v>870</v>
      </c>
      <c r="FB39" s="17" t="s">
        <v>870</v>
      </c>
      <c r="FC39" s="17" t="s">
        <v>870</v>
      </c>
      <c r="FD39" s="17" t="s">
        <v>870</v>
      </c>
      <c r="FE39" s="17" t="s">
        <v>870</v>
      </c>
      <c r="FF39" s="17" t="s">
        <v>870</v>
      </c>
      <c r="FG39" s="17" t="s">
        <v>870</v>
      </c>
      <c r="FH39" s="17" t="s">
        <v>870</v>
      </c>
      <c r="FI39" s="17" t="s">
        <v>870</v>
      </c>
      <c r="FJ39" s="17" t="s">
        <v>870</v>
      </c>
      <c r="FK39" s="17" t="s">
        <v>870</v>
      </c>
      <c r="FL39" s="17" t="s">
        <v>870</v>
      </c>
      <c r="FM39" s="17" t="s">
        <v>870</v>
      </c>
      <c r="FN39" s="17" t="s">
        <v>870</v>
      </c>
      <c r="FO39" s="17" t="s">
        <v>870</v>
      </c>
      <c r="FP39" s="17" t="s">
        <v>870</v>
      </c>
      <c r="FQ39" s="17" t="s">
        <v>870</v>
      </c>
      <c r="FR39" s="17" t="s">
        <v>870</v>
      </c>
      <c r="FS39" s="17" t="s">
        <v>870</v>
      </c>
      <c r="FT39" s="17" t="s">
        <v>870</v>
      </c>
      <c r="FU39" s="17" t="s">
        <v>870</v>
      </c>
      <c r="FV39" s="17" t="s">
        <v>870</v>
      </c>
      <c r="FW39" s="17" t="s">
        <v>870</v>
      </c>
      <c r="FX39" s="17" t="s">
        <v>870</v>
      </c>
      <c r="FY39" s="17" t="s">
        <v>870</v>
      </c>
      <c r="FZ39" s="17" t="s">
        <v>870</v>
      </c>
      <c r="GA39" s="17" t="s">
        <v>870</v>
      </c>
      <c r="GB39" s="17" t="s">
        <v>870</v>
      </c>
      <c r="GC39" s="17" t="s">
        <v>870</v>
      </c>
      <c r="GD39" s="17" t="s">
        <v>870</v>
      </c>
      <c r="GE39" s="17" t="s">
        <v>870</v>
      </c>
      <c r="GF39" s="17" t="s">
        <v>870</v>
      </c>
      <c r="GG39" s="17" t="s">
        <v>870</v>
      </c>
      <c r="GH39" s="17" t="s">
        <v>870</v>
      </c>
      <c r="GI39" s="17" t="s">
        <v>870</v>
      </c>
      <c r="GJ39" s="17" t="s">
        <v>870</v>
      </c>
      <c r="GK39" s="17" t="s">
        <v>870</v>
      </c>
      <c r="GL39" s="17" t="s">
        <v>870</v>
      </c>
      <c r="GM39" s="17" t="s">
        <v>870</v>
      </c>
      <c r="GN39" s="17" t="s">
        <v>870</v>
      </c>
      <c r="GO39" s="17" t="s">
        <v>870</v>
      </c>
      <c r="GP39" s="17" t="s">
        <v>870</v>
      </c>
      <c r="GQ39" s="17" t="s">
        <v>870</v>
      </c>
      <c r="GR39" s="17" t="s">
        <v>870</v>
      </c>
      <c r="GS39" s="17" t="s">
        <v>870</v>
      </c>
      <c r="GT39" s="17" t="s">
        <v>870</v>
      </c>
      <c r="GU39" s="17" t="s">
        <v>870</v>
      </c>
      <c r="GV39" s="17" t="s">
        <v>870</v>
      </c>
      <c r="GW39" s="17" t="s">
        <v>870</v>
      </c>
      <c r="GX39" s="17" t="s">
        <v>870</v>
      </c>
      <c r="GY39" s="17" t="s">
        <v>870</v>
      </c>
      <c r="GZ39" s="17" t="s">
        <v>870</v>
      </c>
      <c r="HA39" s="17" t="s">
        <v>870</v>
      </c>
      <c r="HB39" s="17" t="s">
        <v>870</v>
      </c>
      <c r="HC39" s="17" t="s">
        <v>870</v>
      </c>
      <c r="HD39" s="17" t="s">
        <v>870</v>
      </c>
      <c r="HE39" s="17" t="s">
        <v>870</v>
      </c>
      <c r="HF39" s="17" t="s">
        <v>870</v>
      </c>
      <c r="HG39" s="17" t="s">
        <v>870</v>
      </c>
      <c r="HH39" s="17" t="s">
        <v>870</v>
      </c>
      <c r="HI39" s="17" t="s">
        <v>870</v>
      </c>
      <c r="HJ39" s="17" t="s">
        <v>870</v>
      </c>
      <c r="HK39" s="17" t="s">
        <v>870</v>
      </c>
      <c r="HL39" s="17" t="s">
        <v>870</v>
      </c>
      <c r="HM39" s="17" t="s">
        <v>870</v>
      </c>
      <c r="HN39" s="17" t="s">
        <v>870</v>
      </c>
      <c r="HO39" s="17" t="s">
        <v>870</v>
      </c>
      <c r="HP39" s="17" t="s">
        <v>870</v>
      </c>
      <c r="HQ39" s="17" t="s">
        <v>870</v>
      </c>
      <c r="HR39" s="17" t="s">
        <v>870</v>
      </c>
      <c r="HS39" s="17" t="s">
        <v>870</v>
      </c>
      <c r="HT39" s="17" t="s">
        <v>870</v>
      </c>
      <c r="HU39" s="17" t="s">
        <v>870</v>
      </c>
      <c r="HV39" s="17" t="s">
        <v>870</v>
      </c>
      <c r="HW39" s="17" t="s">
        <v>870</v>
      </c>
      <c r="HX39" s="17" t="s">
        <v>870</v>
      </c>
      <c r="HY39" s="17" t="s">
        <v>870</v>
      </c>
      <c r="HZ39" s="17" t="s">
        <v>870</v>
      </c>
      <c r="IA39" s="17" t="s">
        <v>870</v>
      </c>
      <c r="IB39" s="17" t="s">
        <v>870</v>
      </c>
      <c r="IC39" s="17" t="s">
        <v>870</v>
      </c>
      <c r="ID39" s="72" t="s">
        <v>1552</v>
      </c>
      <c r="IE39" s="17" t="s">
        <v>870</v>
      </c>
      <c r="IF39" s="17" t="s">
        <v>870</v>
      </c>
      <c r="IG39" s="17" t="s">
        <v>870</v>
      </c>
      <c r="IH39" s="17" t="s">
        <v>870</v>
      </c>
      <c r="II39" s="17" t="s">
        <v>870</v>
      </c>
      <c r="IJ39" s="17" t="s">
        <v>870</v>
      </c>
      <c r="IK39" s="17" t="s">
        <v>870</v>
      </c>
      <c r="IL39" s="17" t="s">
        <v>870</v>
      </c>
      <c r="IM39" s="17" t="s">
        <v>870</v>
      </c>
      <c r="IN39" s="17" t="s">
        <v>870</v>
      </c>
      <c r="IO39" s="17" t="s">
        <v>870</v>
      </c>
    </row>
    <row r="40" spans="1:249" x14ac:dyDescent="0.25">
      <c r="A40" t="s">
        <v>437</v>
      </c>
      <c r="B40" s="17" t="s">
        <v>870</v>
      </c>
      <c r="C40" s="17" t="s">
        <v>870</v>
      </c>
      <c r="D40" s="17" t="s">
        <v>870</v>
      </c>
      <c r="E40" s="17" t="s">
        <v>870</v>
      </c>
      <c r="F40" s="17" t="s">
        <v>870</v>
      </c>
      <c r="G40" s="17" t="s">
        <v>870</v>
      </c>
      <c r="H40" s="17" t="s">
        <v>870</v>
      </c>
      <c r="I40" s="17" t="s">
        <v>870</v>
      </c>
      <c r="J40" s="17" t="s">
        <v>870</v>
      </c>
      <c r="K40" s="17" t="s">
        <v>870</v>
      </c>
      <c r="L40" s="17" t="s">
        <v>870</v>
      </c>
      <c r="M40" s="17" t="s">
        <v>870</v>
      </c>
      <c r="N40" s="17" t="s">
        <v>870</v>
      </c>
      <c r="O40" s="17" t="s">
        <v>870</v>
      </c>
      <c r="P40" s="17" t="s">
        <v>870</v>
      </c>
      <c r="Q40" s="17" t="s">
        <v>870</v>
      </c>
      <c r="R40" s="17" t="s">
        <v>870</v>
      </c>
      <c r="S40" s="17" t="s">
        <v>870</v>
      </c>
      <c r="T40" s="17" t="s">
        <v>870</v>
      </c>
      <c r="U40" s="17" t="s">
        <v>870</v>
      </c>
      <c r="V40" s="17" t="s">
        <v>870</v>
      </c>
      <c r="W40" s="17" t="s">
        <v>870</v>
      </c>
      <c r="X40" s="17" t="s">
        <v>870</v>
      </c>
      <c r="Y40" s="17" t="s">
        <v>870</v>
      </c>
      <c r="Z40" s="17" t="s">
        <v>870</v>
      </c>
      <c r="AA40" s="17" t="s">
        <v>870</v>
      </c>
      <c r="AB40" s="17" t="s">
        <v>870</v>
      </c>
      <c r="AC40" s="17" t="s">
        <v>870</v>
      </c>
      <c r="AD40" s="17" t="s">
        <v>870</v>
      </c>
      <c r="AE40" s="17" t="s">
        <v>870</v>
      </c>
      <c r="AF40" s="17" t="s">
        <v>870</v>
      </c>
      <c r="AG40" s="17" t="s">
        <v>870</v>
      </c>
      <c r="AH40" s="17" t="s">
        <v>870</v>
      </c>
      <c r="AI40" s="17" t="s">
        <v>870</v>
      </c>
      <c r="AJ40" s="17" t="s">
        <v>870</v>
      </c>
      <c r="AK40" s="17" t="s">
        <v>870</v>
      </c>
      <c r="AL40" s="17" t="s">
        <v>870</v>
      </c>
      <c r="AM40" s="17" t="s">
        <v>870</v>
      </c>
      <c r="AN40" s="17" t="s">
        <v>870</v>
      </c>
      <c r="AO40" s="17" t="s">
        <v>870</v>
      </c>
      <c r="AP40" s="17" t="s">
        <v>870</v>
      </c>
      <c r="AQ40" s="17" t="s">
        <v>870</v>
      </c>
      <c r="AR40" s="17" t="s">
        <v>870</v>
      </c>
      <c r="AS40" s="17" t="s">
        <v>870</v>
      </c>
      <c r="AT40" s="17" t="s">
        <v>870</v>
      </c>
      <c r="AU40" s="17" t="s">
        <v>870</v>
      </c>
      <c r="AV40" s="17" t="s">
        <v>870</v>
      </c>
      <c r="AW40" s="17" t="s">
        <v>870</v>
      </c>
      <c r="AX40" s="17" t="s">
        <v>870</v>
      </c>
      <c r="AY40" s="17" t="s">
        <v>870</v>
      </c>
      <c r="AZ40" s="17" t="s">
        <v>870</v>
      </c>
      <c r="BA40" s="17" t="s">
        <v>870</v>
      </c>
      <c r="BB40" s="17" t="s">
        <v>870</v>
      </c>
      <c r="BC40" s="17" t="s">
        <v>870</v>
      </c>
      <c r="BD40" s="17" t="s">
        <v>870</v>
      </c>
      <c r="BE40" s="17" t="s">
        <v>870</v>
      </c>
      <c r="BF40" s="17" t="s">
        <v>870</v>
      </c>
      <c r="BG40" s="17" t="s">
        <v>870</v>
      </c>
      <c r="BH40" s="17" t="s">
        <v>870</v>
      </c>
      <c r="BI40" s="17" t="s">
        <v>870</v>
      </c>
      <c r="BJ40" s="17" t="s">
        <v>870</v>
      </c>
      <c r="BK40" s="17" t="s">
        <v>870</v>
      </c>
      <c r="BL40" s="17" t="s">
        <v>870</v>
      </c>
      <c r="BM40" s="17" t="s">
        <v>870</v>
      </c>
      <c r="BN40" s="17" t="s">
        <v>870</v>
      </c>
      <c r="BO40" s="17" t="s">
        <v>870</v>
      </c>
      <c r="BP40" s="17" t="s">
        <v>870</v>
      </c>
      <c r="BQ40" s="17" t="s">
        <v>870</v>
      </c>
      <c r="BR40" s="17" t="s">
        <v>870</v>
      </c>
      <c r="BS40" s="17" t="s">
        <v>870</v>
      </c>
      <c r="BT40" s="17" t="s">
        <v>870</v>
      </c>
      <c r="BU40" s="17" t="s">
        <v>870</v>
      </c>
      <c r="BV40" s="17" t="s">
        <v>870</v>
      </c>
      <c r="BW40" s="17" t="s">
        <v>870</v>
      </c>
      <c r="BX40" s="17" t="s">
        <v>870</v>
      </c>
      <c r="BY40" s="17" t="s">
        <v>870</v>
      </c>
      <c r="BZ40" s="17" t="s">
        <v>870</v>
      </c>
      <c r="CA40" s="17" t="s">
        <v>870</v>
      </c>
      <c r="CB40" s="17" t="s">
        <v>870</v>
      </c>
      <c r="CC40" s="17" t="s">
        <v>870</v>
      </c>
      <c r="CD40" s="17" t="s">
        <v>870</v>
      </c>
      <c r="CE40" s="17" t="s">
        <v>870</v>
      </c>
      <c r="CF40" s="17" t="s">
        <v>870</v>
      </c>
      <c r="CG40" s="17" t="s">
        <v>870</v>
      </c>
      <c r="CH40" s="17" t="s">
        <v>870</v>
      </c>
      <c r="CI40" s="17" t="s">
        <v>870</v>
      </c>
      <c r="CJ40" s="17" t="s">
        <v>870</v>
      </c>
      <c r="CK40" s="17" t="s">
        <v>870</v>
      </c>
      <c r="CL40" s="17" t="s">
        <v>870</v>
      </c>
      <c r="CM40" s="17" t="s">
        <v>870</v>
      </c>
      <c r="CN40" s="17" t="s">
        <v>870</v>
      </c>
      <c r="CO40" s="17" t="s">
        <v>870</v>
      </c>
      <c r="CP40" s="17" t="s">
        <v>870</v>
      </c>
      <c r="CQ40" s="17" t="s">
        <v>870</v>
      </c>
      <c r="CR40" s="17" t="s">
        <v>870</v>
      </c>
      <c r="CS40" s="17" t="s">
        <v>870</v>
      </c>
      <c r="CT40" s="17" t="s">
        <v>870</v>
      </c>
      <c r="CU40" s="17" t="s">
        <v>870</v>
      </c>
      <c r="CV40" s="17" t="s">
        <v>870</v>
      </c>
      <c r="CW40" s="17" t="s">
        <v>870</v>
      </c>
      <c r="CX40" s="17" t="s">
        <v>870</v>
      </c>
      <c r="CY40" s="17" t="s">
        <v>870</v>
      </c>
      <c r="CZ40" s="17" t="s">
        <v>870</v>
      </c>
      <c r="DA40" s="17" t="s">
        <v>870</v>
      </c>
      <c r="DB40" s="17" t="s">
        <v>870</v>
      </c>
      <c r="DC40" s="17" t="s">
        <v>870</v>
      </c>
      <c r="DD40" s="17" t="s">
        <v>870</v>
      </c>
      <c r="DE40" s="17" t="s">
        <v>870</v>
      </c>
      <c r="DF40" s="17" t="s">
        <v>870</v>
      </c>
      <c r="DG40" s="17" t="s">
        <v>870</v>
      </c>
      <c r="DH40" s="17" t="s">
        <v>870</v>
      </c>
      <c r="DI40" s="17" t="s">
        <v>870</v>
      </c>
      <c r="DJ40" s="17" t="s">
        <v>870</v>
      </c>
      <c r="DK40" s="17" t="s">
        <v>870</v>
      </c>
      <c r="DL40" s="17" t="s">
        <v>870</v>
      </c>
      <c r="DM40" s="17" t="s">
        <v>870</v>
      </c>
      <c r="DN40" s="17" t="s">
        <v>870</v>
      </c>
      <c r="DO40" s="17" t="s">
        <v>870</v>
      </c>
      <c r="DP40" s="17" t="s">
        <v>870</v>
      </c>
      <c r="DQ40" s="17" t="s">
        <v>870</v>
      </c>
      <c r="DR40" s="17" t="s">
        <v>870</v>
      </c>
      <c r="DS40" s="17" t="s">
        <v>870</v>
      </c>
      <c r="DT40" s="17" t="s">
        <v>870</v>
      </c>
      <c r="DU40" s="17" t="s">
        <v>870</v>
      </c>
      <c r="DV40" s="17" t="s">
        <v>870</v>
      </c>
      <c r="DW40" s="17" t="s">
        <v>870</v>
      </c>
      <c r="DX40" s="17" t="s">
        <v>870</v>
      </c>
      <c r="DY40" s="17" t="s">
        <v>870</v>
      </c>
      <c r="DZ40" s="17" t="s">
        <v>870</v>
      </c>
      <c r="EA40" s="17" t="s">
        <v>870</v>
      </c>
      <c r="EB40" s="17" t="s">
        <v>870</v>
      </c>
      <c r="EC40" s="17" t="s">
        <v>870</v>
      </c>
      <c r="ED40" s="17" t="s">
        <v>870</v>
      </c>
      <c r="EE40" s="17" t="s">
        <v>870</v>
      </c>
      <c r="EF40" s="17" t="s">
        <v>870</v>
      </c>
      <c r="EG40" s="17" t="s">
        <v>870</v>
      </c>
      <c r="EH40" s="17" t="s">
        <v>870</v>
      </c>
      <c r="EI40" s="17" t="s">
        <v>870</v>
      </c>
      <c r="EJ40" s="17" t="s">
        <v>870</v>
      </c>
      <c r="EK40" s="17" t="s">
        <v>870</v>
      </c>
      <c r="EL40" s="17" t="s">
        <v>870</v>
      </c>
      <c r="EM40" s="17" t="s">
        <v>870</v>
      </c>
      <c r="EN40" s="17" t="s">
        <v>870</v>
      </c>
      <c r="EO40" s="17" t="s">
        <v>870</v>
      </c>
      <c r="EP40" s="17" t="s">
        <v>870</v>
      </c>
      <c r="EQ40" s="17" t="s">
        <v>870</v>
      </c>
      <c r="ER40" s="17" t="s">
        <v>870</v>
      </c>
      <c r="ES40" s="17" t="s">
        <v>870</v>
      </c>
      <c r="ET40" s="17" t="s">
        <v>870</v>
      </c>
      <c r="EU40" s="17" t="s">
        <v>870</v>
      </c>
      <c r="EV40" s="17" t="s">
        <v>870</v>
      </c>
      <c r="EW40" s="17" t="s">
        <v>870</v>
      </c>
      <c r="EX40" s="17" t="s">
        <v>870</v>
      </c>
      <c r="EY40" s="17" t="s">
        <v>870</v>
      </c>
      <c r="EZ40" s="17" t="s">
        <v>870</v>
      </c>
      <c r="FA40" s="17" t="s">
        <v>870</v>
      </c>
      <c r="FB40" s="17" t="s">
        <v>870</v>
      </c>
      <c r="FC40" s="17" t="s">
        <v>870</v>
      </c>
      <c r="FD40" s="17" t="s">
        <v>870</v>
      </c>
      <c r="FE40" s="17" t="s">
        <v>870</v>
      </c>
      <c r="FF40" s="17" t="s">
        <v>870</v>
      </c>
      <c r="FG40" s="17" t="s">
        <v>870</v>
      </c>
      <c r="FH40" s="17" t="s">
        <v>870</v>
      </c>
      <c r="FI40" s="17" t="s">
        <v>870</v>
      </c>
      <c r="FJ40" s="17" t="s">
        <v>870</v>
      </c>
      <c r="FK40" s="17" t="s">
        <v>870</v>
      </c>
      <c r="FL40" s="61" t="s">
        <v>2</v>
      </c>
      <c r="FM40" s="63"/>
      <c r="FN40" s="61" t="s">
        <v>2</v>
      </c>
      <c r="FO40" s="62"/>
      <c r="FP40" s="63"/>
      <c r="FQ40" s="63"/>
      <c r="FR40" s="17" t="s">
        <v>870</v>
      </c>
      <c r="FS40" s="17" t="s">
        <v>870</v>
      </c>
      <c r="FT40" s="17" t="s">
        <v>870</v>
      </c>
      <c r="FU40" s="17" t="s">
        <v>870</v>
      </c>
      <c r="FV40" s="17" t="s">
        <v>870</v>
      </c>
      <c r="FW40" s="17" t="s">
        <v>870</v>
      </c>
      <c r="FX40" s="17" t="s">
        <v>870</v>
      </c>
      <c r="FY40" s="17" t="s">
        <v>870</v>
      </c>
      <c r="FZ40" s="17" t="s">
        <v>870</v>
      </c>
      <c r="GA40" s="17" t="s">
        <v>870</v>
      </c>
      <c r="GB40" s="63"/>
      <c r="GC40" s="61" t="s">
        <v>2</v>
      </c>
      <c r="GD40" s="61" t="s">
        <v>2</v>
      </c>
      <c r="GE40" s="63"/>
      <c r="GF40" s="17" t="s">
        <v>870</v>
      </c>
      <c r="GG40" s="17" t="s">
        <v>870</v>
      </c>
      <c r="GH40" s="63"/>
      <c r="GI40" s="17" t="s">
        <v>870</v>
      </c>
      <c r="GJ40" s="17" t="s">
        <v>870</v>
      </c>
      <c r="GK40" s="17" t="s">
        <v>870</v>
      </c>
      <c r="GL40" s="17" t="s">
        <v>870</v>
      </c>
      <c r="GM40" s="17" t="s">
        <v>870</v>
      </c>
      <c r="GN40" s="17" t="s">
        <v>870</v>
      </c>
      <c r="GO40" s="17" t="s">
        <v>870</v>
      </c>
      <c r="GP40" s="17" t="s">
        <v>870</v>
      </c>
      <c r="GQ40" s="17" t="s">
        <v>870</v>
      </c>
      <c r="GR40" s="17" t="s">
        <v>870</v>
      </c>
      <c r="GS40" s="17" t="s">
        <v>870</v>
      </c>
      <c r="GT40" s="17" t="s">
        <v>870</v>
      </c>
      <c r="GU40" s="17" t="s">
        <v>870</v>
      </c>
      <c r="GV40" s="17" t="s">
        <v>870</v>
      </c>
      <c r="GW40" s="17" t="s">
        <v>870</v>
      </c>
      <c r="GX40" s="17" t="s">
        <v>870</v>
      </c>
      <c r="GY40" s="17" t="s">
        <v>870</v>
      </c>
      <c r="GZ40" s="17" t="s">
        <v>870</v>
      </c>
      <c r="HA40" s="17" t="s">
        <v>870</v>
      </c>
      <c r="HB40" s="17" t="s">
        <v>870</v>
      </c>
      <c r="HC40" s="17" t="s">
        <v>870</v>
      </c>
      <c r="HD40" s="17" t="s">
        <v>870</v>
      </c>
      <c r="HE40" s="17" t="s">
        <v>870</v>
      </c>
      <c r="HF40" s="17" t="s">
        <v>870</v>
      </c>
      <c r="HG40" s="17" t="s">
        <v>870</v>
      </c>
      <c r="HH40" s="17" t="s">
        <v>870</v>
      </c>
      <c r="HI40" s="17" t="s">
        <v>870</v>
      </c>
      <c r="HJ40" s="17" t="s">
        <v>870</v>
      </c>
      <c r="HK40" s="17" t="s">
        <v>870</v>
      </c>
      <c r="HL40" s="17" t="s">
        <v>870</v>
      </c>
      <c r="HM40" s="17" t="s">
        <v>870</v>
      </c>
      <c r="HN40" s="17" t="s">
        <v>870</v>
      </c>
      <c r="HO40" s="17" t="s">
        <v>870</v>
      </c>
      <c r="HP40" s="17" t="s">
        <v>870</v>
      </c>
      <c r="HQ40" s="17" t="s">
        <v>870</v>
      </c>
      <c r="HR40" s="17" t="s">
        <v>870</v>
      </c>
      <c r="HS40" s="17" t="s">
        <v>870</v>
      </c>
      <c r="HT40" s="17" t="s">
        <v>870</v>
      </c>
      <c r="HU40" s="17" t="s">
        <v>870</v>
      </c>
      <c r="HV40" s="17" t="s">
        <v>870</v>
      </c>
      <c r="HW40" s="17" t="s">
        <v>870</v>
      </c>
      <c r="HX40" s="17" t="s">
        <v>870</v>
      </c>
      <c r="HY40" s="17" t="s">
        <v>870</v>
      </c>
      <c r="HZ40" s="17" t="s">
        <v>870</v>
      </c>
      <c r="IA40" s="17" t="s">
        <v>870</v>
      </c>
      <c r="IB40" s="17" t="s">
        <v>870</v>
      </c>
      <c r="IC40" s="17" t="s">
        <v>870</v>
      </c>
      <c r="ID40" s="72" t="s">
        <v>1552</v>
      </c>
      <c r="IE40" s="17" t="s">
        <v>870</v>
      </c>
      <c r="IF40" s="17" t="s">
        <v>870</v>
      </c>
      <c r="IG40" s="17" t="s">
        <v>870</v>
      </c>
      <c r="IH40" s="17" t="s">
        <v>870</v>
      </c>
      <c r="II40" s="17" t="s">
        <v>870</v>
      </c>
      <c r="IJ40" s="17" t="s">
        <v>870</v>
      </c>
      <c r="IK40" s="17" t="s">
        <v>870</v>
      </c>
      <c r="IL40" s="17" t="s">
        <v>870</v>
      </c>
      <c r="IM40" s="17" t="s">
        <v>870</v>
      </c>
      <c r="IN40" s="17" t="s">
        <v>870</v>
      </c>
      <c r="IO40" s="17" t="s">
        <v>870</v>
      </c>
    </row>
    <row r="41" spans="1:249" x14ac:dyDescent="0.25">
      <c r="A41" t="s">
        <v>254</v>
      </c>
      <c r="B41" s="17" t="s">
        <v>870</v>
      </c>
      <c r="C41" s="17" t="s">
        <v>870</v>
      </c>
      <c r="D41" s="17" t="s">
        <v>870</v>
      </c>
      <c r="E41" s="17" t="s">
        <v>870</v>
      </c>
      <c r="F41" s="17" t="s">
        <v>870</v>
      </c>
      <c r="G41" s="17" t="s">
        <v>870</v>
      </c>
      <c r="H41" s="17" t="s">
        <v>870</v>
      </c>
      <c r="I41" s="17" t="s">
        <v>870</v>
      </c>
      <c r="J41" s="17" t="s">
        <v>870</v>
      </c>
      <c r="K41" s="17" t="s">
        <v>870</v>
      </c>
      <c r="L41" s="17" t="s">
        <v>870</v>
      </c>
      <c r="M41" s="17" t="s">
        <v>870</v>
      </c>
      <c r="N41" s="17" t="s">
        <v>870</v>
      </c>
      <c r="O41" s="17" t="s">
        <v>870</v>
      </c>
      <c r="P41" s="17" t="s">
        <v>870</v>
      </c>
      <c r="Q41" s="17" t="s">
        <v>870</v>
      </c>
      <c r="R41" s="17" t="s">
        <v>870</v>
      </c>
      <c r="S41" s="17" t="s">
        <v>870</v>
      </c>
      <c r="T41" s="17" t="s">
        <v>870</v>
      </c>
      <c r="U41" s="17" t="s">
        <v>870</v>
      </c>
      <c r="V41" s="17" t="s">
        <v>870</v>
      </c>
      <c r="W41" s="17" t="s">
        <v>870</v>
      </c>
      <c r="X41" s="17" t="s">
        <v>870</v>
      </c>
      <c r="Y41" s="17" t="s">
        <v>870</v>
      </c>
      <c r="Z41" s="17" t="s">
        <v>870</v>
      </c>
      <c r="AA41" s="17" t="s">
        <v>870</v>
      </c>
      <c r="AB41" s="17" t="s">
        <v>870</v>
      </c>
      <c r="AC41" s="17" t="s">
        <v>870</v>
      </c>
      <c r="AD41" s="17" t="s">
        <v>870</v>
      </c>
      <c r="AE41" s="17" t="s">
        <v>870</v>
      </c>
      <c r="AF41" s="17" t="s">
        <v>870</v>
      </c>
      <c r="AG41" s="17" t="s">
        <v>870</v>
      </c>
      <c r="AH41" s="17" t="s">
        <v>870</v>
      </c>
      <c r="AI41" s="17" t="s">
        <v>870</v>
      </c>
      <c r="AJ41" s="17" t="s">
        <v>870</v>
      </c>
      <c r="AK41" s="17" t="s">
        <v>870</v>
      </c>
      <c r="AL41" s="17" t="s">
        <v>870</v>
      </c>
      <c r="AM41" s="17" t="s">
        <v>870</v>
      </c>
      <c r="AN41" s="17" t="s">
        <v>870</v>
      </c>
      <c r="AO41" s="17" t="s">
        <v>870</v>
      </c>
      <c r="AP41" s="17" t="s">
        <v>870</v>
      </c>
      <c r="AQ41" s="17" t="s">
        <v>870</v>
      </c>
      <c r="AR41" s="17" t="s">
        <v>870</v>
      </c>
      <c r="AS41" s="17" t="s">
        <v>870</v>
      </c>
      <c r="AT41" s="17" t="s">
        <v>870</v>
      </c>
      <c r="AU41" s="17" t="s">
        <v>870</v>
      </c>
      <c r="AV41" s="17" t="s">
        <v>870</v>
      </c>
      <c r="AW41" s="17" t="s">
        <v>870</v>
      </c>
      <c r="AX41" s="17" t="s">
        <v>870</v>
      </c>
      <c r="AY41" s="17" t="s">
        <v>870</v>
      </c>
      <c r="AZ41" s="17" t="s">
        <v>870</v>
      </c>
      <c r="BA41" s="17" t="s">
        <v>870</v>
      </c>
      <c r="BB41" s="17" t="s">
        <v>870</v>
      </c>
      <c r="BC41" s="17" t="s">
        <v>870</v>
      </c>
      <c r="BD41" s="17" t="s">
        <v>870</v>
      </c>
      <c r="BE41" s="17" t="s">
        <v>870</v>
      </c>
      <c r="BF41" s="17" t="s">
        <v>870</v>
      </c>
      <c r="BG41" s="17" t="s">
        <v>870</v>
      </c>
      <c r="BH41" s="17" t="s">
        <v>870</v>
      </c>
      <c r="BI41" s="17" t="s">
        <v>870</v>
      </c>
      <c r="BJ41" s="17" t="s">
        <v>870</v>
      </c>
      <c r="BK41" s="17" t="s">
        <v>870</v>
      </c>
      <c r="BL41" s="17" t="s">
        <v>870</v>
      </c>
      <c r="BM41" s="17" t="s">
        <v>870</v>
      </c>
      <c r="BN41" s="17" t="s">
        <v>870</v>
      </c>
      <c r="BO41" s="17" t="s">
        <v>870</v>
      </c>
      <c r="BP41" s="17" t="s">
        <v>870</v>
      </c>
      <c r="BQ41" s="17" t="s">
        <v>870</v>
      </c>
      <c r="BR41" s="17" t="s">
        <v>870</v>
      </c>
      <c r="BS41" s="17" t="s">
        <v>870</v>
      </c>
      <c r="BT41" s="17" t="s">
        <v>870</v>
      </c>
      <c r="BU41" s="17" t="s">
        <v>870</v>
      </c>
      <c r="BV41" s="17" t="s">
        <v>870</v>
      </c>
      <c r="BW41" s="17" t="s">
        <v>870</v>
      </c>
      <c r="BX41" s="17" t="s">
        <v>870</v>
      </c>
      <c r="BY41" s="17" t="s">
        <v>870</v>
      </c>
      <c r="BZ41" s="17" t="s">
        <v>870</v>
      </c>
      <c r="CA41" s="17" t="s">
        <v>870</v>
      </c>
      <c r="CB41" s="17" t="s">
        <v>870</v>
      </c>
      <c r="CC41" s="17" t="s">
        <v>870</v>
      </c>
      <c r="CD41" s="17" t="s">
        <v>870</v>
      </c>
      <c r="CE41" s="17" t="s">
        <v>870</v>
      </c>
      <c r="CF41" s="17" t="s">
        <v>870</v>
      </c>
      <c r="CG41" s="17" t="s">
        <v>870</v>
      </c>
      <c r="CH41" s="17" t="s">
        <v>870</v>
      </c>
      <c r="CI41" s="17" t="s">
        <v>870</v>
      </c>
      <c r="CJ41" s="17" t="s">
        <v>870</v>
      </c>
      <c r="CK41" s="17" t="s">
        <v>870</v>
      </c>
      <c r="CL41" s="17" t="s">
        <v>870</v>
      </c>
      <c r="CM41" s="17" t="s">
        <v>870</v>
      </c>
      <c r="CN41" s="17" t="s">
        <v>870</v>
      </c>
      <c r="CO41" s="17" t="s">
        <v>870</v>
      </c>
      <c r="CP41" s="17" t="s">
        <v>870</v>
      </c>
      <c r="CQ41" s="17" t="s">
        <v>870</v>
      </c>
      <c r="CR41" s="17" t="s">
        <v>870</v>
      </c>
      <c r="CS41" s="17" t="s">
        <v>870</v>
      </c>
      <c r="CT41" s="17" t="s">
        <v>870</v>
      </c>
      <c r="CU41" s="17" t="s">
        <v>870</v>
      </c>
      <c r="CV41" s="63"/>
      <c r="CW41" s="63"/>
      <c r="CX41" s="63"/>
      <c r="CY41" s="63"/>
      <c r="CZ41" s="63"/>
      <c r="DA41" s="63"/>
      <c r="DB41" s="63"/>
      <c r="DC41" s="63"/>
      <c r="DD41" s="63"/>
      <c r="DE41" s="63"/>
      <c r="DF41" s="17" t="s">
        <v>870</v>
      </c>
      <c r="DG41" s="17" t="s">
        <v>870</v>
      </c>
      <c r="DH41" s="63"/>
      <c r="DI41" s="63"/>
      <c r="DJ41" s="63"/>
      <c r="DK41" s="63"/>
      <c r="DL41" s="63"/>
      <c r="DM41" s="63"/>
      <c r="DN41" s="17" t="s">
        <v>870</v>
      </c>
      <c r="DO41" s="17" t="s">
        <v>870</v>
      </c>
      <c r="DP41" s="61" t="s">
        <v>2</v>
      </c>
      <c r="DQ41" s="63"/>
      <c r="DR41" s="17" t="s">
        <v>870</v>
      </c>
      <c r="DS41" s="17" t="s">
        <v>870</v>
      </c>
      <c r="DT41" s="63"/>
      <c r="DU41" s="63"/>
      <c r="DV41" s="63"/>
      <c r="DW41" s="63"/>
      <c r="DX41" s="61" t="s">
        <v>2</v>
      </c>
      <c r="DY41" s="63"/>
      <c r="DZ41" s="17" t="s">
        <v>870</v>
      </c>
      <c r="EA41" s="17" t="s">
        <v>870</v>
      </c>
      <c r="EB41" s="63"/>
      <c r="EC41" s="63"/>
      <c r="ED41" s="61" t="s">
        <v>2</v>
      </c>
      <c r="EE41" s="62"/>
      <c r="EF41" s="62"/>
      <c r="EG41" s="63"/>
      <c r="EH41" s="17" t="s">
        <v>870</v>
      </c>
      <c r="EI41" s="17" t="s">
        <v>870</v>
      </c>
      <c r="EJ41" s="17" t="s">
        <v>870</v>
      </c>
      <c r="EK41" s="17" t="s">
        <v>870</v>
      </c>
      <c r="EL41" s="17" t="s">
        <v>870</v>
      </c>
      <c r="EM41" s="17" t="s">
        <v>870</v>
      </c>
      <c r="EN41" s="62"/>
      <c r="EO41" s="63"/>
      <c r="EP41" s="17" t="s">
        <v>870</v>
      </c>
      <c r="EQ41" s="17" t="s">
        <v>870</v>
      </c>
      <c r="ER41" s="17" t="s">
        <v>870</v>
      </c>
      <c r="ES41" s="17" t="s">
        <v>870</v>
      </c>
      <c r="ET41" s="63"/>
      <c r="EU41" s="17" t="s">
        <v>870</v>
      </c>
      <c r="EV41" s="63"/>
      <c r="EW41" s="63"/>
      <c r="EX41" s="17" t="s">
        <v>870</v>
      </c>
      <c r="EY41" s="17" t="s">
        <v>870</v>
      </c>
      <c r="EZ41" s="17" t="s">
        <v>870</v>
      </c>
      <c r="FA41" s="17" t="s">
        <v>870</v>
      </c>
      <c r="FB41" s="63"/>
      <c r="FC41" s="63"/>
      <c r="FD41" s="17" t="s">
        <v>870</v>
      </c>
      <c r="FE41" s="17" t="s">
        <v>870</v>
      </c>
      <c r="FF41" s="17" t="s">
        <v>870</v>
      </c>
      <c r="FG41" s="17" t="s">
        <v>870</v>
      </c>
      <c r="FH41" s="17" t="s">
        <v>870</v>
      </c>
      <c r="FI41" s="17" t="s">
        <v>870</v>
      </c>
      <c r="FJ41" s="17" t="s">
        <v>870</v>
      </c>
      <c r="FK41" s="17" t="s">
        <v>870</v>
      </c>
      <c r="FL41" s="17" t="s">
        <v>870</v>
      </c>
      <c r="FM41" s="17" t="s">
        <v>870</v>
      </c>
      <c r="FN41" s="17" t="s">
        <v>870</v>
      </c>
      <c r="FO41" s="17" t="s">
        <v>870</v>
      </c>
      <c r="FP41" s="17" t="s">
        <v>870</v>
      </c>
      <c r="FQ41" s="17" t="s">
        <v>870</v>
      </c>
      <c r="FR41" s="17" t="s">
        <v>870</v>
      </c>
      <c r="FS41" s="17" t="s">
        <v>870</v>
      </c>
      <c r="FT41" s="17" t="s">
        <v>870</v>
      </c>
      <c r="FU41" s="17" t="s">
        <v>870</v>
      </c>
      <c r="FV41" s="17" t="s">
        <v>870</v>
      </c>
      <c r="FW41" s="17" t="s">
        <v>870</v>
      </c>
      <c r="FX41" s="17" t="s">
        <v>870</v>
      </c>
      <c r="FY41" s="17" t="s">
        <v>870</v>
      </c>
      <c r="FZ41" s="17" t="s">
        <v>870</v>
      </c>
      <c r="GA41" s="17" t="s">
        <v>870</v>
      </c>
      <c r="GB41" s="17" t="s">
        <v>870</v>
      </c>
      <c r="GC41" s="17" t="s">
        <v>870</v>
      </c>
      <c r="GD41" s="17" t="s">
        <v>870</v>
      </c>
      <c r="GE41" s="17" t="s">
        <v>870</v>
      </c>
      <c r="GF41" s="17" t="s">
        <v>870</v>
      </c>
      <c r="GG41" s="17" t="s">
        <v>870</v>
      </c>
      <c r="GH41" s="17" t="s">
        <v>870</v>
      </c>
      <c r="GI41" s="17" t="s">
        <v>870</v>
      </c>
      <c r="GJ41" s="17" t="s">
        <v>870</v>
      </c>
      <c r="GK41" s="17" t="s">
        <v>870</v>
      </c>
      <c r="GL41" s="17" t="s">
        <v>870</v>
      </c>
      <c r="GM41" s="17" t="s">
        <v>870</v>
      </c>
      <c r="GN41" s="17" t="s">
        <v>870</v>
      </c>
      <c r="GO41" s="17" t="s">
        <v>870</v>
      </c>
      <c r="GP41" s="17" t="s">
        <v>870</v>
      </c>
      <c r="GQ41" s="17" t="s">
        <v>870</v>
      </c>
      <c r="GR41" s="17" t="s">
        <v>870</v>
      </c>
      <c r="GS41" s="17" t="s">
        <v>870</v>
      </c>
      <c r="GT41" s="17" t="s">
        <v>870</v>
      </c>
      <c r="GU41" s="17" t="s">
        <v>870</v>
      </c>
      <c r="GV41" s="17" t="s">
        <v>870</v>
      </c>
      <c r="GW41" s="17" t="s">
        <v>870</v>
      </c>
      <c r="GX41" s="17" t="s">
        <v>870</v>
      </c>
      <c r="GY41" s="17" t="s">
        <v>870</v>
      </c>
      <c r="GZ41" s="17" t="s">
        <v>870</v>
      </c>
      <c r="HA41" s="17" t="s">
        <v>870</v>
      </c>
      <c r="HB41" s="17" t="s">
        <v>870</v>
      </c>
      <c r="HC41" s="17" t="s">
        <v>870</v>
      </c>
      <c r="HD41" s="17" t="s">
        <v>870</v>
      </c>
      <c r="HE41" s="17" t="s">
        <v>870</v>
      </c>
      <c r="HF41" s="17" t="s">
        <v>870</v>
      </c>
      <c r="HG41" s="17" t="s">
        <v>870</v>
      </c>
      <c r="HH41" s="17" t="s">
        <v>870</v>
      </c>
      <c r="HI41" s="17" t="s">
        <v>870</v>
      </c>
      <c r="HJ41" s="17" t="s">
        <v>870</v>
      </c>
      <c r="HK41" s="17" t="s">
        <v>870</v>
      </c>
      <c r="HL41" s="17" t="s">
        <v>870</v>
      </c>
      <c r="HM41" s="17" t="s">
        <v>870</v>
      </c>
      <c r="HN41" s="17" t="s">
        <v>870</v>
      </c>
      <c r="HO41" s="17" t="s">
        <v>870</v>
      </c>
      <c r="HP41" s="17" t="s">
        <v>870</v>
      </c>
      <c r="HQ41" s="17" t="s">
        <v>870</v>
      </c>
      <c r="HR41" s="17" t="s">
        <v>870</v>
      </c>
      <c r="HS41" s="17" t="s">
        <v>870</v>
      </c>
      <c r="HT41" s="17" t="s">
        <v>870</v>
      </c>
      <c r="HU41" s="17" t="s">
        <v>870</v>
      </c>
      <c r="HV41" s="17" t="s">
        <v>870</v>
      </c>
      <c r="HW41" s="17" t="s">
        <v>870</v>
      </c>
      <c r="HX41" s="17" t="s">
        <v>870</v>
      </c>
      <c r="HY41" s="17" t="s">
        <v>870</v>
      </c>
      <c r="HZ41" s="17" t="s">
        <v>870</v>
      </c>
      <c r="IA41" s="17" t="s">
        <v>870</v>
      </c>
      <c r="IB41" s="17" t="s">
        <v>870</v>
      </c>
      <c r="IC41" s="17" t="s">
        <v>870</v>
      </c>
      <c r="ID41" s="72" t="s">
        <v>1552</v>
      </c>
      <c r="IE41" s="17" t="s">
        <v>870</v>
      </c>
      <c r="IF41" s="17" t="s">
        <v>870</v>
      </c>
      <c r="IG41" s="17" t="s">
        <v>870</v>
      </c>
      <c r="IH41" s="17" t="s">
        <v>870</v>
      </c>
      <c r="II41" s="17" t="s">
        <v>870</v>
      </c>
      <c r="IJ41" s="17" t="s">
        <v>870</v>
      </c>
      <c r="IK41" s="17" t="s">
        <v>870</v>
      </c>
      <c r="IL41" s="17" t="s">
        <v>870</v>
      </c>
      <c r="IM41" s="17" t="s">
        <v>870</v>
      </c>
      <c r="IN41" s="17" t="s">
        <v>870</v>
      </c>
      <c r="IO41" s="17" t="s">
        <v>870</v>
      </c>
    </row>
    <row r="42" spans="1:249" x14ac:dyDescent="0.25">
      <c r="A42" t="s">
        <v>33</v>
      </c>
      <c r="B42" s="17" t="s">
        <v>870</v>
      </c>
      <c r="C42" s="17" t="s">
        <v>870</v>
      </c>
      <c r="D42" s="17" t="s">
        <v>870</v>
      </c>
      <c r="E42" s="17" t="s">
        <v>870</v>
      </c>
      <c r="F42" s="17" t="s">
        <v>870</v>
      </c>
      <c r="G42" s="17" t="s">
        <v>870</v>
      </c>
      <c r="H42" s="17" t="s">
        <v>870</v>
      </c>
      <c r="I42" s="63"/>
      <c r="J42" s="63"/>
      <c r="K42" s="63"/>
      <c r="L42" s="63"/>
      <c r="M42" s="63"/>
      <c r="N42" s="63"/>
      <c r="O42" s="17" t="s">
        <v>870</v>
      </c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17" t="s">
        <v>870</v>
      </c>
      <c r="AA42" s="63"/>
      <c r="AB42" s="63"/>
      <c r="AC42" s="63"/>
      <c r="AD42" s="63"/>
      <c r="AE42" s="63"/>
      <c r="AF42" s="63"/>
      <c r="AG42" s="63"/>
      <c r="AH42" s="62"/>
      <c r="AI42" s="63"/>
      <c r="AJ42" s="63"/>
      <c r="AK42" s="62"/>
      <c r="AL42" s="63"/>
      <c r="AM42" s="61" t="s">
        <v>2</v>
      </c>
      <c r="AN42" s="63"/>
      <c r="AO42" s="63"/>
      <c r="AP42" s="17" t="s">
        <v>870</v>
      </c>
      <c r="AQ42" s="17" t="s">
        <v>870</v>
      </c>
      <c r="AR42" s="63"/>
      <c r="AS42" s="63"/>
      <c r="AT42" s="63"/>
      <c r="AU42" s="63"/>
      <c r="AV42" s="63"/>
      <c r="AW42" s="63"/>
      <c r="AX42" s="17" t="s">
        <v>870</v>
      </c>
      <c r="AY42" s="17" t="s">
        <v>870</v>
      </c>
      <c r="AZ42" s="63"/>
      <c r="BA42" s="62"/>
      <c r="BB42" s="63"/>
      <c r="BC42" s="63"/>
      <c r="BD42" s="63"/>
      <c r="BE42" s="63"/>
      <c r="BF42" s="63"/>
      <c r="BG42" s="63"/>
      <c r="BH42" s="17" t="s">
        <v>870</v>
      </c>
      <c r="BI42" s="17" t="s">
        <v>870</v>
      </c>
      <c r="BJ42" s="17" t="s">
        <v>870</v>
      </c>
      <c r="BK42" s="17" t="s">
        <v>870</v>
      </c>
      <c r="BL42" s="17" t="s">
        <v>870</v>
      </c>
      <c r="BM42" s="17" t="s">
        <v>870</v>
      </c>
      <c r="BN42" s="17" t="s">
        <v>870</v>
      </c>
      <c r="BO42" s="17" t="s">
        <v>870</v>
      </c>
      <c r="BP42" s="17" t="s">
        <v>870</v>
      </c>
      <c r="BQ42" s="17" t="s">
        <v>870</v>
      </c>
      <c r="BR42" s="17" t="s">
        <v>870</v>
      </c>
      <c r="BS42" s="17" t="s">
        <v>870</v>
      </c>
      <c r="BT42" s="17" t="s">
        <v>870</v>
      </c>
      <c r="BU42" s="17" t="s">
        <v>870</v>
      </c>
      <c r="BV42" s="17" t="s">
        <v>870</v>
      </c>
      <c r="BW42" s="17" t="s">
        <v>870</v>
      </c>
      <c r="BX42" s="17" t="s">
        <v>870</v>
      </c>
      <c r="BY42" s="17" t="s">
        <v>870</v>
      </c>
      <c r="BZ42" s="17" t="s">
        <v>870</v>
      </c>
      <c r="CA42" s="17" t="s">
        <v>870</v>
      </c>
      <c r="CB42" s="17" t="s">
        <v>870</v>
      </c>
      <c r="CC42" s="17" t="s">
        <v>870</v>
      </c>
      <c r="CD42" s="17" t="s">
        <v>870</v>
      </c>
      <c r="CE42" s="17" t="s">
        <v>870</v>
      </c>
      <c r="CF42" s="17" t="s">
        <v>870</v>
      </c>
      <c r="CG42" s="17" t="s">
        <v>870</v>
      </c>
      <c r="CH42" s="17" t="s">
        <v>870</v>
      </c>
      <c r="CI42" s="17" t="s">
        <v>870</v>
      </c>
      <c r="CJ42" s="17" t="s">
        <v>870</v>
      </c>
      <c r="CK42" s="17" t="s">
        <v>870</v>
      </c>
      <c r="CL42" s="17" t="s">
        <v>870</v>
      </c>
      <c r="CM42" s="17" t="s">
        <v>870</v>
      </c>
      <c r="CN42" s="17" t="s">
        <v>870</v>
      </c>
      <c r="CO42" s="17" t="s">
        <v>870</v>
      </c>
      <c r="CP42" s="17" t="s">
        <v>870</v>
      </c>
      <c r="CQ42" s="17" t="s">
        <v>870</v>
      </c>
      <c r="CR42" s="17" t="s">
        <v>870</v>
      </c>
      <c r="CS42" s="17" t="s">
        <v>870</v>
      </c>
      <c r="CT42" s="17" t="s">
        <v>870</v>
      </c>
      <c r="CU42" s="17" t="s">
        <v>870</v>
      </c>
      <c r="CV42" s="17" t="s">
        <v>870</v>
      </c>
      <c r="CW42" s="17" t="s">
        <v>870</v>
      </c>
      <c r="CX42" s="17" t="s">
        <v>870</v>
      </c>
      <c r="CY42" s="17" t="s">
        <v>870</v>
      </c>
      <c r="CZ42" s="17" t="s">
        <v>870</v>
      </c>
      <c r="DA42" s="17" t="s">
        <v>870</v>
      </c>
      <c r="DB42" s="17" t="s">
        <v>870</v>
      </c>
      <c r="DC42" s="17" t="s">
        <v>870</v>
      </c>
      <c r="DD42" s="17" t="s">
        <v>870</v>
      </c>
      <c r="DE42" s="17" t="s">
        <v>870</v>
      </c>
      <c r="DF42" s="17" t="s">
        <v>870</v>
      </c>
      <c r="DG42" s="17" t="s">
        <v>870</v>
      </c>
      <c r="DH42" s="17" t="s">
        <v>870</v>
      </c>
      <c r="DI42" s="17" t="s">
        <v>870</v>
      </c>
      <c r="DJ42" s="17" t="s">
        <v>870</v>
      </c>
      <c r="DK42" s="17" t="s">
        <v>870</v>
      </c>
      <c r="DL42" s="17" t="s">
        <v>870</v>
      </c>
      <c r="DM42" s="17" t="s">
        <v>870</v>
      </c>
      <c r="DN42" s="17" t="s">
        <v>870</v>
      </c>
      <c r="DO42" s="17" t="s">
        <v>870</v>
      </c>
      <c r="DP42" s="17" t="s">
        <v>870</v>
      </c>
      <c r="DQ42" s="17" t="s">
        <v>870</v>
      </c>
      <c r="DR42" s="17" t="s">
        <v>870</v>
      </c>
      <c r="DS42" s="17" t="s">
        <v>870</v>
      </c>
      <c r="DT42" s="17" t="s">
        <v>870</v>
      </c>
      <c r="DU42" s="17" t="s">
        <v>870</v>
      </c>
      <c r="DV42" s="17" t="s">
        <v>870</v>
      </c>
      <c r="DW42" s="17" t="s">
        <v>870</v>
      </c>
      <c r="DX42" s="17" t="s">
        <v>870</v>
      </c>
      <c r="DY42" s="17" t="s">
        <v>870</v>
      </c>
      <c r="DZ42" s="17" t="s">
        <v>870</v>
      </c>
      <c r="EA42" s="17" t="s">
        <v>870</v>
      </c>
      <c r="EB42" s="17" t="s">
        <v>870</v>
      </c>
      <c r="EC42" s="17" t="s">
        <v>870</v>
      </c>
      <c r="ED42" s="17" t="s">
        <v>870</v>
      </c>
      <c r="EE42" s="17" t="s">
        <v>870</v>
      </c>
      <c r="EF42" s="17" t="s">
        <v>870</v>
      </c>
      <c r="EG42" s="17" t="s">
        <v>870</v>
      </c>
      <c r="EH42" s="17" t="s">
        <v>870</v>
      </c>
      <c r="EI42" s="17" t="s">
        <v>870</v>
      </c>
      <c r="EJ42" s="17" t="s">
        <v>870</v>
      </c>
      <c r="EK42" s="17" t="s">
        <v>870</v>
      </c>
      <c r="EL42" s="17" t="s">
        <v>870</v>
      </c>
      <c r="EM42" s="17" t="s">
        <v>870</v>
      </c>
      <c r="EN42" s="17" t="s">
        <v>870</v>
      </c>
      <c r="EO42" s="17" t="s">
        <v>870</v>
      </c>
      <c r="EP42" s="17" t="s">
        <v>870</v>
      </c>
      <c r="EQ42" s="17" t="s">
        <v>870</v>
      </c>
      <c r="ER42" s="17" t="s">
        <v>870</v>
      </c>
      <c r="ES42" s="17" t="s">
        <v>870</v>
      </c>
      <c r="ET42" s="17" t="s">
        <v>870</v>
      </c>
      <c r="EU42" s="17" t="s">
        <v>870</v>
      </c>
      <c r="EV42" s="17" t="s">
        <v>870</v>
      </c>
      <c r="EW42" s="17" t="s">
        <v>870</v>
      </c>
      <c r="EX42" s="17" t="s">
        <v>870</v>
      </c>
      <c r="EY42" s="17" t="s">
        <v>870</v>
      </c>
      <c r="EZ42" s="17" t="s">
        <v>870</v>
      </c>
      <c r="FA42" s="17" t="s">
        <v>870</v>
      </c>
      <c r="FB42" s="17" t="s">
        <v>870</v>
      </c>
      <c r="FC42" s="17" t="s">
        <v>870</v>
      </c>
      <c r="FD42" s="17" t="s">
        <v>870</v>
      </c>
      <c r="FE42" s="17" t="s">
        <v>870</v>
      </c>
      <c r="FF42" s="17" t="s">
        <v>870</v>
      </c>
      <c r="FG42" s="17" t="s">
        <v>870</v>
      </c>
      <c r="FH42" s="17" t="s">
        <v>870</v>
      </c>
      <c r="FI42" s="17" t="s">
        <v>870</v>
      </c>
      <c r="FJ42" s="17" t="s">
        <v>870</v>
      </c>
      <c r="FK42" s="17" t="s">
        <v>870</v>
      </c>
      <c r="FL42" s="17" t="s">
        <v>870</v>
      </c>
      <c r="FM42" s="17" t="s">
        <v>870</v>
      </c>
      <c r="FN42" s="17" t="s">
        <v>870</v>
      </c>
      <c r="FO42" s="17" t="s">
        <v>870</v>
      </c>
      <c r="FP42" s="17" t="s">
        <v>870</v>
      </c>
      <c r="FQ42" s="17" t="s">
        <v>870</v>
      </c>
      <c r="FR42" s="17" t="s">
        <v>870</v>
      </c>
      <c r="FS42" s="17" t="s">
        <v>870</v>
      </c>
      <c r="FT42" s="17" t="s">
        <v>870</v>
      </c>
      <c r="FU42" s="17" t="s">
        <v>870</v>
      </c>
      <c r="FV42" s="17" t="s">
        <v>870</v>
      </c>
      <c r="FW42" s="17" t="s">
        <v>870</v>
      </c>
      <c r="FX42" s="17" t="s">
        <v>870</v>
      </c>
      <c r="FY42" s="17" t="s">
        <v>870</v>
      </c>
      <c r="FZ42" s="17" t="s">
        <v>870</v>
      </c>
      <c r="GA42" s="17" t="s">
        <v>870</v>
      </c>
      <c r="GB42" s="17" t="s">
        <v>870</v>
      </c>
      <c r="GC42" s="17" t="s">
        <v>870</v>
      </c>
      <c r="GD42" s="17" t="s">
        <v>870</v>
      </c>
      <c r="GE42" s="17" t="s">
        <v>870</v>
      </c>
      <c r="GF42" s="17" t="s">
        <v>870</v>
      </c>
      <c r="GG42" s="17" t="s">
        <v>870</v>
      </c>
      <c r="GH42" s="17" t="s">
        <v>870</v>
      </c>
      <c r="GI42" s="17" t="s">
        <v>870</v>
      </c>
      <c r="GJ42" s="17" t="s">
        <v>870</v>
      </c>
      <c r="GK42" s="17" t="s">
        <v>870</v>
      </c>
      <c r="GL42" s="17" t="s">
        <v>870</v>
      </c>
      <c r="GM42" s="17" t="s">
        <v>870</v>
      </c>
      <c r="GN42" s="17" t="s">
        <v>870</v>
      </c>
      <c r="GO42" s="17" t="s">
        <v>870</v>
      </c>
      <c r="GP42" s="17" t="s">
        <v>870</v>
      </c>
      <c r="GQ42" s="17" t="s">
        <v>870</v>
      </c>
      <c r="GR42" s="17" t="s">
        <v>870</v>
      </c>
      <c r="GS42" s="17" t="s">
        <v>870</v>
      </c>
      <c r="GT42" s="17" t="s">
        <v>870</v>
      </c>
      <c r="GU42" s="17" t="s">
        <v>870</v>
      </c>
      <c r="GV42" s="17" t="s">
        <v>870</v>
      </c>
      <c r="GW42" s="17" t="s">
        <v>870</v>
      </c>
      <c r="GX42" s="17" t="s">
        <v>870</v>
      </c>
      <c r="GY42" s="17" t="s">
        <v>870</v>
      </c>
      <c r="GZ42" s="17" t="s">
        <v>870</v>
      </c>
      <c r="HA42" s="17" t="s">
        <v>870</v>
      </c>
      <c r="HB42" s="17" t="s">
        <v>870</v>
      </c>
      <c r="HC42" s="17" t="s">
        <v>870</v>
      </c>
      <c r="HD42" s="17" t="s">
        <v>870</v>
      </c>
      <c r="HE42" s="17" t="s">
        <v>870</v>
      </c>
      <c r="HF42" s="17" t="s">
        <v>870</v>
      </c>
      <c r="HG42" s="17" t="s">
        <v>870</v>
      </c>
      <c r="HH42" s="17" t="s">
        <v>870</v>
      </c>
      <c r="HI42" s="17" t="s">
        <v>870</v>
      </c>
      <c r="HJ42" s="17" t="s">
        <v>870</v>
      </c>
      <c r="HK42" s="17" t="s">
        <v>870</v>
      </c>
      <c r="HL42" s="17" t="s">
        <v>870</v>
      </c>
      <c r="HM42" s="17" t="s">
        <v>870</v>
      </c>
      <c r="HN42" s="17" t="s">
        <v>870</v>
      </c>
      <c r="HO42" s="17" t="s">
        <v>870</v>
      </c>
      <c r="HP42" s="17" t="s">
        <v>870</v>
      </c>
      <c r="HQ42" s="17" t="s">
        <v>870</v>
      </c>
      <c r="HR42" s="17" t="s">
        <v>870</v>
      </c>
      <c r="HS42" s="17" t="s">
        <v>870</v>
      </c>
      <c r="HT42" s="17" t="s">
        <v>870</v>
      </c>
      <c r="HU42" s="17" t="s">
        <v>870</v>
      </c>
      <c r="HV42" s="17" t="s">
        <v>870</v>
      </c>
      <c r="HW42" s="17" t="s">
        <v>870</v>
      </c>
      <c r="HX42" s="17" t="s">
        <v>870</v>
      </c>
      <c r="HY42" s="17" t="s">
        <v>870</v>
      </c>
      <c r="HZ42" s="17" t="s">
        <v>870</v>
      </c>
      <c r="IA42" s="17" t="s">
        <v>870</v>
      </c>
      <c r="IB42" s="17" t="s">
        <v>870</v>
      </c>
      <c r="IC42" s="17" t="s">
        <v>870</v>
      </c>
      <c r="ID42" s="72" t="s">
        <v>1552</v>
      </c>
      <c r="IE42" s="17" t="s">
        <v>870</v>
      </c>
      <c r="IF42" s="17" t="s">
        <v>870</v>
      </c>
      <c r="IG42" s="17" t="s">
        <v>870</v>
      </c>
      <c r="IH42" s="17" t="s">
        <v>870</v>
      </c>
      <c r="II42" s="17" t="s">
        <v>870</v>
      </c>
      <c r="IJ42" s="17" t="s">
        <v>870</v>
      </c>
      <c r="IK42" s="17" t="s">
        <v>870</v>
      </c>
      <c r="IL42" s="17" t="s">
        <v>870</v>
      </c>
      <c r="IM42" s="17" t="s">
        <v>870</v>
      </c>
      <c r="IN42" s="17" t="s">
        <v>870</v>
      </c>
      <c r="IO42" s="17" t="s">
        <v>870</v>
      </c>
    </row>
    <row r="43" spans="1:249" x14ac:dyDescent="0.25">
      <c r="A43" t="s">
        <v>93</v>
      </c>
      <c r="B43" s="17" t="s">
        <v>870</v>
      </c>
      <c r="C43" s="17" t="s">
        <v>870</v>
      </c>
      <c r="D43" s="17" t="s">
        <v>870</v>
      </c>
      <c r="E43" s="17" t="s">
        <v>870</v>
      </c>
      <c r="F43" s="17" t="s">
        <v>870</v>
      </c>
      <c r="G43" s="17" t="s">
        <v>870</v>
      </c>
      <c r="H43" s="17" t="s">
        <v>870</v>
      </c>
      <c r="I43" s="17" t="s">
        <v>870</v>
      </c>
      <c r="J43" s="17" t="s">
        <v>870</v>
      </c>
      <c r="K43" s="17" t="s">
        <v>870</v>
      </c>
      <c r="L43" s="17" t="s">
        <v>870</v>
      </c>
      <c r="M43" s="17" t="s">
        <v>870</v>
      </c>
      <c r="N43" s="17" t="s">
        <v>870</v>
      </c>
      <c r="O43" s="17" t="s">
        <v>870</v>
      </c>
      <c r="P43" s="17" t="s">
        <v>870</v>
      </c>
      <c r="Q43" s="17" t="s">
        <v>870</v>
      </c>
      <c r="R43" s="17" t="s">
        <v>870</v>
      </c>
      <c r="S43" s="17" t="s">
        <v>870</v>
      </c>
      <c r="T43" s="17" t="s">
        <v>870</v>
      </c>
      <c r="U43" s="17" t="s">
        <v>870</v>
      </c>
      <c r="V43" s="17" t="s">
        <v>870</v>
      </c>
      <c r="W43" s="17" t="s">
        <v>870</v>
      </c>
      <c r="X43" s="17" t="s">
        <v>870</v>
      </c>
      <c r="Y43" s="17" t="s">
        <v>870</v>
      </c>
      <c r="Z43" s="17" t="s">
        <v>870</v>
      </c>
      <c r="AA43" s="17" t="s">
        <v>870</v>
      </c>
      <c r="AB43" s="17" t="s">
        <v>870</v>
      </c>
      <c r="AC43" s="17" t="s">
        <v>870</v>
      </c>
      <c r="AD43" s="17" t="s">
        <v>870</v>
      </c>
      <c r="AE43" s="17" t="s">
        <v>870</v>
      </c>
      <c r="AF43" s="17" t="s">
        <v>870</v>
      </c>
      <c r="AG43" s="17" t="s">
        <v>870</v>
      </c>
      <c r="AH43" s="17" t="s">
        <v>870</v>
      </c>
      <c r="AI43" s="17" t="s">
        <v>870</v>
      </c>
      <c r="AJ43" s="17" t="s">
        <v>870</v>
      </c>
      <c r="AK43" s="17" t="s">
        <v>870</v>
      </c>
      <c r="AL43" s="17" t="s">
        <v>870</v>
      </c>
      <c r="AM43" s="17" t="s">
        <v>870</v>
      </c>
      <c r="AN43" s="17" t="s">
        <v>870</v>
      </c>
      <c r="AO43" s="17" t="s">
        <v>870</v>
      </c>
      <c r="AP43" s="17" t="s">
        <v>870</v>
      </c>
      <c r="AQ43" s="17" t="s">
        <v>870</v>
      </c>
      <c r="AR43" s="17" t="s">
        <v>870</v>
      </c>
      <c r="AS43" s="17" t="s">
        <v>870</v>
      </c>
      <c r="AT43" s="17" t="s">
        <v>870</v>
      </c>
      <c r="AU43" s="17" t="s">
        <v>870</v>
      </c>
      <c r="AV43" s="17" t="s">
        <v>870</v>
      </c>
      <c r="AW43" s="17" t="s">
        <v>870</v>
      </c>
      <c r="AX43" s="17" t="s">
        <v>870</v>
      </c>
      <c r="AY43" s="17" t="s">
        <v>870</v>
      </c>
      <c r="AZ43" s="17" t="s">
        <v>870</v>
      </c>
      <c r="BA43" s="17" t="s">
        <v>870</v>
      </c>
      <c r="BB43" s="17" t="s">
        <v>870</v>
      </c>
      <c r="BC43" s="17" t="s">
        <v>870</v>
      </c>
      <c r="BD43" s="17" t="s">
        <v>870</v>
      </c>
      <c r="BE43" s="17" t="s">
        <v>870</v>
      </c>
      <c r="BF43" s="17" t="s">
        <v>870</v>
      </c>
      <c r="BG43" s="17" t="s">
        <v>870</v>
      </c>
      <c r="BH43" s="17" t="s">
        <v>870</v>
      </c>
      <c r="BI43" s="63"/>
      <c r="BJ43" s="17" t="s">
        <v>870</v>
      </c>
      <c r="BK43" s="17" t="s">
        <v>870</v>
      </c>
      <c r="BL43" s="61" t="s">
        <v>2</v>
      </c>
      <c r="BM43" s="61" t="s">
        <v>2</v>
      </c>
      <c r="BN43" s="63"/>
      <c r="BO43" s="61" t="s">
        <v>2</v>
      </c>
      <c r="BP43" s="17" t="s">
        <v>870</v>
      </c>
      <c r="BQ43" s="17" t="s">
        <v>870</v>
      </c>
      <c r="BR43" s="17" t="s">
        <v>870</v>
      </c>
      <c r="BS43" s="17" t="s">
        <v>870</v>
      </c>
      <c r="BT43" s="17" t="s">
        <v>870</v>
      </c>
      <c r="BU43" s="17" t="s">
        <v>870</v>
      </c>
      <c r="BV43" s="17" t="s">
        <v>870</v>
      </c>
      <c r="BW43" s="17" t="s">
        <v>870</v>
      </c>
      <c r="BX43" s="17" t="s">
        <v>870</v>
      </c>
      <c r="BY43" s="17" t="s">
        <v>870</v>
      </c>
      <c r="BZ43" s="17" t="s">
        <v>870</v>
      </c>
      <c r="CA43" s="17" t="s">
        <v>870</v>
      </c>
      <c r="CB43" s="17" t="s">
        <v>870</v>
      </c>
      <c r="CC43" s="17" t="s">
        <v>870</v>
      </c>
      <c r="CD43" s="17" t="s">
        <v>870</v>
      </c>
      <c r="CE43" s="17" t="s">
        <v>870</v>
      </c>
      <c r="CF43" s="17" t="s">
        <v>870</v>
      </c>
      <c r="CG43" s="17" t="s">
        <v>870</v>
      </c>
      <c r="CH43" s="17" t="s">
        <v>870</v>
      </c>
      <c r="CI43" s="17" t="s">
        <v>870</v>
      </c>
      <c r="CJ43" s="17" t="s">
        <v>870</v>
      </c>
      <c r="CK43" s="17" t="s">
        <v>870</v>
      </c>
      <c r="CL43" s="17" t="s">
        <v>870</v>
      </c>
      <c r="CM43" s="17" t="s">
        <v>870</v>
      </c>
      <c r="CN43" s="17" t="s">
        <v>870</v>
      </c>
      <c r="CO43" s="17" t="s">
        <v>870</v>
      </c>
      <c r="CP43" s="17" t="s">
        <v>870</v>
      </c>
      <c r="CQ43" s="17" t="s">
        <v>870</v>
      </c>
      <c r="CR43" s="17" t="s">
        <v>870</v>
      </c>
      <c r="CS43" s="17" t="s">
        <v>870</v>
      </c>
      <c r="CT43" s="17" t="s">
        <v>870</v>
      </c>
      <c r="CU43" s="17" t="s">
        <v>870</v>
      </c>
      <c r="CV43" s="17" t="s">
        <v>870</v>
      </c>
      <c r="CW43" s="17" t="s">
        <v>870</v>
      </c>
      <c r="CX43" s="17" t="s">
        <v>870</v>
      </c>
      <c r="CY43" s="17" t="s">
        <v>870</v>
      </c>
      <c r="CZ43" s="17" t="s">
        <v>870</v>
      </c>
      <c r="DA43" s="17" t="s">
        <v>870</v>
      </c>
      <c r="DB43" s="17" t="s">
        <v>870</v>
      </c>
      <c r="DC43" s="17" t="s">
        <v>870</v>
      </c>
      <c r="DD43" s="17" t="s">
        <v>870</v>
      </c>
      <c r="DE43" s="17" t="s">
        <v>870</v>
      </c>
      <c r="DF43" s="17" t="s">
        <v>870</v>
      </c>
      <c r="DG43" s="17" t="s">
        <v>870</v>
      </c>
      <c r="DH43" s="17" t="s">
        <v>870</v>
      </c>
      <c r="DI43" s="17" t="s">
        <v>870</v>
      </c>
      <c r="DJ43" s="17" t="s">
        <v>870</v>
      </c>
      <c r="DK43" s="17" t="s">
        <v>870</v>
      </c>
      <c r="DL43" s="17" t="s">
        <v>870</v>
      </c>
      <c r="DM43" s="17" t="s">
        <v>870</v>
      </c>
      <c r="DN43" s="17" t="s">
        <v>870</v>
      </c>
      <c r="DO43" s="17" t="s">
        <v>870</v>
      </c>
      <c r="DP43" s="17" t="s">
        <v>870</v>
      </c>
      <c r="DQ43" s="17" t="s">
        <v>870</v>
      </c>
      <c r="DR43" s="17" t="s">
        <v>870</v>
      </c>
      <c r="DS43" s="17" t="s">
        <v>870</v>
      </c>
      <c r="DT43" s="17" t="s">
        <v>870</v>
      </c>
      <c r="DU43" s="17" t="s">
        <v>870</v>
      </c>
      <c r="DV43" s="17" t="s">
        <v>870</v>
      </c>
      <c r="DW43" s="17" t="s">
        <v>870</v>
      </c>
      <c r="DX43" s="17" t="s">
        <v>870</v>
      </c>
      <c r="DY43" s="17" t="s">
        <v>870</v>
      </c>
      <c r="DZ43" s="17" t="s">
        <v>870</v>
      </c>
      <c r="EA43" s="17" t="s">
        <v>870</v>
      </c>
      <c r="EB43" s="17" t="s">
        <v>870</v>
      </c>
      <c r="EC43" s="17" t="s">
        <v>870</v>
      </c>
      <c r="ED43" s="17" t="s">
        <v>870</v>
      </c>
      <c r="EE43" s="17" t="s">
        <v>870</v>
      </c>
      <c r="EF43" s="17" t="s">
        <v>870</v>
      </c>
      <c r="EG43" s="17" t="s">
        <v>870</v>
      </c>
      <c r="EH43" s="17" t="s">
        <v>870</v>
      </c>
      <c r="EI43" s="17" t="s">
        <v>870</v>
      </c>
      <c r="EJ43" s="17" t="s">
        <v>870</v>
      </c>
      <c r="EK43" s="17" t="s">
        <v>870</v>
      </c>
      <c r="EL43" s="17" t="s">
        <v>870</v>
      </c>
      <c r="EM43" s="17" t="s">
        <v>870</v>
      </c>
      <c r="EN43" s="17" t="s">
        <v>870</v>
      </c>
      <c r="EO43" s="17" t="s">
        <v>870</v>
      </c>
      <c r="EP43" s="17" t="s">
        <v>870</v>
      </c>
      <c r="EQ43" s="17" t="s">
        <v>870</v>
      </c>
      <c r="ER43" s="17" t="s">
        <v>870</v>
      </c>
      <c r="ES43" s="17" t="s">
        <v>870</v>
      </c>
      <c r="ET43" s="17" t="s">
        <v>870</v>
      </c>
      <c r="EU43" s="17" t="s">
        <v>870</v>
      </c>
      <c r="EV43" s="17" t="s">
        <v>870</v>
      </c>
      <c r="EW43" s="17" t="s">
        <v>870</v>
      </c>
      <c r="EX43" s="17" t="s">
        <v>870</v>
      </c>
      <c r="EY43" s="17" t="s">
        <v>870</v>
      </c>
      <c r="EZ43" s="17" t="s">
        <v>870</v>
      </c>
      <c r="FA43" s="17" t="s">
        <v>870</v>
      </c>
      <c r="FB43" s="17" t="s">
        <v>870</v>
      </c>
      <c r="FC43" s="17" t="s">
        <v>870</v>
      </c>
      <c r="FD43" s="17" t="s">
        <v>870</v>
      </c>
      <c r="FE43" s="17" t="s">
        <v>870</v>
      </c>
      <c r="FF43" s="17" t="s">
        <v>870</v>
      </c>
      <c r="FG43" s="17" t="s">
        <v>870</v>
      </c>
      <c r="FH43" s="17" t="s">
        <v>870</v>
      </c>
      <c r="FI43" s="17" t="s">
        <v>870</v>
      </c>
      <c r="FJ43" s="17" t="s">
        <v>870</v>
      </c>
      <c r="FK43" s="17" t="s">
        <v>870</v>
      </c>
      <c r="FL43" s="17" t="s">
        <v>870</v>
      </c>
      <c r="FM43" s="17" t="s">
        <v>870</v>
      </c>
      <c r="FN43" s="17" t="s">
        <v>870</v>
      </c>
      <c r="FO43" s="17" t="s">
        <v>870</v>
      </c>
      <c r="FP43" s="17" t="s">
        <v>870</v>
      </c>
      <c r="FQ43" s="17" t="s">
        <v>870</v>
      </c>
      <c r="FR43" s="17" t="s">
        <v>870</v>
      </c>
      <c r="FS43" s="17" t="s">
        <v>870</v>
      </c>
      <c r="FT43" s="17" t="s">
        <v>870</v>
      </c>
      <c r="FU43" s="17" t="s">
        <v>870</v>
      </c>
      <c r="FV43" s="17" t="s">
        <v>870</v>
      </c>
      <c r="FW43" s="17" t="s">
        <v>870</v>
      </c>
      <c r="FX43" s="17" t="s">
        <v>870</v>
      </c>
      <c r="FY43" s="17" t="s">
        <v>870</v>
      </c>
      <c r="FZ43" s="17" t="s">
        <v>870</v>
      </c>
      <c r="GA43" s="17" t="s">
        <v>870</v>
      </c>
      <c r="GB43" s="17" t="s">
        <v>870</v>
      </c>
      <c r="GC43" s="17" t="s">
        <v>870</v>
      </c>
      <c r="GD43" s="17" t="s">
        <v>870</v>
      </c>
      <c r="GE43" s="17" t="s">
        <v>870</v>
      </c>
      <c r="GF43" s="17" t="s">
        <v>870</v>
      </c>
      <c r="GG43" s="17" t="s">
        <v>870</v>
      </c>
      <c r="GH43" s="17" t="s">
        <v>870</v>
      </c>
      <c r="GI43" s="17" t="s">
        <v>870</v>
      </c>
      <c r="GJ43" s="17" t="s">
        <v>870</v>
      </c>
      <c r="GK43" s="17" t="s">
        <v>870</v>
      </c>
      <c r="GL43" s="17" t="s">
        <v>870</v>
      </c>
      <c r="GM43" s="17" t="s">
        <v>870</v>
      </c>
      <c r="GN43" s="17" t="s">
        <v>870</v>
      </c>
      <c r="GO43" s="17" t="s">
        <v>870</v>
      </c>
      <c r="GP43" s="17" t="s">
        <v>870</v>
      </c>
      <c r="GQ43" s="17" t="s">
        <v>870</v>
      </c>
      <c r="GR43" s="17" t="s">
        <v>870</v>
      </c>
      <c r="GS43" s="17" t="s">
        <v>870</v>
      </c>
      <c r="GT43" s="17" t="s">
        <v>870</v>
      </c>
      <c r="GU43" s="17" t="s">
        <v>870</v>
      </c>
      <c r="GV43" s="17" t="s">
        <v>870</v>
      </c>
      <c r="GW43" s="17" t="s">
        <v>870</v>
      </c>
      <c r="GX43" s="17" t="s">
        <v>870</v>
      </c>
      <c r="GY43" s="17" t="s">
        <v>870</v>
      </c>
      <c r="GZ43" s="17" t="s">
        <v>870</v>
      </c>
      <c r="HA43" s="17" t="s">
        <v>870</v>
      </c>
      <c r="HB43" s="17" t="s">
        <v>870</v>
      </c>
      <c r="HC43" s="17" t="s">
        <v>870</v>
      </c>
      <c r="HD43" s="17" t="s">
        <v>870</v>
      </c>
      <c r="HE43" s="17" t="s">
        <v>870</v>
      </c>
      <c r="HF43" s="17" t="s">
        <v>870</v>
      </c>
      <c r="HG43" s="17" t="s">
        <v>870</v>
      </c>
      <c r="HH43" s="17" t="s">
        <v>870</v>
      </c>
      <c r="HI43" s="17" t="s">
        <v>870</v>
      </c>
      <c r="HJ43" s="17" t="s">
        <v>870</v>
      </c>
      <c r="HK43" s="17" t="s">
        <v>870</v>
      </c>
      <c r="HL43" s="17" t="s">
        <v>870</v>
      </c>
      <c r="HM43" s="17" t="s">
        <v>870</v>
      </c>
      <c r="HN43" s="17" t="s">
        <v>870</v>
      </c>
      <c r="HO43" s="17" t="s">
        <v>870</v>
      </c>
      <c r="HP43" s="17" t="s">
        <v>870</v>
      </c>
      <c r="HQ43" s="17" t="s">
        <v>870</v>
      </c>
      <c r="HR43" s="17" t="s">
        <v>870</v>
      </c>
      <c r="HS43" s="17" t="s">
        <v>870</v>
      </c>
      <c r="HT43" s="17" t="s">
        <v>870</v>
      </c>
      <c r="HU43" s="17" t="s">
        <v>870</v>
      </c>
      <c r="HV43" s="17" t="s">
        <v>870</v>
      </c>
      <c r="HW43" s="17" t="s">
        <v>870</v>
      </c>
      <c r="HX43" s="17" t="s">
        <v>870</v>
      </c>
      <c r="HY43" s="17" t="s">
        <v>870</v>
      </c>
      <c r="HZ43" s="17" t="s">
        <v>870</v>
      </c>
      <c r="IA43" s="17" t="s">
        <v>870</v>
      </c>
      <c r="IB43" s="17" t="s">
        <v>870</v>
      </c>
      <c r="IC43" s="17" t="s">
        <v>870</v>
      </c>
      <c r="ID43" s="72" t="s">
        <v>1552</v>
      </c>
      <c r="IE43" s="17" t="s">
        <v>870</v>
      </c>
      <c r="IF43" s="17" t="s">
        <v>870</v>
      </c>
      <c r="IG43" s="17" t="s">
        <v>870</v>
      </c>
      <c r="IH43" s="17" t="s">
        <v>870</v>
      </c>
      <c r="II43" s="17" t="s">
        <v>870</v>
      </c>
      <c r="IJ43" s="17" t="s">
        <v>870</v>
      </c>
      <c r="IK43" s="17" t="s">
        <v>870</v>
      </c>
      <c r="IL43" s="17" t="s">
        <v>870</v>
      </c>
      <c r="IM43" s="17" t="s">
        <v>870</v>
      </c>
      <c r="IN43" s="17" t="s">
        <v>870</v>
      </c>
      <c r="IO43" s="17" t="s">
        <v>870</v>
      </c>
    </row>
    <row r="44" spans="1:249" x14ac:dyDescent="0.25">
      <c r="A44" t="s">
        <v>320</v>
      </c>
      <c r="B44" s="17" t="s">
        <v>870</v>
      </c>
      <c r="C44" s="17" t="s">
        <v>870</v>
      </c>
      <c r="D44" s="17" t="s">
        <v>870</v>
      </c>
      <c r="E44" s="17" t="s">
        <v>870</v>
      </c>
      <c r="F44" s="17" t="s">
        <v>870</v>
      </c>
      <c r="G44" s="17" t="s">
        <v>870</v>
      </c>
      <c r="H44" s="17" t="s">
        <v>870</v>
      </c>
      <c r="I44" s="17" t="s">
        <v>870</v>
      </c>
      <c r="J44" s="17" t="s">
        <v>870</v>
      </c>
      <c r="K44" s="17" t="s">
        <v>870</v>
      </c>
      <c r="L44" s="17" t="s">
        <v>870</v>
      </c>
      <c r="M44" s="17" t="s">
        <v>870</v>
      </c>
      <c r="N44" s="17" t="s">
        <v>870</v>
      </c>
      <c r="O44" s="17" t="s">
        <v>870</v>
      </c>
      <c r="P44" s="17" t="s">
        <v>870</v>
      </c>
      <c r="Q44" s="17" t="s">
        <v>870</v>
      </c>
      <c r="R44" s="17" t="s">
        <v>870</v>
      </c>
      <c r="S44" s="17" t="s">
        <v>870</v>
      </c>
      <c r="T44" s="17" t="s">
        <v>870</v>
      </c>
      <c r="U44" s="17" t="s">
        <v>870</v>
      </c>
      <c r="V44" s="17" t="s">
        <v>870</v>
      </c>
      <c r="W44" s="17" t="s">
        <v>870</v>
      </c>
      <c r="X44" s="17" t="s">
        <v>870</v>
      </c>
      <c r="Y44" s="17" t="s">
        <v>870</v>
      </c>
      <c r="Z44" s="17" t="s">
        <v>870</v>
      </c>
      <c r="AA44" s="17" t="s">
        <v>870</v>
      </c>
      <c r="AB44" s="17" t="s">
        <v>870</v>
      </c>
      <c r="AC44" s="17" t="s">
        <v>870</v>
      </c>
      <c r="AD44" s="17" t="s">
        <v>870</v>
      </c>
      <c r="AE44" s="17" t="s">
        <v>870</v>
      </c>
      <c r="AF44" s="17" t="s">
        <v>870</v>
      </c>
      <c r="AG44" s="17" t="s">
        <v>870</v>
      </c>
      <c r="AH44" s="17" t="s">
        <v>870</v>
      </c>
      <c r="AI44" s="17" t="s">
        <v>870</v>
      </c>
      <c r="AJ44" s="17" t="s">
        <v>870</v>
      </c>
      <c r="AK44" s="17" t="s">
        <v>870</v>
      </c>
      <c r="AL44" s="17" t="s">
        <v>870</v>
      </c>
      <c r="AM44" s="17" t="s">
        <v>870</v>
      </c>
      <c r="AN44" s="17" t="s">
        <v>870</v>
      </c>
      <c r="AO44" s="17" t="s">
        <v>870</v>
      </c>
      <c r="AP44" s="17" t="s">
        <v>870</v>
      </c>
      <c r="AQ44" s="17" t="s">
        <v>870</v>
      </c>
      <c r="AR44" s="17" t="s">
        <v>870</v>
      </c>
      <c r="AS44" s="17" t="s">
        <v>870</v>
      </c>
      <c r="AT44" s="17" t="s">
        <v>870</v>
      </c>
      <c r="AU44" s="17" t="s">
        <v>870</v>
      </c>
      <c r="AV44" s="17" t="s">
        <v>870</v>
      </c>
      <c r="AW44" s="17" t="s">
        <v>870</v>
      </c>
      <c r="AX44" s="17" t="s">
        <v>870</v>
      </c>
      <c r="AY44" s="17" t="s">
        <v>870</v>
      </c>
      <c r="AZ44" s="17" t="s">
        <v>870</v>
      </c>
      <c r="BA44" s="17" t="s">
        <v>870</v>
      </c>
      <c r="BB44" s="17" t="s">
        <v>870</v>
      </c>
      <c r="BC44" s="17" t="s">
        <v>870</v>
      </c>
      <c r="BD44" s="17" t="s">
        <v>870</v>
      </c>
      <c r="BE44" s="17" t="s">
        <v>870</v>
      </c>
      <c r="BF44" s="17" t="s">
        <v>870</v>
      </c>
      <c r="BG44" s="17" t="s">
        <v>870</v>
      </c>
      <c r="BH44" s="17" t="s">
        <v>870</v>
      </c>
      <c r="BI44" s="17" t="s">
        <v>870</v>
      </c>
      <c r="BJ44" s="17" t="s">
        <v>870</v>
      </c>
      <c r="BK44" s="17" t="s">
        <v>870</v>
      </c>
      <c r="BL44" s="17" t="s">
        <v>870</v>
      </c>
      <c r="BM44" s="17" t="s">
        <v>870</v>
      </c>
      <c r="BN44" s="17" t="s">
        <v>870</v>
      </c>
      <c r="BO44" s="17" t="s">
        <v>870</v>
      </c>
      <c r="BP44" s="17" t="s">
        <v>870</v>
      </c>
      <c r="BQ44" s="17" t="s">
        <v>870</v>
      </c>
      <c r="BR44" s="17" t="s">
        <v>870</v>
      </c>
      <c r="BS44" s="17" t="s">
        <v>870</v>
      </c>
      <c r="BT44" s="17" t="s">
        <v>870</v>
      </c>
      <c r="BU44" s="17" t="s">
        <v>870</v>
      </c>
      <c r="BV44" s="17" t="s">
        <v>870</v>
      </c>
      <c r="BW44" s="17" t="s">
        <v>870</v>
      </c>
      <c r="BX44" s="17" t="s">
        <v>870</v>
      </c>
      <c r="BY44" s="17" t="s">
        <v>870</v>
      </c>
      <c r="BZ44" s="17" t="s">
        <v>870</v>
      </c>
      <c r="CA44" s="17" t="s">
        <v>870</v>
      </c>
      <c r="CB44" s="17" t="s">
        <v>870</v>
      </c>
      <c r="CC44" s="17" t="s">
        <v>870</v>
      </c>
      <c r="CD44" s="17" t="s">
        <v>870</v>
      </c>
      <c r="CE44" s="17" t="s">
        <v>870</v>
      </c>
      <c r="CF44" s="17" t="s">
        <v>870</v>
      </c>
      <c r="CG44" s="17" t="s">
        <v>870</v>
      </c>
      <c r="CH44" s="17" t="s">
        <v>870</v>
      </c>
      <c r="CI44" s="17" t="s">
        <v>870</v>
      </c>
      <c r="CJ44" s="17" t="s">
        <v>870</v>
      </c>
      <c r="CK44" s="17" t="s">
        <v>870</v>
      </c>
      <c r="CL44" s="17" t="s">
        <v>870</v>
      </c>
      <c r="CM44" s="17" t="s">
        <v>870</v>
      </c>
      <c r="CN44" s="17" t="s">
        <v>870</v>
      </c>
      <c r="CO44" s="17" t="s">
        <v>870</v>
      </c>
      <c r="CP44" s="17" t="s">
        <v>870</v>
      </c>
      <c r="CQ44" s="17" t="s">
        <v>870</v>
      </c>
      <c r="CR44" s="17" t="s">
        <v>870</v>
      </c>
      <c r="CS44" s="17" t="s">
        <v>870</v>
      </c>
      <c r="CT44" s="17" t="s">
        <v>870</v>
      </c>
      <c r="CU44" s="17" t="s">
        <v>870</v>
      </c>
      <c r="CV44" s="17" t="s">
        <v>870</v>
      </c>
      <c r="CW44" s="17" t="s">
        <v>870</v>
      </c>
      <c r="CX44" s="17" t="s">
        <v>870</v>
      </c>
      <c r="CY44" s="17" t="s">
        <v>870</v>
      </c>
      <c r="CZ44" s="17" t="s">
        <v>870</v>
      </c>
      <c r="DA44" s="17" t="s">
        <v>870</v>
      </c>
      <c r="DB44" s="17" t="s">
        <v>870</v>
      </c>
      <c r="DC44" s="17" t="s">
        <v>870</v>
      </c>
      <c r="DD44" s="17" t="s">
        <v>870</v>
      </c>
      <c r="DE44" s="17" t="s">
        <v>870</v>
      </c>
      <c r="DF44" s="17" t="s">
        <v>870</v>
      </c>
      <c r="DG44" s="17" t="s">
        <v>870</v>
      </c>
      <c r="DH44" s="17" t="s">
        <v>870</v>
      </c>
      <c r="DI44" s="17" t="s">
        <v>870</v>
      </c>
      <c r="DJ44" s="17" t="s">
        <v>870</v>
      </c>
      <c r="DK44" s="17" t="s">
        <v>870</v>
      </c>
      <c r="DL44" s="17" t="s">
        <v>870</v>
      </c>
      <c r="DM44" s="17" t="s">
        <v>870</v>
      </c>
      <c r="DN44" s="17" t="s">
        <v>870</v>
      </c>
      <c r="DO44" s="17" t="s">
        <v>870</v>
      </c>
      <c r="DP44" s="17" t="s">
        <v>870</v>
      </c>
      <c r="DQ44" s="17" t="s">
        <v>870</v>
      </c>
      <c r="DR44" s="17" t="s">
        <v>870</v>
      </c>
      <c r="DS44" s="17" t="s">
        <v>870</v>
      </c>
      <c r="DT44" s="63"/>
      <c r="DU44" s="63"/>
      <c r="DV44" s="63"/>
      <c r="DW44" s="61" t="s">
        <v>2</v>
      </c>
      <c r="DX44" s="17" t="s">
        <v>870</v>
      </c>
      <c r="DY44" s="17" t="s">
        <v>870</v>
      </c>
      <c r="DZ44" s="61" t="s">
        <v>2</v>
      </c>
      <c r="EA44" s="63"/>
      <c r="EB44" s="17" t="s">
        <v>870</v>
      </c>
      <c r="EC44" s="17" t="s">
        <v>870</v>
      </c>
      <c r="ED44" s="17" t="s">
        <v>870</v>
      </c>
      <c r="EE44" s="17" t="s">
        <v>870</v>
      </c>
      <c r="EF44" s="17" t="s">
        <v>870</v>
      </c>
      <c r="EG44" s="17" t="s">
        <v>870</v>
      </c>
      <c r="EH44" s="61" t="s">
        <v>2</v>
      </c>
      <c r="EI44" s="63"/>
      <c r="EJ44" s="63"/>
      <c r="EK44" s="63"/>
      <c r="EL44" s="17" t="s">
        <v>870</v>
      </c>
      <c r="EM44" s="17" t="s">
        <v>870</v>
      </c>
      <c r="EN44" s="17" t="s">
        <v>870</v>
      </c>
      <c r="EO44" s="17" t="s">
        <v>870</v>
      </c>
      <c r="EP44" s="63"/>
      <c r="EQ44" s="63"/>
      <c r="ER44" s="63"/>
      <c r="ES44" s="63"/>
      <c r="ET44" s="63"/>
      <c r="EU44" s="63"/>
      <c r="EV44" s="63"/>
      <c r="EW44" s="63"/>
      <c r="EX44" s="63"/>
      <c r="EY44" s="63"/>
      <c r="EZ44" s="62"/>
      <c r="FA44" s="63"/>
      <c r="FB44" s="63"/>
      <c r="FC44" s="63"/>
      <c r="FD44" s="63"/>
      <c r="FE44" s="63"/>
      <c r="FF44" s="63"/>
      <c r="FG44" s="63"/>
      <c r="FH44" s="17" t="s">
        <v>870</v>
      </c>
      <c r="FI44" s="17" t="s">
        <v>870</v>
      </c>
      <c r="FJ44" s="17" t="s">
        <v>870</v>
      </c>
      <c r="FK44" s="17" t="s">
        <v>870</v>
      </c>
      <c r="FL44" s="17" t="s">
        <v>870</v>
      </c>
      <c r="FM44" s="17" t="s">
        <v>870</v>
      </c>
      <c r="FN44" s="63"/>
      <c r="FO44" s="63"/>
      <c r="FP44" s="17" t="s">
        <v>870</v>
      </c>
      <c r="FQ44" s="17" t="s">
        <v>870</v>
      </c>
      <c r="FR44" s="17" t="s">
        <v>870</v>
      </c>
      <c r="FS44" s="17" t="s">
        <v>870</v>
      </c>
      <c r="FT44" s="17" t="s">
        <v>870</v>
      </c>
      <c r="FU44" s="17" t="s">
        <v>870</v>
      </c>
      <c r="FV44" s="63"/>
      <c r="FW44" s="63"/>
      <c r="FX44" s="17" t="s">
        <v>870</v>
      </c>
      <c r="FY44" s="17" t="s">
        <v>870</v>
      </c>
      <c r="FZ44" s="17" t="s">
        <v>870</v>
      </c>
      <c r="GA44" s="17" t="s">
        <v>870</v>
      </c>
      <c r="GB44" s="17" t="s">
        <v>870</v>
      </c>
      <c r="GC44" s="17" t="s">
        <v>870</v>
      </c>
      <c r="GD44" s="17" t="s">
        <v>870</v>
      </c>
      <c r="GE44" s="17" t="s">
        <v>870</v>
      </c>
      <c r="GF44" s="17" t="s">
        <v>870</v>
      </c>
      <c r="GG44" s="17" t="s">
        <v>870</v>
      </c>
      <c r="GH44" s="17" t="s">
        <v>870</v>
      </c>
      <c r="GI44" s="17" t="s">
        <v>870</v>
      </c>
      <c r="GJ44" s="17" t="s">
        <v>870</v>
      </c>
      <c r="GK44" s="17" t="s">
        <v>870</v>
      </c>
      <c r="GL44" s="17" t="s">
        <v>870</v>
      </c>
      <c r="GM44" s="17" t="s">
        <v>870</v>
      </c>
      <c r="GN44" s="17" t="s">
        <v>870</v>
      </c>
      <c r="GO44" s="17" t="s">
        <v>870</v>
      </c>
      <c r="GP44" s="17" t="s">
        <v>870</v>
      </c>
      <c r="GQ44" s="17" t="s">
        <v>870</v>
      </c>
      <c r="GR44" s="63"/>
      <c r="GS44" s="61" t="s">
        <v>2</v>
      </c>
      <c r="GT44" s="17" t="s">
        <v>870</v>
      </c>
      <c r="GU44" s="17" t="s">
        <v>870</v>
      </c>
      <c r="GV44" s="17" t="s">
        <v>870</v>
      </c>
      <c r="GW44" s="17" t="s">
        <v>870</v>
      </c>
      <c r="GX44" s="17" t="s">
        <v>870</v>
      </c>
      <c r="GY44" s="17" t="s">
        <v>870</v>
      </c>
      <c r="GZ44" s="17" t="s">
        <v>870</v>
      </c>
      <c r="HA44" s="17" t="s">
        <v>870</v>
      </c>
      <c r="HB44" s="63"/>
      <c r="HC44" s="61" t="s">
        <v>2</v>
      </c>
      <c r="HD44" s="63"/>
      <c r="HE44" s="63"/>
      <c r="HF44" s="17" t="s">
        <v>870</v>
      </c>
      <c r="HG44" s="17" t="s">
        <v>870</v>
      </c>
      <c r="HH44" s="61" t="s">
        <v>2</v>
      </c>
      <c r="HI44" s="63"/>
      <c r="HJ44" s="17" t="s">
        <v>870</v>
      </c>
      <c r="HK44" s="17" t="s">
        <v>870</v>
      </c>
      <c r="HL44" s="62"/>
      <c r="HM44" s="61" t="s">
        <v>2</v>
      </c>
      <c r="HN44" s="17" t="s">
        <v>870</v>
      </c>
      <c r="HO44" s="17" t="s">
        <v>870</v>
      </c>
      <c r="HP44" s="17" t="s">
        <v>870</v>
      </c>
      <c r="HQ44" s="17" t="s">
        <v>870</v>
      </c>
      <c r="HR44" s="17" t="s">
        <v>870</v>
      </c>
      <c r="HS44" s="17" t="s">
        <v>870</v>
      </c>
      <c r="HT44" s="17" t="s">
        <v>870</v>
      </c>
      <c r="HU44" s="17" t="s">
        <v>870</v>
      </c>
      <c r="HV44" s="17" t="s">
        <v>870</v>
      </c>
      <c r="HW44" s="17" t="s">
        <v>870</v>
      </c>
      <c r="HX44" s="17" t="s">
        <v>870</v>
      </c>
      <c r="HY44" s="17" t="s">
        <v>870</v>
      </c>
      <c r="HZ44" s="17" t="s">
        <v>870</v>
      </c>
      <c r="IA44" s="17" t="s">
        <v>870</v>
      </c>
      <c r="IB44" s="17" t="s">
        <v>870</v>
      </c>
      <c r="IC44" s="17" t="s">
        <v>870</v>
      </c>
      <c r="ID44" s="72" t="s">
        <v>1552</v>
      </c>
      <c r="IE44" s="17" t="s">
        <v>870</v>
      </c>
      <c r="IF44" s="17" t="s">
        <v>870</v>
      </c>
      <c r="IG44" s="17" t="s">
        <v>870</v>
      </c>
      <c r="IH44" s="17" t="s">
        <v>870</v>
      </c>
      <c r="II44" s="17" t="s">
        <v>870</v>
      </c>
      <c r="IJ44" s="17" t="s">
        <v>870</v>
      </c>
      <c r="IK44" s="17" t="s">
        <v>870</v>
      </c>
      <c r="IL44" s="17" t="s">
        <v>870</v>
      </c>
      <c r="IM44" s="17" t="s">
        <v>870</v>
      </c>
      <c r="IN44" s="17" t="s">
        <v>870</v>
      </c>
      <c r="IO44" s="17" t="s">
        <v>870</v>
      </c>
    </row>
    <row r="45" spans="1:249" x14ac:dyDescent="0.25">
      <c r="A45" t="s">
        <v>223</v>
      </c>
      <c r="B45" s="17" t="s">
        <v>870</v>
      </c>
      <c r="C45" s="17" t="s">
        <v>870</v>
      </c>
      <c r="D45" s="17" t="s">
        <v>870</v>
      </c>
      <c r="E45" s="17" t="s">
        <v>870</v>
      </c>
      <c r="F45" s="17" t="s">
        <v>870</v>
      </c>
      <c r="G45" s="17" t="s">
        <v>870</v>
      </c>
      <c r="H45" s="17" t="s">
        <v>870</v>
      </c>
      <c r="I45" s="17" t="s">
        <v>870</v>
      </c>
      <c r="J45" s="17" t="s">
        <v>870</v>
      </c>
      <c r="K45" s="17" t="s">
        <v>870</v>
      </c>
      <c r="L45" s="17" t="s">
        <v>870</v>
      </c>
      <c r="M45" s="17" t="s">
        <v>870</v>
      </c>
      <c r="N45" s="17" t="s">
        <v>870</v>
      </c>
      <c r="O45" s="17" t="s">
        <v>870</v>
      </c>
      <c r="P45" s="17" t="s">
        <v>870</v>
      </c>
      <c r="Q45" s="17" t="s">
        <v>870</v>
      </c>
      <c r="R45" s="17" t="s">
        <v>870</v>
      </c>
      <c r="S45" s="17" t="s">
        <v>870</v>
      </c>
      <c r="T45" s="17" t="s">
        <v>870</v>
      </c>
      <c r="U45" s="17" t="s">
        <v>870</v>
      </c>
      <c r="V45" s="17" t="s">
        <v>870</v>
      </c>
      <c r="W45" s="17" t="s">
        <v>870</v>
      </c>
      <c r="X45" s="17" t="s">
        <v>870</v>
      </c>
      <c r="Y45" s="17" t="s">
        <v>870</v>
      </c>
      <c r="Z45" s="17" t="s">
        <v>870</v>
      </c>
      <c r="AA45" s="17" t="s">
        <v>870</v>
      </c>
      <c r="AB45" s="17" t="s">
        <v>870</v>
      </c>
      <c r="AC45" s="17" t="s">
        <v>870</v>
      </c>
      <c r="AD45" s="17" t="s">
        <v>870</v>
      </c>
      <c r="AE45" s="17" t="s">
        <v>870</v>
      </c>
      <c r="AF45" s="17" t="s">
        <v>870</v>
      </c>
      <c r="AG45" s="17" t="s">
        <v>870</v>
      </c>
      <c r="AH45" s="17" t="s">
        <v>870</v>
      </c>
      <c r="AI45" s="17" t="s">
        <v>870</v>
      </c>
      <c r="AJ45" s="17" t="s">
        <v>870</v>
      </c>
      <c r="AK45" s="17" t="s">
        <v>870</v>
      </c>
      <c r="AL45" s="17" t="s">
        <v>870</v>
      </c>
      <c r="AM45" s="17" t="s">
        <v>870</v>
      </c>
      <c r="AN45" s="17" t="s">
        <v>870</v>
      </c>
      <c r="AO45" s="17" t="s">
        <v>870</v>
      </c>
      <c r="AP45" s="17" t="s">
        <v>870</v>
      </c>
      <c r="AQ45" s="17" t="s">
        <v>870</v>
      </c>
      <c r="AR45" s="17" t="s">
        <v>870</v>
      </c>
      <c r="AS45" s="17" t="s">
        <v>870</v>
      </c>
      <c r="AT45" s="17" t="s">
        <v>870</v>
      </c>
      <c r="AU45" s="17" t="s">
        <v>870</v>
      </c>
      <c r="AV45" s="17" t="s">
        <v>870</v>
      </c>
      <c r="AW45" s="17" t="s">
        <v>870</v>
      </c>
      <c r="AX45" s="17" t="s">
        <v>870</v>
      </c>
      <c r="AY45" s="17" t="s">
        <v>870</v>
      </c>
      <c r="AZ45" s="17" t="s">
        <v>870</v>
      </c>
      <c r="BA45" s="17" t="s">
        <v>870</v>
      </c>
      <c r="BB45" s="17" t="s">
        <v>870</v>
      </c>
      <c r="BC45" s="17" t="s">
        <v>870</v>
      </c>
      <c r="BD45" s="17" t="s">
        <v>870</v>
      </c>
      <c r="BE45" s="17" t="s">
        <v>870</v>
      </c>
      <c r="BF45" s="17" t="s">
        <v>870</v>
      </c>
      <c r="BG45" s="17" t="s">
        <v>870</v>
      </c>
      <c r="BH45" s="17" t="s">
        <v>870</v>
      </c>
      <c r="BI45" s="17" t="s">
        <v>870</v>
      </c>
      <c r="BJ45" s="17" t="s">
        <v>870</v>
      </c>
      <c r="BK45" s="17" t="s">
        <v>870</v>
      </c>
      <c r="BL45" s="17" t="s">
        <v>870</v>
      </c>
      <c r="BM45" s="17" t="s">
        <v>870</v>
      </c>
      <c r="BN45" s="17" t="s">
        <v>870</v>
      </c>
      <c r="BO45" s="17" t="s">
        <v>870</v>
      </c>
      <c r="BP45" s="17" t="s">
        <v>870</v>
      </c>
      <c r="BQ45" s="17" t="s">
        <v>870</v>
      </c>
      <c r="BR45" s="17" t="s">
        <v>870</v>
      </c>
      <c r="BS45" s="17" t="s">
        <v>870</v>
      </c>
      <c r="BT45" s="17" t="s">
        <v>870</v>
      </c>
      <c r="BU45" s="17" t="s">
        <v>870</v>
      </c>
      <c r="BV45" s="17" t="s">
        <v>870</v>
      </c>
      <c r="BW45" s="17" t="s">
        <v>870</v>
      </c>
      <c r="BX45" s="17" t="s">
        <v>870</v>
      </c>
      <c r="BY45" s="17" t="s">
        <v>870</v>
      </c>
      <c r="BZ45" s="17" t="s">
        <v>870</v>
      </c>
      <c r="CA45" s="17" t="s">
        <v>870</v>
      </c>
      <c r="CB45" s="62"/>
      <c r="CC45" s="63"/>
      <c r="CD45" s="61" t="s">
        <v>2</v>
      </c>
      <c r="CE45" s="63"/>
      <c r="CF45" s="17" t="s">
        <v>870</v>
      </c>
      <c r="CG45" s="17" t="s">
        <v>870</v>
      </c>
      <c r="CH45" s="62"/>
      <c r="CI45" s="61" t="s">
        <v>2</v>
      </c>
      <c r="CJ45" s="17" t="s">
        <v>870</v>
      </c>
      <c r="CK45" s="17" t="s">
        <v>870</v>
      </c>
      <c r="CL45" s="17" t="s">
        <v>870</v>
      </c>
      <c r="CM45" s="17" t="s">
        <v>870</v>
      </c>
      <c r="CN45" s="17" t="s">
        <v>870</v>
      </c>
      <c r="CO45" s="17" t="s">
        <v>870</v>
      </c>
      <c r="CP45" s="17" t="s">
        <v>870</v>
      </c>
      <c r="CQ45" s="17" t="s">
        <v>870</v>
      </c>
      <c r="CR45" s="63"/>
      <c r="CS45" s="63"/>
      <c r="CT45" s="61" t="s">
        <v>2</v>
      </c>
      <c r="CU45" s="63"/>
      <c r="CV45" s="17" t="s">
        <v>870</v>
      </c>
      <c r="CW45" s="17" t="s">
        <v>870</v>
      </c>
      <c r="CX45" s="17" t="s">
        <v>870</v>
      </c>
      <c r="CY45" s="17" t="s">
        <v>870</v>
      </c>
      <c r="CZ45" s="17" t="s">
        <v>870</v>
      </c>
      <c r="DA45" s="17" t="s">
        <v>870</v>
      </c>
      <c r="DB45" s="17" t="s">
        <v>870</v>
      </c>
      <c r="DC45" s="17" t="s">
        <v>870</v>
      </c>
      <c r="DD45" s="17" t="s">
        <v>870</v>
      </c>
      <c r="DE45" s="17" t="s">
        <v>870</v>
      </c>
      <c r="DF45" s="17" t="s">
        <v>870</v>
      </c>
      <c r="DG45" s="17" t="s">
        <v>870</v>
      </c>
      <c r="DH45" s="17" t="s">
        <v>870</v>
      </c>
      <c r="DI45" s="17" t="s">
        <v>870</v>
      </c>
      <c r="DJ45" s="17" t="s">
        <v>870</v>
      </c>
      <c r="DK45" s="17" t="s">
        <v>870</v>
      </c>
      <c r="DL45" s="17" t="s">
        <v>870</v>
      </c>
      <c r="DM45" s="17" t="s">
        <v>870</v>
      </c>
      <c r="DN45" s="17" t="s">
        <v>870</v>
      </c>
      <c r="DO45" s="17" t="s">
        <v>870</v>
      </c>
      <c r="DP45" s="17" t="s">
        <v>870</v>
      </c>
      <c r="DQ45" s="17" t="s">
        <v>870</v>
      </c>
      <c r="DR45" s="17" t="s">
        <v>870</v>
      </c>
      <c r="DS45" s="17" t="s">
        <v>870</v>
      </c>
      <c r="DT45" s="17" t="s">
        <v>870</v>
      </c>
      <c r="DU45" s="17" t="s">
        <v>870</v>
      </c>
      <c r="DV45" s="17" t="s">
        <v>870</v>
      </c>
      <c r="DW45" s="17" t="s">
        <v>870</v>
      </c>
      <c r="DX45" s="17" t="s">
        <v>870</v>
      </c>
      <c r="DY45" s="17" t="s">
        <v>870</v>
      </c>
      <c r="DZ45" s="17" t="s">
        <v>870</v>
      </c>
      <c r="EA45" s="17" t="s">
        <v>870</v>
      </c>
      <c r="EB45" s="17" t="s">
        <v>870</v>
      </c>
      <c r="EC45" s="17" t="s">
        <v>870</v>
      </c>
      <c r="ED45" s="17" t="s">
        <v>870</v>
      </c>
      <c r="EE45" s="17" t="s">
        <v>870</v>
      </c>
      <c r="EF45" s="17" t="s">
        <v>870</v>
      </c>
      <c r="EG45" s="17" t="s">
        <v>870</v>
      </c>
      <c r="EH45" s="17" t="s">
        <v>870</v>
      </c>
      <c r="EI45" s="17" t="s">
        <v>870</v>
      </c>
      <c r="EJ45" s="17" t="s">
        <v>870</v>
      </c>
      <c r="EK45" s="17" t="s">
        <v>870</v>
      </c>
      <c r="EL45" s="17" t="s">
        <v>870</v>
      </c>
      <c r="EM45" s="17" t="s">
        <v>870</v>
      </c>
      <c r="EN45" s="17" t="s">
        <v>870</v>
      </c>
      <c r="EO45" s="17" t="s">
        <v>870</v>
      </c>
      <c r="EP45" s="17" t="s">
        <v>870</v>
      </c>
      <c r="EQ45" s="17" t="s">
        <v>870</v>
      </c>
      <c r="ER45" s="17" t="s">
        <v>870</v>
      </c>
      <c r="ES45" s="17" t="s">
        <v>870</v>
      </c>
      <c r="ET45" s="17" t="s">
        <v>870</v>
      </c>
      <c r="EU45" s="17" t="s">
        <v>870</v>
      </c>
      <c r="EV45" s="17" t="s">
        <v>870</v>
      </c>
      <c r="EW45" s="17" t="s">
        <v>870</v>
      </c>
      <c r="EX45" s="17" t="s">
        <v>870</v>
      </c>
      <c r="EY45" s="17" t="s">
        <v>870</v>
      </c>
      <c r="EZ45" s="17" t="s">
        <v>870</v>
      </c>
      <c r="FA45" s="17" t="s">
        <v>870</v>
      </c>
      <c r="FB45" s="17" t="s">
        <v>870</v>
      </c>
      <c r="FC45" s="17" t="s">
        <v>870</v>
      </c>
      <c r="FD45" s="17" t="s">
        <v>870</v>
      </c>
      <c r="FE45" s="17" t="s">
        <v>870</v>
      </c>
      <c r="FF45" s="17" t="s">
        <v>870</v>
      </c>
      <c r="FG45" s="17" t="s">
        <v>870</v>
      </c>
      <c r="FH45" s="17" t="s">
        <v>870</v>
      </c>
      <c r="FI45" s="17" t="s">
        <v>870</v>
      </c>
      <c r="FJ45" s="17" t="s">
        <v>870</v>
      </c>
      <c r="FK45" s="17" t="s">
        <v>870</v>
      </c>
      <c r="FL45" s="17" t="s">
        <v>870</v>
      </c>
      <c r="FM45" s="17" t="s">
        <v>870</v>
      </c>
      <c r="FN45" s="17" t="s">
        <v>870</v>
      </c>
      <c r="FO45" s="17" t="s">
        <v>870</v>
      </c>
      <c r="FP45" s="17" t="s">
        <v>870</v>
      </c>
      <c r="FQ45" s="17" t="s">
        <v>870</v>
      </c>
      <c r="FR45" s="17" t="s">
        <v>870</v>
      </c>
      <c r="FS45" s="17" t="s">
        <v>870</v>
      </c>
      <c r="FT45" s="17" t="s">
        <v>870</v>
      </c>
      <c r="FU45" s="17" t="s">
        <v>870</v>
      </c>
      <c r="FV45" s="17" t="s">
        <v>870</v>
      </c>
      <c r="FW45" s="17" t="s">
        <v>870</v>
      </c>
      <c r="FX45" s="17" t="s">
        <v>870</v>
      </c>
      <c r="FY45" s="17" t="s">
        <v>870</v>
      </c>
      <c r="FZ45" s="17" t="s">
        <v>870</v>
      </c>
      <c r="GA45" s="17" t="s">
        <v>870</v>
      </c>
      <c r="GB45" s="17" t="s">
        <v>870</v>
      </c>
      <c r="GC45" s="17" t="s">
        <v>870</v>
      </c>
      <c r="GD45" s="17" t="s">
        <v>870</v>
      </c>
      <c r="GE45" s="17" t="s">
        <v>870</v>
      </c>
      <c r="GF45" s="17" t="s">
        <v>870</v>
      </c>
      <c r="GG45" s="17" t="s">
        <v>870</v>
      </c>
      <c r="GH45" s="17" t="s">
        <v>870</v>
      </c>
      <c r="GI45" s="17" t="s">
        <v>870</v>
      </c>
      <c r="GJ45" s="17" t="s">
        <v>870</v>
      </c>
      <c r="GK45" s="17" t="s">
        <v>870</v>
      </c>
      <c r="GL45" s="17" t="s">
        <v>870</v>
      </c>
      <c r="GM45" s="17" t="s">
        <v>870</v>
      </c>
      <c r="GN45" s="17" t="s">
        <v>870</v>
      </c>
      <c r="GO45" s="17" t="s">
        <v>870</v>
      </c>
      <c r="GP45" s="17" t="s">
        <v>870</v>
      </c>
      <c r="GQ45" s="17" t="s">
        <v>870</v>
      </c>
      <c r="GR45" s="17" t="s">
        <v>870</v>
      </c>
      <c r="GS45" s="17" t="s">
        <v>870</v>
      </c>
      <c r="GT45" s="17" t="s">
        <v>870</v>
      </c>
      <c r="GU45" s="17" t="s">
        <v>870</v>
      </c>
      <c r="GV45" s="17" t="s">
        <v>870</v>
      </c>
      <c r="GW45" s="17" t="s">
        <v>870</v>
      </c>
      <c r="GX45" s="17" t="s">
        <v>870</v>
      </c>
      <c r="GY45" s="17" t="s">
        <v>870</v>
      </c>
      <c r="GZ45" s="17" t="s">
        <v>870</v>
      </c>
      <c r="HA45" s="17" t="s">
        <v>870</v>
      </c>
      <c r="HB45" s="17" t="s">
        <v>870</v>
      </c>
      <c r="HC45" s="17" t="s">
        <v>870</v>
      </c>
      <c r="HD45" s="17" t="s">
        <v>870</v>
      </c>
      <c r="HE45" s="17" t="s">
        <v>870</v>
      </c>
      <c r="HF45" s="17" t="s">
        <v>870</v>
      </c>
      <c r="HG45" s="17" t="s">
        <v>870</v>
      </c>
      <c r="HH45" s="17" t="s">
        <v>870</v>
      </c>
      <c r="HI45" s="17" t="s">
        <v>870</v>
      </c>
      <c r="HJ45" s="17" t="s">
        <v>870</v>
      </c>
      <c r="HK45" s="17" t="s">
        <v>870</v>
      </c>
      <c r="HL45" s="17" t="s">
        <v>870</v>
      </c>
      <c r="HM45" s="17" t="s">
        <v>870</v>
      </c>
      <c r="HN45" s="17" t="s">
        <v>870</v>
      </c>
      <c r="HO45" s="17" t="s">
        <v>870</v>
      </c>
      <c r="HP45" s="17" t="s">
        <v>870</v>
      </c>
      <c r="HQ45" s="17" t="s">
        <v>870</v>
      </c>
      <c r="HR45" s="17" t="s">
        <v>870</v>
      </c>
      <c r="HS45" s="17" t="s">
        <v>870</v>
      </c>
      <c r="HT45" s="17" t="s">
        <v>870</v>
      </c>
      <c r="HU45" s="17" t="s">
        <v>870</v>
      </c>
      <c r="HV45" s="17" t="s">
        <v>870</v>
      </c>
      <c r="HW45" s="17" t="s">
        <v>870</v>
      </c>
      <c r="HX45" s="17" t="s">
        <v>870</v>
      </c>
      <c r="HY45" s="17" t="s">
        <v>870</v>
      </c>
      <c r="HZ45" s="17" t="s">
        <v>870</v>
      </c>
      <c r="IA45" s="17" t="s">
        <v>870</v>
      </c>
      <c r="IB45" s="17" t="s">
        <v>870</v>
      </c>
      <c r="IC45" s="17" t="s">
        <v>870</v>
      </c>
      <c r="ID45" s="72" t="s">
        <v>1552</v>
      </c>
      <c r="IE45" s="17" t="s">
        <v>870</v>
      </c>
      <c r="IF45" s="17" t="s">
        <v>870</v>
      </c>
      <c r="IG45" s="17" t="s">
        <v>870</v>
      </c>
      <c r="IH45" s="17" t="s">
        <v>870</v>
      </c>
      <c r="II45" s="17" t="s">
        <v>870</v>
      </c>
      <c r="IJ45" s="17" t="s">
        <v>870</v>
      </c>
      <c r="IK45" s="17" t="s">
        <v>870</v>
      </c>
      <c r="IL45" s="17" t="s">
        <v>870</v>
      </c>
      <c r="IM45" s="17" t="s">
        <v>870</v>
      </c>
      <c r="IN45" s="17" t="s">
        <v>870</v>
      </c>
      <c r="IO45" s="17" t="s">
        <v>870</v>
      </c>
    </row>
    <row r="46" spans="1:249" x14ac:dyDescent="0.25">
      <c r="A46" t="s">
        <v>446</v>
      </c>
      <c r="B46" s="17" t="s">
        <v>870</v>
      </c>
      <c r="C46" s="17" t="s">
        <v>870</v>
      </c>
      <c r="D46" s="17" t="s">
        <v>870</v>
      </c>
      <c r="E46" s="17" t="s">
        <v>870</v>
      </c>
      <c r="F46" s="17" t="s">
        <v>870</v>
      </c>
      <c r="G46" s="17" t="s">
        <v>870</v>
      </c>
      <c r="H46" s="17" t="s">
        <v>870</v>
      </c>
      <c r="I46" s="17" t="s">
        <v>870</v>
      </c>
      <c r="J46" s="17" t="s">
        <v>870</v>
      </c>
      <c r="K46" s="17" t="s">
        <v>870</v>
      </c>
      <c r="L46" s="17" t="s">
        <v>870</v>
      </c>
      <c r="M46" s="17" t="s">
        <v>870</v>
      </c>
      <c r="N46" s="17" t="s">
        <v>870</v>
      </c>
      <c r="O46" s="17" t="s">
        <v>870</v>
      </c>
      <c r="P46" s="17" t="s">
        <v>870</v>
      </c>
      <c r="Q46" s="17" t="s">
        <v>870</v>
      </c>
      <c r="R46" s="17" t="s">
        <v>870</v>
      </c>
      <c r="S46" s="17" t="s">
        <v>870</v>
      </c>
      <c r="T46" s="17" t="s">
        <v>870</v>
      </c>
      <c r="U46" s="17" t="s">
        <v>870</v>
      </c>
      <c r="V46" s="17" t="s">
        <v>870</v>
      </c>
      <c r="W46" s="17" t="s">
        <v>870</v>
      </c>
      <c r="X46" s="17" t="s">
        <v>870</v>
      </c>
      <c r="Y46" s="17" t="s">
        <v>870</v>
      </c>
      <c r="Z46" s="17" t="s">
        <v>870</v>
      </c>
      <c r="AA46" s="17" t="s">
        <v>870</v>
      </c>
      <c r="AB46" s="17" t="s">
        <v>870</v>
      </c>
      <c r="AC46" s="17" t="s">
        <v>870</v>
      </c>
      <c r="AD46" s="17" t="s">
        <v>870</v>
      </c>
      <c r="AE46" s="17" t="s">
        <v>870</v>
      </c>
      <c r="AF46" s="17" t="s">
        <v>870</v>
      </c>
      <c r="AG46" s="17" t="s">
        <v>870</v>
      </c>
      <c r="AH46" s="17" t="s">
        <v>870</v>
      </c>
      <c r="AI46" s="17" t="s">
        <v>870</v>
      </c>
      <c r="AJ46" s="17" t="s">
        <v>870</v>
      </c>
      <c r="AK46" s="17" t="s">
        <v>870</v>
      </c>
      <c r="AL46" s="17" t="s">
        <v>870</v>
      </c>
      <c r="AM46" s="17" t="s">
        <v>870</v>
      </c>
      <c r="AN46" s="17" t="s">
        <v>870</v>
      </c>
      <c r="AO46" s="17" t="s">
        <v>870</v>
      </c>
      <c r="AP46" s="17" t="s">
        <v>870</v>
      </c>
      <c r="AQ46" s="17" t="s">
        <v>870</v>
      </c>
      <c r="AR46" s="17" t="s">
        <v>870</v>
      </c>
      <c r="AS46" s="17" t="s">
        <v>870</v>
      </c>
      <c r="AT46" s="17" t="s">
        <v>870</v>
      </c>
      <c r="AU46" s="17" t="s">
        <v>870</v>
      </c>
      <c r="AV46" s="17" t="s">
        <v>870</v>
      </c>
      <c r="AW46" s="17" t="s">
        <v>870</v>
      </c>
      <c r="AX46" s="17" t="s">
        <v>870</v>
      </c>
      <c r="AY46" s="17" t="s">
        <v>870</v>
      </c>
      <c r="AZ46" s="17" t="s">
        <v>870</v>
      </c>
      <c r="BA46" s="17" t="s">
        <v>870</v>
      </c>
      <c r="BB46" s="17" t="s">
        <v>870</v>
      </c>
      <c r="BC46" s="17" t="s">
        <v>870</v>
      </c>
      <c r="BD46" s="17" t="s">
        <v>870</v>
      </c>
      <c r="BE46" s="17" t="s">
        <v>870</v>
      </c>
      <c r="BF46" s="17" t="s">
        <v>870</v>
      </c>
      <c r="BG46" s="17" t="s">
        <v>870</v>
      </c>
      <c r="BH46" s="17" t="s">
        <v>870</v>
      </c>
      <c r="BI46" s="17" t="s">
        <v>870</v>
      </c>
      <c r="BJ46" s="17" t="s">
        <v>870</v>
      </c>
      <c r="BK46" s="17" t="s">
        <v>870</v>
      </c>
      <c r="BL46" s="17" t="s">
        <v>870</v>
      </c>
      <c r="BM46" s="17" t="s">
        <v>870</v>
      </c>
      <c r="BN46" s="17" t="s">
        <v>870</v>
      </c>
      <c r="BO46" s="17" t="s">
        <v>870</v>
      </c>
      <c r="BP46" s="17" t="s">
        <v>870</v>
      </c>
      <c r="BQ46" s="17" t="s">
        <v>870</v>
      </c>
      <c r="BR46" s="17" t="s">
        <v>870</v>
      </c>
      <c r="BS46" s="17" t="s">
        <v>870</v>
      </c>
      <c r="BT46" s="17" t="s">
        <v>870</v>
      </c>
      <c r="BU46" s="17" t="s">
        <v>870</v>
      </c>
      <c r="BV46" s="17" t="s">
        <v>870</v>
      </c>
      <c r="BW46" s="17" t="s">
        <v>870</v>
      </c>
      <c r="BX46" s="17" t="s">
        <v>870</v>
      </c>
      <c r="BY46" s="17" t="s">
        <v>870</v>
      </c>
      <c r="BZ46" s="17" t="s">
        <v>870</v>
      </c>
      <c r="CA46" s="17" t="s">
        <v>870</v>
      </c>
      <c r="CB46" s="17" t="s">
        <v>870</v>
      </c>
      <c r="CC46" s="17" t="s">
        <v>870</v>
      </c>
      <c r="CD46" s="17" t="s">
        <v>870</v>
      </c>
      <c r="CE46" s="17" t="s">
        <v>870</v>
      </c>
      <c r="CF46" s="17" t="s">
        <v>870</v>
      </c>
      <c r="CG46" s="17" t="s">
        <v>870</v>
      </c>
      <c r="CH46" s="17" t="s">
        <v>870</v>
      </c>
      <c r="CI46" s="17" t="s">
        <v>870</v>
      </c>
      <c r="CJ46" s="17" t="s">
        <v>870</v>
      </c>
      <c r="CK46" s="17" t="s">
        <v>870</v>
      </c>
      <c r="CL46" s="17" t="s">
        <v>870</v>
      </c>
      <c r="CM46" s="17" t="s">
        <v>870</v>
      </c>
      <c r="CN46" s="17" t="s">
        <v>870</v>
      </c>
      <c r="CO46" s="17" t="s">
        <v>870</v>
      </c>
      <c r="CP46" s="17" t="s">
        <v>870</v>
      </c>
      <c r="CQ46" s="17" t="s">
        <v>870</v>
      </c>
      <c r="CR46" s="17" t="s">
        <v>870</v>
      </c>
      <c r="CS46" s="17" t="s">
        <v>870</v>
      </c>
      <c r="CT46" s="17" t="s">
        <v>870</v>
      </c>
      <c r="CU46" s="17" t="s">
        <v>870</v>
      </c>
      <c r="CV46" s="17" t="s">
        <v>870</v>
      </c>
      <c r="CW46" s="17" t="s">
        <v>870</v>
      </c>
      <c r="CX46" s="17" t="s">
        <v>870</v>
      </c>
      <c r="CY46" s="17" t="s">
        <v>870</v>
      </c>
      <c r="CZ46" s="17" t="s">
        <v>870</v>
      </c>
      <c r="DA46" s="17" t="s">
        <v>870</v>
      </c>
      <c r="DB46" s="17" t="s">
        <v>870</v>
      </c>
      <c r="DC46" s="17" t="s">
        <v>870</v>
      </c>
      <c r="DD46" s="17" t="s">
        <v>870</v>
      </c>
      <c r="DE46" s="17" t="s">
        <v>870</v>
      </c>
      <c r="DF46" s="17" t="s">
        <v>870</v>
      </c>
      <c r="DG46" s="17" t="s">
        <v>870</v>
      </c>
      <c r="DH46" s="17" t="s">
        <v>870</v>
      </c>
      <c r="DI46" s="17" t="s">
        <v>870</v>
      </c>
      <c r="DJ46" s="17" t="s">
        <v>870</v>
      </c>
      <c r="DK46" s="17" t="s">
        <v>870</v>
      </c>
      <c r="DL46" s="17" t="s">
        <v>870</v>
      </c>
      <c r="DM46" s="17" t="s">
        <v>870</v>
      </c>
      <c r="DN46" s="17" t="s">
        <v>870</v>
      </c>
      <c r="DO46" s="17" t="s">
        <v>870</v>
      </c>
      <c r="DP46" s="17" t="s">
        <v>870</v>
      </c>
      <c r="DQ46" s="17" t="s">
        <v>870</v>
      </c>
      <c r="DR46" s="17" t="s">
        <v>870</v>
      </c>
      <c r="DS46" s="17" t="s">
        <v>870</v>
      </c>
      <c r="DT46" s="17" t="s">
        <v>870</v>
      </c>
      <c r="DU46" s="17" t="s">
        <v>870</v>
      </c>
      <c r="DV46" s="17" t="s">
        <v>870</v>
      </c>
      <c r="DW46" s="17" t="s">
        <v>870</v>
      </c>
      <c r="DX46" s="17" t="s">
        <v>870</v>
      </c>
      <c r="DY46" s="17" t="s">
        <v>870</v>
      </c>
      <c r="DZ46" s="17" t="s">
        <v>870</v>
      </c>
      <c r="EA46" s="17" t="s">
        <v>870</v>
      </c>
      <c r="EB46" s="17" t="s">
        <v>870</v>
      </c>
      <c r="EC46" s="17" t="s">
        <v>870</v>
      </c>
      <c r="ED46" s="17" t="s">
        <v>870</v>
      </c>
      <c r="EE46" s="17" t="s">
        <v>870</v>
      </c>
      <c r="EF46" s="17" t="s">
        <v>870</v>
      </c>
      <c r="EG46" s="17" t="s">
        <v>870</v>
      </c>
      <c r="EH46" s="17" t="s">
        <v>870</v>
      </c>
      <c r="EI46" s="17" t="s">
        <v>870</v>
      </c>
      <c r="EJ46" s="17" t="s">
        <v>870</v>
      </c>
      <c r="EK46" s="17" t="s">
        <v>870</v>
      </c>
      <c r="EL46" s="17" t="s">
        <v>870</v>
      </c>
      <c r="EM46" s="17" t="s">
        <v>870</v>
      </c>
      <c r="EN46" s="17" t="s">
        <v>870</v>
      </c>
      <c r="EO46" s="17" t="s">
        <v>870</v>
      </c>
      <c r="EP46" s="17" t="s">
        <v>870</v>
      </c>
      <c r="EQ46" s="17" t="s">
        <v>870</v>
      </c>
      <c r="ER46" s="17" t="s">
        <v>870</v>
      </c>
      <c r="ES46" s="17" t="s">
        <v>870</v>
      </c>
      <c r="ET46" s="17" t="s">
        <v>870</v>
      </c>
      <c r="EU46" s="17" t="s">
        <v>870</v>
      </c>
      <c r="EV46" s="17" t="s">
        <v>870</v>
      </c>
      <c r="EW46" s="17" t="s">
        <v>870</v>
      </c>
      <c r="EX46" s="17" t="s">
        <v>870</v>
      </c>
      <c r="EY46" s="17" t="s">
        <v>870</v>
      </c>
      <c r="EZ46" s="17" t="s">
        <v>870</v>
      </c>
      <c r="FA46" s="17" t="s">
        <v>870</v>
      </c>
      <c r="FB46" s="17" t="s">
        <v>870</v>
      </c>
      <c r="FC46" s="17" t="s">
        <v>870</v>
      </c>
      <c r="FD46" s="17" t="s">
        <v>870</v>
      </c>
      <c r="FE46" s="17" t="s">
        <v>870</v>
      </c>
      <c r="FF46" s="17" t="s">
        <v>870</v>
      </c>
      <c r="FG46" s="17" t="s">
        <v>870</v>
      </c>
      <c r="FH46" s="17" t="s">
        <v>870</v>
      </c>
      <c r="FI46" s="17" t="s">
        <v>870</v>
      </c>
      <c r="FJ46" s="17" t="s">
        <v>870</v>
      </c>
      <c r="FK46" s="17" t="s">
        <v>870</v>
      </c>
      <c r="FL46" s="17" t="s">
        <v>870</v>
      </c>
      <c r="FM46" s="17" t="s">
        <v>870</v>
      </c>
      <c r="FN46" s="17" t="s">
        <v>870</v>
      </c>
      <c r="FO46" s="17" t="s">
        <v>870</v>
      </c>
      <c r="FP46" s="17" t="s">
        <v>870</v>
      </c>
      <c r="FQ46" s="17" t="s">
        <v>870</v>
      </c>
      <c r="FR46" s="63"/>
      <c r="FS46" s="63"/>
      <c r="FT46" s="63"/>
      <c r="FU46" s="62"/>
      <c r="FV46" s="62"/>
      <c r="FW46" s="61" t="s">
        <v>2</v>
      </c>
      <c r="FX46" s="61" t="s">
        <v>2</v>
      </c>
      <c r="FY46" s="63"/>
      <c r="FZ46" s="62"/>
      <c r="GA46" s="63"/>
      <c r="GB46" s="17" t="s">
        <v>870</v>
      </c>
      <c r="GC46" s="17" t="s">
        <v>870</v>
      </c>
      <c r="GD46" s="63"/>
      <c r="GE46" s="17" t="s">
        <v>870</v>
      </c>
      <c r="GF46" s="17" t="s">
        <v>870</v>
      </c>
      <c r="GG46" s="17" t="s">
        <v>870</v>
      </c>
      <c r="GH46" s="17" t="s">
        <v>870</v>
      </c>
      <c r="GI46" s="17" t="s">
        <v>870</v>
      </c>
      <c r="GJ46" s="17" t="s">
        <v>870</v>
      </c>
      <c r="GK46" s="17" t="s">
        <v>870</v>
      </c>
      <c r="GL46" s="17" t="s">
        <v>870</v>
      </c>
      <c r="GM46" s="17" t="s">
        <v>870</v>
      </c>
      <c r="GN46" s="17" t="s">
        <v>870</v>
      </c>
      <c r="GO46" s="17" t="s">
        <v>870</v>
      </c>
      <c r="GP46" s="17" t="s">
        <v>870</v>
      </c>
      <c r="GQ46" s="17" t="s">
        <v>870</v>
      </c>
      <c r="GR46" s="17" t="s">
        <v>870</v>
      </c>
      <c r="GS46" s="17" t="s">
        <v>870</v>
      </c>
      <c r="GT46" s="17" t="s">
        <v>870</v>
      </c>
      <c r="GU46" s="17" t="s">
        <v>870</v>
      </c>
      <c r="GV46" s="17" t="s">
        <v>870</v>
      </c>
      <c r="GW46" s="17" t="s">
        <v>870</v>
      </c>
      <c r="GX46" s="17" t="s">
        <v>870</v>
      </c>
      <c r="GY46" s="17" t="s">
        <v>870</v>
      </c>
      <c r="GZ46" s="17" t="s">
        <v>870</v>
      </c>
      <c r="HA46" s="17" t="s">
        <v>870</v>
      </c>
      <c r="HB46" s="17" t="s">
        <v>870</v>
      </c>
      <c r="HC46" s="17" t="s">
        <v>870</v>
      </c>
      <c r="HD46" s="17" t="s">
        <v>870</v>
      </c>
      <c r="HE46" s="17" t="s">
        <v>870</v>
      </c>
      <c r="HF46" s="17" t="s">
        <v>870</v>
      </c>
      <c r="HG46" s="17" t="s">
        <v>870</v>
      </c>
      <c r="HH46" s="17" t="s">
        <v>870</v>
      </c>
      <c r="HI46" s="17" t="s">
        <v>870</v>
      </c>
      <c r="HJ46" s="17" t="s">
        <v>870</v>
      </c>
      <c r="HK46" s="17" t="s">
        <v>870</v>
      </c>
      <c r="HL46" s="17" t="s">
        <v>870</v>
      </c>
      <c r="HM46" s="17" t="s">
        <v>870</v>
      </c>
      <c r="HN46" s="17" t="s">
        <v>870</v>
      </c>
      <c r="HO46" s="17" t="s">
        <v>870</v>
      </c>
      <c r="HP46" s="17" t="s">
        <v>870</v>
      </c>
      <c r="HQ46" s="17" t="s">
        <v>870</v>
      </c>
      <c r="HR46" s="17" t="s">
        <v>870</v>
      </c>
      <c r="HS46" s="17" t="s">
        <v>870</v>
      </c>
      <c r="HT46" s="17" t="s">
        <v>870</v>
      </c>
      <c r="HU46" s="17" t="s">
        <v>870</v>
      </c>
      <c r="HV46" s="17" t="s">
        <v>870</v>
      </c>
      <c r="HW46" s="17" t="s">
        <v>870</v>
      </c>
      <c r="HX46" s="17" t="s">
        <v>870</v>
      </c>
      <c r="HY46" s="17" t="s">
        <v>870</v>
      </c>
      <c r="HZ46" s="17" t="s">
        <v>870</v>
      </c>
      <c r="IA46" s="17" t="s">
        <v>870</v>
      </c>
      <c r="IB46" s="17" t="s">
        <v>870</v>
      </c>
      <c r="IC46" s="17" t="s">
        <v>870</v>
      </c>
      <c r="ID46" s="72" t="s">
        <v>1552</v>
      </c>
      <c r="IE46" s="17" t="s">
        <v>870</v>
      </c>
      <c r="IF46" s="17" t="s">
        <v>870</v>
      </c>
      <c r="IG46" s="17" t="s">
        <v>870</v>
      </c>
      <c r="IH46" s="17" t="s">
        <v>870</v>
      </c>
      <c r="II46" s="17" t="s">
        <v>870</v>
      </c>
      <c r="IJ46" s="17" t="s">
        <v>870</v>
      </c>
      <c r="IK46" s="17" t="s">
        <v>870</v>
      </c>
      <c r="IL46" s="17" t="s">
        <v>870</v>
      </c>
      <c r="IM46" s="17" t="s">
        <v>870</v>
      </c>
      <c r="IN46" s="17" t="s">
        <v>870</v>
      </c>
      <c r="IO46" s="17" t="s">
        <v>870</v>
      </c>
    </row>
    <row r="47" spans="1:249" x14ac:dyDescent="0.25">
      <c r="A47" t="s">
        <v>24</v>
      </c>
      <c r="B47" s="63"/>
      <c r="C47" s="63"/>
      <c r="D47" s="63"/>
      <c r="E47" s="63"/>
      <c r="F47" s="62"/>
      <c r="G47" s="63"/>
      <c r="H47" s="63"/>
      <c r="I47" s="17" t="s">
        <v>870</v>
      </c>
      <c r="J47" s="17" t="s">
        <v>870</v>
      </c>
      <c r="K47" s="17" t="s">
        <v>870</v>
      </c>
      <c r="L47" s="17" t="s">
        <v>870</v>
      </c>
      <c r="M47" s="62"/>
      <c r="N47" s="63"/>
      <c r="O47" s="63"/>
      <c r="P47" s="63"/>
      <c r="Q47" s="63"/>
      <c r="R47" s="17" t="s">
        <v>870</v>
      </c>
      <c r="S47" s="17" t="s">
        <v>870</v>
      </c>
      <c r="T47" s="63"/>
      <c r="U47" s="63"/>
      <c r="V47" s="63"/>
      <c r="W47" s="63"/>
      <c r="X47" s="63"/>
      <c r="Y47" s="63"/>
      <c r="Z47" s="61" t="s">
        <v>2</v>
      </c>
      <c r="AA47" s="62"/>
      <c r="AB47" s="63"/>
      <c r="AC47" s="63"/>
      <c r="AD47" s="63"/>
      <c r="AE47" s="63"/>
      <c r="AF47" s="62"/>
      <c r="AG47" s="17" t="s">
        <v>870</v>
      </c>
      <c r="AH47" s="17" t="s">
        <v>870</v>
      </c>
      <c r="AI47" s="17" t="s">
        <v>870</v>
      </c>
      <c r="AJ47" s="17" t="s">
        <v>870</v>
      </c>
      <c r="AK47" s="17" t="s">
        <v>870</v>
      </c>
      <c r="AL47" s="17" t="s">
        <v>870</v>
      </c>
      <c r="AM47" s="17" t="s">
        <v>870</v>
      </c>
      <c r="AN47" s="17" t="s">
        <v>870</v>
      </c>
      <c r="AO47" s="17" t="s">
        <v>870</v>
      </c>
      <c r="AP47" s="17" t="s">
        <v>870</v>
      </c>
      <c r="AQ47" s="17" t="s">
        <v>870</v>
      </c>
      <c r="AR47" s="17" t="s">
        <v>870</v>
      </c>
      <c r="AS47" s="17" t="s">
        <v>870</v>
      </c>
      <c r="AT47" s="17" t="s">
        <v>870</v>
      </c>
      <c r="AU47" s="17" t="s">
        <v>870</v>
      </c>
      <c r="AV47" s="17" t="s">
        <v>870</v>
      </c>
      <c r="AW47" s="17" t="s">
        <v>870</v>
      </c>
      <c r="AX47" s="17" t="s">
        <v>870</v>
      </c>
      <c r="AY47" s="17" t="s">
        <v>870</v>
      </c>
      <c r="AZ47" s="17" t="s">
        <v>870</v>
      </c>
      <c r="BA47" s="17" t="s">
        <v>870</v>
      </c>
      <c r="BB47" s="17" t="s">
        <v>870</v>
      </c>
      <c r="BC47" s="17" t="s">
        <v>870</v>
      </c>
      <c r="BD47" s="17" t="s">
        <v>870</v>
      </c>
      <c r="BE47" s="17" t="s">
        <v>870</v>
      </c>
      <c r="BF47" s="17" t="s">
        <v>870</v>
      </c>
      <c r="BG47" s="17" t="s">
        <v>870</v>
      </c>
      <c r="BH47" s="17" t="s">
        <v>870</v>
      </c>
      <c r="BI47" s="17" t="s">
        <v>870</v>
      </c>
      <c r="BJ47" s="17" t="s">
        <v>870</v>
      </c>
      <c r="BK47" s="17" t="s">
        <v>870</v>
      </c>
      <c r="BL47" s="17" t="s">
        <v>870</v>
      </c>
      <c r="BM47" s="17" t="s">
        <v>870</v>
      </c>
      <c r="BN47" s="17" t="s">
        <v>870</v>
      </c>
      <c r="BO47" s="17" t="s">
        <v>870</v>
      </c>
      <c r="BP47" s="17" t="s">
        <v>870</v>
      </c>
      <c r="BQ47" s="17" t="s">
        <v>870</v>
      </c>
      <c r="BR47" s="17" t="s">
        <v>870</v>
      </c>
      <c r="BS47" s="17" t="s">
        <v>870</v>
      </c>
      <c r="BT47" s="17" t="s">
        <v>870</v>
      </c>
      <c r="BU47" s="17" t="s">
        <v>870</v>
      </c>
      <c r="BV47" s="17" t="s">
        <v>870</v>
      </c>
      <c r="BW47" s="17" t="s">
        <v>870</v>
      </c>
      <c r="BX47" s="17" t="s">
        <v>870</v>
      </c>
      <c r="BY47" s="17" t="s">
        <v>870</v>
      </c>
      <c r="BZ47" s="17" t="s">
        <v>870</v>
      </c>
      <c r="CA47" s="17" t="s">
        <v>870</v>
      </c>
      <c r="CB47" s="17" t="s">
        <v>870</v>
      </c>
      <c r="CC47" s="17" t="s">
        <v>870</v>
      </c>
      <c r="CD47" s="17" t="s">
        <v>870</v>
      </c>
      <c r="CE47" s="17" t="s">
        <v>870</v>
      </c>
      <c r="CF47" s="17" t="s">
        <v>870</v>
      </c>
      <c r="CG47" s="17" t="s">
        <v>870</v>
      </c>
      <c r="CH47" s="17" t="s">
        <v>870</v>
      </c>
      <c r="CI47" s="17" t="s">
        <v>870</v>
      </c>
      <c r="CJ47" s="17" t="s">
        <v>870</v>
      </c>
      <c r="CK47" s="17" t="s">
        <v>870</v>
      </c>
      <c r="CL47" s="17" t="s">
        <v>870</v>
      </c>
      <c r="CM47" s="17" t="s">
        <v>870</v>
      </c>
      <c r="CN47" s="17" t="s">
        <v>870</v>
      </c>
      <c r="CO47" s="17" t="s">
        <v>870</v>
      </c>
      <c r="CP47" s="17" t="s">
        <v>870</v>
      </c>
      <c r="CQ47" s="17" t="s">
        <v>870</v>
      </c>
      <c r="CR47" s="17" t="s">
        <v>870</v>
      </c>
      <c r="CS47" s="17" t="s">
        <v>870</v>
      </c>
      <c r="CT47" s="17" t="s">
        <v>870</v>
      </c>
      <c r="CU47" s="17" t="s">
        <v>870</v>
      </c>
      <c r="CV47" s="17" t="s">
        <v>870</v>
      </c>
      <c r="CW47" s="17" t="s">
        <v>870</v>
      </c>
      <c r="CX47" s="17" t="s">
        <v>870</v>
      </c>
      <c r="CY47" s="17" t="s">
        <v>870</v>
      </c>
      <c r="CZ47" s="17" t="s">
        <v>870</v>
      </c>
      <c r="DA47" s="17" t="s">
        <v>870</v>
      </c>
      <c r="DB47" s="17" t="s">
        <v>870</v>
      </c>
      <c r="DC47" s="17" t="s">
        <v>870</v>
      </c>
      <c r="DD47" s="17" t="s">
        <v>870</v>
      </c>
      <c r="DE47" s="17" t="s">
        <v>870</v>
      </c>
      <c r="DF47" s="17" t="s">
        <v>870</v>
      </c>
      <c r="DG47" s="17" t="s">
        <v>870</v>
      </c>
      <c r="DH47" s="17" t="s">
        <v>870</v>
      </c>
      <c r="DI47" s="17" t="s">
        <v>870</v>
      </c>
      <c r="DJ47" s="17" t="s">
        <v>870</v>
      </c>
      <c r="DK47" s="17" t="s">
        <v>870</v>
      </c>
      <c r="DL47" s="17" t="s">
        <v>870</v>
      </c>
      <c r="DM47" s="17" t="s">
        <v>870</v>
      </c>
      <c r="DN47" s="17" t="s">
        <v>870</v>
      </c>
      <c r="DO47" s="17" t="s">
        <v>870</v>
      </c>
      <c r="DP47" s="17" t="s">
        <v>870</v>
      </c>
      <c r="DQ47" s="17" t="s">
        <v>870</v>
      </c>
      <c r="DR47" s="17" t="s">
        <v>870</v>
      </c>
      <c r="DS47" s="17" t="s">
        <v>870</v>
      </c>
      <c r="DT47" s="17" t="s">
        <v>870</v>
      </c>
      <c r="DU47" s="17" t="s">
        <v>870</v>
      </c>
      <c r="DV47" s="17" t="s">
        <v>870</v>
      </c>
      <c r="DW47" s="17" t="s">
        <v>870</v>
      </c>
      <c r="DX47" s="17" t="s">
        <v>870</v>
      </c>
      <c r="DY47" s="17" t="s">
        <v>870</v>
      </c>
      <c r="DZ47" s="17" t="s">
        <v>870</v>
      </c>
      <c r="EA47" s="17" t="s">
        <v>870</v>
      </c>
      <c r="EB47" s="17" t="s">
        <v>870</v>
      </c>
      <c r="EC47" s="17" t="s">
        <v>870</v>
      </c>
      <c r="ED47" s="17" t="s">
        <v>870</v>
      </c>
      <c r="EE47" s="17" t="s">
        <v>870</v>
      </c>
      <c r="EF47" s="17" t="s">
        <v>870</v>
      </c>
      <c r="EG47" s="17" t="s">
        <v>870</v>
      </c>
      <c r="EH47" s="17" t="s">
        <v>870</v>
      </c>
      <c r="EI47" s="17" t="s">
        <v>870</v>
      </c>
      <c r="EJ47" s="17" t="s">
        <v>870</v>
      </c>
      <c r="EK47" s="17" t="s">
        <v>870</v>
      </c>
      <c r="EL47" s="17" t="s">
        <v>870</v>
      </c>
      <c r="EM47" s="17" t="s">
        <v>870</v>
      </c>
      <c r="EN47" s="17" t="s">
        <v>870</v>
      </c>
      <c r="EO47" s="17" t="s">
        <v>870</v>
      </c>
      <c r="EP47" s="17" t="s">
        <v>870</v>
      </c>
      <c r="EQ47" s="17" t="s">
        <v>870</v>
      </c>
      <c r="ER47" s="17" t="s">
        <v>870</v>
      </c>
      <c r="ES47" s="17" t="s">
        <v>870</v>
      </c>
      <c r="ET47" s="17" t="s">
        <v>870</v>
      </c>
      <c r="EU47" s="17" t="s">
        <v>870</v>
      </c>
      <c r="EV47" s="17" t="s">
        <v>870</v>
      </c>
      <c r="EW47" s="17" t="s">
        <v>870</v>
      </c>
      <c r="EX47" s="17" t="s">
        <v>870</v>
      </c>
      <c r="EY47" s="17" t="s">
        <v>870</v>
      </c>
      <c r="EZ47" s="17" t="s">
        <v>870</v>
      </c>
      <c r="FA47" s="17" t="s">
        <v>870</v>
      </c>
      <c r="FB47" s="17" t="s">
        <v>870</v>
      </c>
      <c r="FC47" s="17" t="s">
        <v>870</v>
      </c>
      <c r="FD47" s="17" t="s">
        <v>870</v>
      </c>
      <c r="FE47" s="17" t="s">
        <v>870</v>
      </c>
      <c r="FF47" s="17" t="s">
        <v>870</v>
      </c>
      <c r="FG47" s="17" t="s">
        <v>870</v>
      </c>
      <c r="FH47" s="17" t="s">
        <v>870</v>
      </c>
      <c r="FI47" s="17" t="s">
        <v>870</v>
      </c>
      <c r="FJ47" s="17" t="s">
        <v>870</v>
      </c>
      <c r="FK47" s="17" t="s">
        <v>870</v>
      </c>
      <c r="FL47" s="17" t="s">
        <v>870</v>
      </c>
      <c r="FM47" s="17" t="s">
        <v>870</v>
      </c>
      <c r="FN47" s="17" t="s">
        <v>870</v>
      </c>
      <c r="FO47" s="17" t="s">
        <v>870</v>
      </c>
      <c r="FP47" s="17" t="s">
        <v>870</v>
      </c>
      <c r="FQ47" s="17" t="s">
        <v>870</v>
      </c>
      <c r="FR47" s="17" t="s">
        <v>870</v>
      </c>
      <c r="FS47" s="17" t="s">
        <v>870</v>
      </c>
      <c r="FT47" s="17" t="s">
        <v>870</v>
      </c>
      <c r="FU47" s="17" t="s">
        <v>870</v>
      </c>
      <c r="FV47" s="17" t="s">
        <v>870</v>
      </c>
      <c r="FW47" s="17" t="s">
        <v>870</v>
      </c>
      <c r="FX47" s="17" t="s">
        <v>870</v>
      </c>
      <c r="FY47" s="17" t="s">
        <v>870</v>
      </c>
      <c r="FZ47" s="17" t="s">
        <v>870</v>
      </c>
      <c r="GA47" s="17" t="s">
        <v>870</v>
      </c>
      <c r="GB47" s="17" t="s">
        <v>870</v>
      </c>
      <c r="GC47" s="17" t="s">
        <v>870</v>
      </c>
      <c r="GD47" s="17" t="s">
        <v>870</v>
      </c>
      <c r="GE47" s="17" t="s">
        <v>870</v>
      </c>
      <c r="GF47" s="17" t="s">
        <v>870</v>
      </c>
      <c r="GG47" s="17" t="s">
        <v>870</v>
      </c>
      <c r="GH47" s="17" t="s">
        <v>870</v>
      </c>
      <c r="GI47" s="17" t="s">
        <v>870</v>
      </c>
      <c r="GJ47" s="17" t="s">
        <v>870</v>
      </c>
      <c r="GK47" s="17" t="s">
        <v>870</v>
      </c>
      <c r="GL47" s="17" t="s">
        <v>870</v>
      </c>
      <c r="GM47" s="17" t="s">
        <v>870</v>
      </c>
      <c r="GN47" s="17" t="s">
        <v>870</v>
      </c>
      <c r="GO47" s="17" t="s">
        <v>870</v>
      </c>
      <c r="GP47" s="17" t="s">
        <v>870</v>
      </c>
      <c r="GQ47" s="17" t="s">
        <v>870</v>
      </c>
      <c r="GR47" s="17" t="s">
        <v>870</v>
      </c>
      <c r="GS47" s="17" t="s">
        <v>870</v>
      </c>
      <c r="GT47" s="17" t="s">
        <v>870</v>
      </c>
      <c r="GU47" s="17" t="s">
        <v>870</v>
      </c>
      <c r="GV47" s="17" t="s">
        <v>870</v>
      </c>
      <c r="GW47" s="17" t="s">
        <v>870</v>
      </c>
      <c r="GX47" s="17" t="s">
        <v>870</v>
      </c>
      <c r="GY47" s="17" t="s">
        <v>870</v>
      </c>
      <c r="GZ47" s="17" t="s">
        <v>870</v>
      </c>
      <c r="HA47" s="17" t="s">
        <v>870</v>
      </c>
      <c r="HB47" s="17" t="s">
        <v>870</v>
      </c>
      <c r="HC47" s="17" t="s">
        <v>870</v>
      </c>
      <c r="HD47" s="17" t="s">
        <v>870</v>
      </c>
      <c r="HE47" s="17" t="s">
        <v>870</v>
      </c>
      <c r="HF47" s="17" t="s">
        <v>870</v>
      </c>
      <c r="HG47" s="17" t="s">
        <v>870</v>
      </c>
      <c r="HH47" s="17" t="s">
        <v>870</v>
      </c>
      <c r="HI47" s="17" t="s">
        <v>870</v>
      </c>
      <c r="HJ47" s="17" t="s">
        <v>870</v>
      </c>
      <c r="HK47" s="17" t="s">
        <v>870</v>
      </c>
      <c r="HL47" s="17" t="s">
        <v>870</v>
      </c>
      <c r="HM47" s="17" t="s">
        <v>870</v>
      </c>
      <c r="HN47" s="17" t="s">
        <v>870</v>
      </c>
      <c r="HO47" s="17" t="s">
        <v>870</v>
      </c>
      <c r="HP47" s="17" t="s">
        <v>870</v>
      </c>
      <c r="HQ47" s="17" t="s">
        <v>870</v>
      </c>
      <c r="HR47" s="17" t="s">
        <v>870</v>
      </c>
      <c r="HS47" s="17" t="s">
        <v>870</v>
      </c>
      <c r="HT47" s="17" t="s">
        <v>870</v>
      </c>
      <c r="HU47" s="17" t="s">
        <v>870</v>
      </c>
      <c r="HV47" s="17" t="s">
        <v>870</v>
      </c>
      <c r="HW47" s="17" t="s">
        <v>870</v>
      </c>
      <c r="HX47" s="17" t="s">
        <v>870</v>
      </c>
      <c r="HY47" s="17" t="s">
        <v>870</v>
      </c>
      <c r="HZ47" s="17" t="s">
        <v>870</v>
      </c>
      <c r="IA47" s="17" t="s">
        <v>870</v>
      </c>
      <c r="IB47" s="17" t="s">
        <v>870</v>
      </c>
      <c r="IC47" s="17" t="s">
        <v>870</v>
      </c>
      <c r="ID47" s="72" t="s">
        <v>1552</v>
      </c>
      <c r="IE47" s="17" t="s">
        <v>870</v>
      </c>
      <c r="IF47" s="17" t="s">
        <v>870</v>
      </c>
      <c r="IG47" s="17" t="s">
        <v>870</v>
      </c>
      <c r="IH47" s="17" t="s">
        <v>870</v>
      </c>
      <c r="II47" s="17" t="s">
        <v>870</v>
      </c>
      <c r="IJ47" s="17" t="s">
        <v>870</v>
      </c>
      <c r="IK47" s="17" t="s">
        <v>870</v>
      </c>
      <c r="IL47" s="17" t="s">
        <v>870</v>
      </c>
      <c r="IM47" s="17" t="s">
        <v>870</v>
      </c>
      <c r="IN47" s="17" t="s">
        <v>870</v>
      </c>
      <c r="IO47" s="17" t="s">
        <v>870</v>
      </c>
    </row>
    <row r="48" spans="1:249" x14ac:dyDescent="0.25">
      <c r="A48" t="s">
        <v>91</v>
      </c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17" t="s">
        <v>870</v>
      </c>
      <c r="N48" s="17" t="s">
        <v>870</v>
      </c>
      <c r="O48" s="63"/>
      <c r="P48" s="17" t="s">
        <v>870</v>
      </c>
      <c r="Q48" s="17" t="s">
        <v>870</v>
      </c>
      <c r="R48" s="63"/>
      <c r="S48" s="63"/>
      <c r="T48" s="63"/>
      <c r="U48" s="63"/>
      <c r="V48" s="63"/>
      <c r="W48" s="63"/>
      <c r="X48" s="17" t="s">
        <v>870</v>
      </c>
      <c r="Y48" s="17" t="s">
        <v>870</v>
      </c>
      <c r="Z48" s="17" t="s">
        <v>870</v>
      </c>
      <c r="AA48" s="63"/>
      <c r="AB48" s="63"/>
      <c r="AC48" s="63"/>
      <c r="AD48" s="63"/>
      <c r="AE48" s="17" t="s">
        <v>870</v>
      </c>
      <c r="AF48" s="17" t="s">
        <v>870</v>
      </c>
      <c r="AG48" s="63"/>
      <c r="AH48" s="63"/>
      <c r="AI48" s="63"/>
      <c r="AJ48" s="17" t="s">
        <v>870</v>
      </c>
      <c r="AK48" s="63"/>
      <c r="AL48" s="17" t="s">
        <v>870</v>
      </c>
      <c r="AM48" s="17" t="s">
        <v>870</v>
      </c>
      <c r="AN48" s="17" t="s">
        <v>870</v>
      </c>
      <c r="AO48" s="17" t="s">
        <v>870</v>
      </c>
      <c r="AP48" s="63"/>
      <c r="AQ48" s="63"/>
      <c r="AR48" s="17" t="s">
        <v>870</v>
      </c>
      <c r="AS48" s="17" t="s">
        <v>870</v>
      </c>
      <c r="AT48" s="63"/>
      <c r="AU48" s="63"/>
      <c r="AV48" s="17" t="s">
        <v>870</v>
      </c>
      <c r="AW48" s="17" t="s">
        <v>870</v>
      </c>
      <c r="AX48" s="63"/>
      <c r="AY48" s="62"/>
      <c r="AZ48" s="17" t="s">
        <v>870</v>
      </c>
      <c r="BA48" s="17" t="s">
        <v>870</v>
      </c>
      <c r="BB48" s="17" t="s">
        <v>870</v>
      </c>
      <c r="BC48" s="17" t="s">
        <v>870</v>
      </c>
      <c r="BD48" s="63"/>
      <c r="BE48" s="63"/>
      <c r="BF48" s="63"/>
      <c r="BG48" s="63"/>
      <c r="BH48" s="17" t="s">
        <v>870</v>
      </c>
      <c r="BI48" s="63"/>
      <c r="BJ48" s="63"/>
      <c r="BK48" s="62"/>
      <c r="BL48" s="17" t="s">
        <v>870</v>
      </c>
      <c r="BM48" s="17" t="s">
        <v>870</v>
      </c>
      <c r="BN48" s="17" t="s">
        <v>870</v>
      </c>
      <c r="BO48" s="17" t="s">
        <v>870</v>
      </c>
      <c r="BP48" s="63"/>
      <c r="BQ48" s="63"/>
      <c r="BR48" s="17" t="s">
        <v>870</v>
      </c>
      <c r="BS48" s="17" t="s">
        <v>870</v>
      </c>
      <c r="BT48" s="17" t="s">
        <v>870</v>
      </c>
      <c r="BU48" s="17" t="s">
        <v>870</v>
      </c>
      <c r="BV48" s="63"/>
      <c r="BW48" s="62"/>
      <c r="BX48" s="17" t="s">
        <v>870</v>
      </c>
      <c r="BY48" s="17" t="s">
        <v>870</v>
      </c>
      <c r="BZ48" s="17" t="s">
        <v>870</v>
      </c>
      <c r="CA48" s="17" t="s">
        <v>870</v>
      </c>
      <c r="CB48" s="63"/>
      <c r="CC48" s="63"/>
      <c r="CD48" s="63"/>
      <c r="CE48" s="63"/>
      <c r="CF48" s="17" t="s">
        <v>870</v>
      </c>
      <c r="CG48" s="17" t="s">
        <v>870</v>
      </c>
      <c r="CH48" s="17" t="s">
        <v>870</v>
      </c>
      <c r="CI48" s="17" t="s">
        <v>870</v>
      </c>
      <c r="CJ48" s="17" t="s">
        <v>870</v>
      </c>
      <c r="CK48" s="17" t="s">
        <v>870</v>
      </c>
      <c r="CL48" s="17" t="s">
        <v>870</v>
      </c>
      <c r="CM48" s="17" t="s">
        <v>870</v>
      </c>
      <c r="CN48" s="17" t="s">
        <v>870</v>
      </c>
      <c r="CO48" s="17" t="s">
        <v>870</v>
      </c>
      <c r="CP48" s="17" t="s">
        <v>870</v>
      </c>
      <c r="CQ48" s="17" t="s">
        <v>870</v>
      </c>
      <c r="CR48" s="17" t="s">
        <v>870</v>
      </c>
      <c r="CS48" s="17" t="s">
        <v>870</v>
      </c>
      <c r="CT48" s="17" t="s">
        <v>870</v>
      </c>
      <c r="CU48" s="17" t="s">
        <v>870</v>
      </c>
      <c r="CV48" s="17" t="s">
        <v>870</v>
      </c>
      <c r="CW48" s="17" t="s">
        <v>870</v>
      </c>
      <c r="CX48" s="17" t="s">
        <v>870</v>
      </c>
      <c r="CY48" s="17" t="s">
        <v>870</v>
      </c>
      <c r="CZ48" s="17" t="s">
        <v>870</v>
      </c>
      <c r="DA48" s="17" t="s">
        <v>870</v>
      </c>
      <c r="DB48" s="17" t="s">
        <v>870</v>
      </c>
      <c r="DC48" s="17" t="s">
        <v>870</v>
      </c>
      <c r="DD48" s="63"/>
      <c r="DE48" s="63"/>
      <c r="DF48" s="17" t="s">
        <v>870</v>
      </c>
      <c r="DG48" s="17" t="s">
        <v>870</v>
      </c>
      <c r="DH48" s="17" t="s">
        <v>870</v>
      </c>
      <c r="DI48" s="17" t="s">
        <v>870</v>
      </c>
      <c r="DJ48" s="17" t="s">
        <v>870</v>
      </c>
      <c r="DK48" s="17" t="s">
        <v>870</v>
      </c>
      <c r="DL48" s="17" t="s">
        <v>870</v>
      </c>
      <c r="DM48" s="17" t="s">
        <v>870</v>
      </c>
      <c r="DN48" s="17" t="s">
        <v>870</v>
      </c>
      <c r="DO48" s="17" t="s">
        <v>870</v>
      </c>
      <c r="DP48" s="17" t="s">
        <v>870</v>
      </c>
      <c r="DQ48" s="17" t="s">
        <v>870</v>
      </c>
      <c r="DR48" s="17" t="s">
        <v>870</v>
      </c>
      <c r="DS48" s="17" t="s">
        <v>870</v>
      </c>
      <c r="DT48" s="17" t="s">
        <v>870</v>
      </c>
      <c r="DU48" s="17" t="s">
        <v>870</v>
      </c>
      <c r="DV48" s="17" t="s">
        <v>870</v>
      </c>
      <c r="DW48" s="17" t="s">
        <v>870</v>
      </c>
      <c r="DX48" s="17" t="s">
        <v>870</v>
      </c>
      <c r="DY48" s="17" t="s">
        <v>870</v>
      </c>
      <c r="DZ48" s="17" t="s">
        <v>870</v>
      </c>
      <c r="EA48" s="17" t="s">
        <v>870</v>
      </c>
      <c r="EB48" s="17" t="s">
        <v>870</v>
      </c>
      <c r="EC48" s="17" t="s">
        <v>870</v>
      </c>
      <c r="ED48" s="17" t="s">
        <v>870</v>
      </c>
      <c r="EE48" s="17" t="s">
        <v>870</v>
      </c>
      <c r="EF48" s="17" t="s">
        <v>870</v>
      </c>
      <c r="EG48" s="17" t="s">
        <v>870</v>
      </c>
      <c r="EH48" s="17" t="s">
        <v>870</v>
      </c>
      <c r="EI48" s="17" t="s">
        <v>870</v>
      </c>
      <c r="EJ48" s="17" t="s">
        <v>870</v>
      </c>
      <c r="EK48" s="17" t="s">
        <v>870</v>
      </c>
      <c r="EL48" s="17" t="s">
        <v>870</v>
      </c>
      <c r="EM48" s="17" t="s">
        <v>870</v>
      </c>
      <c r="EN48" s="17" t="s">
        <v>870</v>
      </c>
      <c r="EO48" s="17" t="s">
        <v>870</v>
      </c>
      <c r="EP48" s="17" t="s">
        <v>870</v>
      </c>
      <c r="EQ48" s="17" t="s">
        <v>870</v>
      </c>
      <c r="ER48" s="17" t="s">
        <v>870</v>
      </c>
      <c r="ES48" s="17" t="s">
        <v>870</v>
      </c>
      <c r="ET48" s="17" t="s">
        <v>870</v>
      </c>
      <c r="EU48" s="17" t="s">
        <v>870</v>
      </c>
      <c r="EV48" s="17" t="s">
        <v>870</v>
      </c>
      <c r="EW48" s="17" t="s">
        <v>870</v>
      </c>
      <c r="EX48" s="17" t="s">
        <v>870</v>
      </c>
      <c r="EY48" s="17" t="s">
        <v>870</v>
      </c>
      <c r="EZ48" s="17" t="s">
        <v>870</v>
      </c>
      <c r="FA48" s="17" t="s">
        <v>870</v>
      </c>
      <c r="FB48" s="17" t="s">
        <v>870</v>
      </c>
      <c r="FC48" s="17" t="s">
        <v>870</v>
      </c>
      <c r="FD48" s="17" t="s">
        <v>870</v>
      </c>
      <c r="FE48" s="17" t="s">
        <v>870</v>
      </c>
      <c r="FF48" s="17" t="s">
        <v>870</v>
      </c>
      <c r="FG48" s="17" t="s">
        <v>870</v>
      </c>
      <c r="FH48" s="17" t="s">
        <v>870</v>
      </c>
      <c r="FI48" s="17" t="s">
        <v>870</v>
      </c>
      <c r="FJ48" s="17" t="s">
        <v>870</v>
      </c>
      <c r="FK48" s="17" t="s">
        <v>870</v>
      </c>
      <c r="FL48" s="17" t="s">
        <v>870</v>
      </c>
      <c r="FM48" s="17" t="s">
        <v>870</v>
      </c>
      <c r="FN48" s="17" t="s">
        <v>870</v>
      </c>
      <c r="FO48" s="17" t="s">
        <v>870</v>
      </c>
      <c r="FP48" s="17" t="s">
        <v>870</v>
      </c>
      <c r="FQ48" s="17" t="s">
        <v>870</v>
      </c>
      <c r="FR48" s="17" t="s">
        <v>870</v>
      </c>
      <c r="FS48" s="17" t="s">
        <v>870</v>
      </c>
      <c r="FT48" s="17" t="s">
        <v>870</v>
      </c>
      <c r="FU48" s="17" t="s">
        <v>870</v>
      </c>
      <c r="FV48" s="17" t="s">
        <v>870</v>
      </c>
      <c r="FW48" s="17" t="s">
        <v>870</v>
      </c>
      <c r="FX48" s="17" t="s">
        <v>870</v>
      </c>
      <c r="FY48" s="17" t="s">
        <v>870</v>
      </c>
      <c r="FZ48" s="17" t="s">
        <v>870</v>
      </c>
      <c r="GA48" s="17" t="s">
        <v>870</v>
      </c>
      <c r="GB48" s="17" t="s">
        <v>870</v>
      </c>
      <c r="GC48" s="17" t="s">
        <v>870</v>
      </c>
      <c r="GD48" s="17" t="s">
        <v>870</v>
      </c>
      <c r="GE48" s="17" t="s">
        <v>870</v>
      </c>
      <c r="GF48" s="17" t="s">
        <v>870</v>
      </c>
      <c r="GG48" s="17" t="s">
        <v>870</v>
      </c>
      <c r="GH48" s="17" t="s">
        <v>870</v>
      </c>
      <c r="GI48" s="17" t="s">
        <v>870</v>
      </c>
      <c r="GJ48" s="17" t="s">
        <v>870</v>
      </c>
      <c r="GK48" s="17" t="s">
        <v>870</v>
      </c>
      <c r="GL48" s="17" t="s">
        <v>870</v>
      </c>
      <c r="GM48" s="17" t="s">
        <v>870</v>
      </c>
      <c r="GN48" s="17" t="s">
        <v>870</v>
      </c>
      <c r="GO48" s="17" t="s">
        <v>870</v>
      </c>
      <c r="GP48" s="17" t="s">
        <v>870</v>
      </c>
      <c r="GQ48" s="17" t="s">
        <v>870</v>
      </c>
      <c r="GR48" s="17" t="s">
        <v>870</v>
      </c>
      <c r="GS48" s="17" t="s">
        <v>870</v>
      </c>
      <c r="GT48" s="17" t="s">
        <v>870</v>
      </c>
      <c r="GU48" s="17" t="s">
        <v>870</v>
      </c>
      <c r="GV48" s="17" t="s">
        <v>870</v>
      </c>
      <c r="GW48" s="17" t="s">
        <v>870</v>
      </c>
      <c r="GX48" s="17" t="s">
        <v>870</v>
      </c>
      <c r="GY48" s="17" t="s">
        <v>870</v>
      </c>
      <c r="GZ48" s="17" t="s">
        <v>870</v>
      </c>
      <c r="HA48" s="17" t="s">
        <v>870</v>
      </c>
      <c r="HB48" s="17" t="s">
        <v>870</v>
      </c>
      <c r="HC48" s="17" t="s">
        <v>870</v>
      </c>
      <c r="HD48" s="17" t="s">
        <v>870</v>
      </c>
      <c r="HE48" s="17" t="s">
        <v>870</v>
      </c>
      <c r="HF48" s="17" t="s">
        <v>870</v>
      </c>
      <c r="HG48" s="17" t="s">
        <v>870</v>
      </c>
      <c r="HH48" s="17" t="s">
        <v>870</v>
      </c>
      <c r="HI48" s="17" t="s">
        <v>870</v>
      </c>
      <c r="HJ48" s="17" t="s">
        <v>870</v>
      </c>
      <c r="HK48" s="17" t="s">
        <v>870</v>
      </c>
      <c r="HL48" s="17" t="s">
        <v>870</v>
      </c>
      <c r="HM48" s="17" t="s">
        <v>870</v>
      </c>
      <c r="HN48" s="17" t="s">
        <v>870</v>
      </c>
      <c r="HO48" s="17" t="s">
        <v>870</v>
      </c>
      <c r="HP48" s="17" t="s">
        <v>870</v>
      </c>
      <c r="HQ48" s="17" t="s">
        <v>870</v>
      </c>
      <c r="HR48" s="17" t="s">
        <v>870</v>
      </c>
      <c r="HS48" s="17" t="s">
        <v>870</v>
      </c>
      <c r="HT48" s="17" t="s">
        <v>870</v>
      </c>
      <c r="HU48" s="17" t="s">
        <v>870</v>
      </c>
      <c r="HV48" s="17" t="s">
        <v>870</v>
      </c>
      <c r="HW48" s="17" t="s">
        <v>870</v>
      </c>
      <c r="HX48" s="17" t="s">
        <v>870</v>
      </c>
      <c r="HY48" s="17" t="s">
        <v>870</v>
      </c>
      <c r="HZ48" s="17" t="s">
        <v>870</v>
      </c>
      <c r="IA48" s="17" t="s">
        <v>870</v>
      </c>
      <c r="IB48" s="17" t="s">
        <v>870</v>
      </c>
      <c r="IC48" s="17" t="s">
        <v>870</v>
      </c>
      <c r="ID48" s="72" t="s">
        <v>1552</v>
      </c>
      <c r="IE48" s="17" t="s">
        <v>870</v>
      </c>
      <c r="IF48" s="17" t="s">
        <v>870</v>
      </c>
      <c r="IG48" s="17" t="s">
        <v>870</v>
      </c>
      <c r="IH48" s="17" t="s">
        <v>870</v>
      </c>
      <c r="II48" s="17" t="s">
        <v>870</v>
      </c>
      <c r="IJ48" s="17" t="s">
        <v>870</v>
      </c>
      <c r="IK48" s="17" t="s">
        <v>870</v>
      </c>
      <c r="IL48" s="17" t="s">
        <v>870</v>
      </c>
      <c r="IM48" s="17" t="s">
        <v>870</v>
      </c>
      <c r="IN48" s="17" t="s">
        <v>870</v>
      </c>
      <c r="IO48" s="17" t="s">
        <v>870</v>
      </c>
    </row>
    <row r="49" spans="1:249" x14ac:dyDescent="0.25">
      <c r="A49" t="s">
        <v>204</v>
      </c>
      <c r="B49" s="17" t="s">
        <v>870</v>
      </c>
      <c r="C49" s="17" t="s">
        <v>870</v>
      </c>
      <c r="D49" s="17" t="s">
        <v>870</v>
      </c>
      <c r="E49" s="17" t="s">
        <v>870</v>
      </c>
      <c r="F49" s="17" t="s">
        <v>870</v>
      </c>
      <c r="G49" s="17" t="s">
        <v>870</v>
      </c>
      <c r="H49" s="17" t="s">
        <v>870</v>
      </c>
      <c r="I49" s="17" t="s">
        <v>870</v>
      </c>
      <c r="J49" s="17" t="s">
        <v>870</v>
      </c>
      <c r="K49" s="17" t="s">
        <v>870</v>
      </c>
      <c r="L49" s="17" t="s">
        <v>870</v>
      </c>
      <c r="M49" s="17" t="s">
        <v>870</v>
      </c>
      <c r="N49" s="17" t="s">
        <v>870</v>
      </c>
      <c r="O49" s="17" t="s">
        <v>870</v>
      </c>
      <c r="P49" s="17" t="s">
        <v>870</v>
      </c>
      <c r="Q49" s="17" t="s">
        <v>870</v>
      </c>
      <c r="R49" s="17" t="s">
        <v>870</v>
      </c>
      <c r="S49" s="17" t="s">
        <v>870</v>
      </c>
      <c r="T49" s="17" t="s">
        <v>870</v>
      </c>
      <c r="U49" s="17" t="s">
        <v>870</v>
      </c>
      <c r="V49" s="17" t="s">
        <v>870</v>
      </c>
      <c r="W49" s="17" t="s">
        <v>870</v>
      </c>
      <c r="X49" s="17" t="s">
        <v>870</v>
      </c>
      <c r="Y49" s="17" t="s">
        <v>870</v>
      </c>
      <c r="Z49" s="17" t="s">
        <v>870</v>
      </c>
      <c r="AA49" s="17" t="s">
        <v>870</v>
      </c>
      <c r="AB49" s="17" t="s">
        <v>870</v>
      </c>
      <c r="AC49" s="17" t="s">
        <v>870</v>
      </c>
      <c r="AD49" s="17" t="s">
        <v>870</v>
      </c>
      <c r="AE49" s="17" t="s">
        <v>870</v>
      </c>
      <c r="AF49" s="17" t="s">
        <v>870</v>
      </c>
      <c r="AG49" s="17" t="s">
        <v>870</v>
      </c>
      <c r="AH49" s="17" t="s">
        <v>870</v>
      </c>
      <c r="AI49" s="17" t="s">
        <v>870</v>
      </c>
      <c r="AJ49" s="17" t="s">
        <v>870</v>
      </c>
      <c r="AK49" s="17" t="s">
        <v>870</v>
      </c>
      <c r="AL49" s="17" t="s">
        <v>870</v>
      </c>
      <c r="AM49" s="17" t="s">
        <v>870</v>
      </c>
      <c r="AN49" s="17" t="s">
        <v>870</v>
      </c>
      <c r="AO49" s="17" t="s">
        <v>870</v>
      </c>
      <c r="AP49" s="17" t="s">
        <v>870</v>
      </c>
      <c r="AQ49" s="17" t="s">
        <v>870</v>
      </c>
      <c r="AR49" s="17" t="s">
        <v>870</v>
      </c>
      <c r="AS49" s="17" t="s">
        <v>870</v>
      </c>
      <c r="AT49" s="17" t="s">
        <v>870</v>
      </c>
      <c r="AU49" s="17" t="s">
        <v>870</v>
      </c>
      <c r="AV49" s="17" t="s">
        <v>870</v>
      </c>
      <c r="AW49" s="17" t="s">
        <v>870</v>
      </c>
      <c r="AX49" s="17" t="s">
        <v>870</v>
      </c>
      <c r="AY49" s="17" t="s">
        <v>870</v>
      </c>
      <c r="AZ49" s="17" t="s">
        <v>870</v>
      </c>
      <c r="BA49" s="17" t="s">
        <v>870</v>
      </c>
      <c r="BB49" s="17" t="s">
        <v>870</v>
      </c>
      <c r="BC49" s="17" t="s">
        <v>870</v>
      </c>
      <c r="BD49" s="17" t="s">
        <v>870</v>
      </c>
      <c r="BE49" s="17" t="s">
        <v>870</v>
      </c>
      <c r="BF49" s="17" t="s">
        <v>870</v>
      </c>
      <c r="BG49" s="17" t="s">
        <v>870</v>
      </c>
      <c r="BH49" s="17" t="s">
        <v>870</v>
      </c>
      <c r="BI49" s="17" t="s">
        <v>870</v>
      </c>
      <c r="BJ49" s="17" t="s">
        <v>870</v>
      </c>
      <c r="BK49" s="17" t="s">
        <v>870</v>
      </c>
      <c r="BL49" s="17" t="s">
        <v>870</v>
      </c>
      <c r="BM49" s="17" t="s">
        <v>870</v>
      </c>
      <c r="BN49" s="17" t="s">
        <v>870</v>
      </c>
      <c r="BO49" s="17" t="s">
        <v>870</v>
      </c>
      <c r="BP49" s="17" t="s">
        <v>870</v>
      </c>
      <c r="BQ49" s="17" t="s">
        <v>870</v>
      </c>
      <c r="BR49" s="61" t="s">
        <v>2</v>
      </c>
      <c r="BS49" s="63"/>
      <c r="BT49" s="17" t="s">
        <v>870</v>
      </c>
      <c r="BU49" s="17" t="s">
        <v>870</v>
      </c>
      <c r="BV49" s="17" t="s">
        <v>870</v>
      </c>
      <c r="BW49" s="17" t="s">
        <v>870</v>
      </c>
      <c r="BX49" s="17" t="s">
        <v>870</v>
      </c>
      <c r="BY49" s="17" t="s">
        <v>870</v>
      </c>
      <c r="BZ49" s="17" t="s">
        <v>870</v>
      </c>
      <c r="CA49" s="17" t="s">
        <v>870</v>
      </c>
      <c r="CB49" s="17" t="s">
        <v>870</v>
      </c>
      <c r="CC49" s="17" t="s">
        <v>870</v>
      </c>
      <c r="CD49" s="17" t="s">
        <v>870</v>
      </c>
      <c r="CE49" s="17" t="s">
        <v>870</v>
      </c>
      <c r="CF49" s="17" t="s">
        <v>870</v>
      </c>
      <c r="CG49" s="17" t="s">
        <v>870</v>
      </c>
      <c r="CH49" s="17" t="s">
        <v>870</v>
      </c>
      <c r="CI49" s="17" t="s">
        <v>870</v>
      </c>
      <c r="CJ49" s="17" t="s">
        <v>870</v>
      </c>
      <c r="CK49" s="17" t="s">
        <v>870</v>
      </c>
      <c r="CL49" s="17" t="s">
        <v>870</v>
      </c>
      <c r="CM49" s="17" t="s">
        <v>870</v>
      </c>
      <c r="CN49" s="17" t="s">
        <v>870</v>
      </c>
      <c r="CO49" s="17" t="s">
        <v>870</v>
      </c>
      <c r="CP49" s="17" t="s">
        <v>870</v>
      </c>
      <c r="CQ49" s="17" t="s">
        <v>870</v>
      </c>
      <c r="CR49" s="17" t="s">
        <v>870</v>
      </c>
      <c r="CS49" s="17" t="s">
        <v>870</v>
      </c>
      <c r="CT49" s="17" t="s">
        <v>870</v>
      </c>
      <c r="CU49" s="17" t="s">
        <v>870</v>
      </c>
      <c r="CV49" s="17" t="s">
        <v>870</v>
      </c>
      <c r="CW49" s="17" t="s">
        <v>870</v>
      </c>
      <c r="CX49" s="17" t="s">
        <v>870</v>
      </c>
      <c r="CY49" s="17" t="s">
        <v>870</v>
      </c>
      <c r="CZ49" s="17" t="s">
        <v>870</v>
      </c>
      <c r="DA49" s="17" t="s">
        <v>870</v>
      </c>
      <c r="DB49" s="17" t="s">
        <v>870</v>
      </c>
      <c r="DC49" s="17" t="s">
        <v>870</v>
      </c>
      <c r="DD49" s="17" t="s">
        <v>870</v>
      </c>
      <c r="DE49" s="17" t="s">
        <v>870</v>
      </c>
      <c r="DF49" s="17" t="s">
        <v>870</v>
      </c>
      <c r="DG49" s="17" t="s">
        <v>870</v>
      </c>
      <c r="DH49" s="17" t="s">
        <v>870</v>
      </c>
      <c r="DI49" s="17" t="s">
        <v>870</v>
      </c>
      <c r="DJ49" s="17" t="s">
        <v>870</v>
      </c>
      <c r="DK49" s="17" t="s">
        <v>870</v>
      </c>
      <c r="DL49" s="17" t="s">
        <v>870</v>
      </c>
      <c r="DM49" s="17" t="s">
        <v>870</v>
      </c>
      <c r="DN49" s="17" t="s">
        <v>870</v>
      </c>
      <c r="DO49" s="17" t="s">
        <v>870</v>
      </c>
      <c r="DP49" s="17" t="s">
        <v>870</v>
      </c>
      <c r="DQ49" s="17" t="s">
        <v>870</v>
      </c>
      <c r="DR49" s="17" t="s">
        <v>870</v>
      </c>
      <c r="DS49" s="17" t="s">
        <v>870</v>
      </c>
      <c r="DT49" s="17" t="s">
        <v>870</v>
      </c>
      <c r="DU49" s="17" t="s">
        <v>870</v>
      </c>
      <c r="DV49" s="17" t="s">
        <v>870</v>
      </c>
      <c r="DW49" s="17" t="s">
        <v>870</v>
      </c>
      <c r="DX49" s="17" t="s">
        <v>870</v>
      </c>
      <c r="DY49" s="17" t="s">
        <v>870</v>
      </c>
      <c r="DZ49" s="17" t="s">
        <v>870</v>
      </c>
      <c r="EA49" s="17" t="s">
        <v>870</v>
      </c>
      <c r="EB49" s="17" t="s">
        <v>870</v>
      </c>
      <c r="EC49" s="17" t="s">
        <v>870</v>
      </c>
      <c r="ED49" s="17" t="s">
        <v>870</v>
      </c>
      <c r="EE49" s="17" t="s">
        <v>870</v>
      </c>
      <c r="EF49" s="17" t="s">
        <v>870</v>
      </c>
      <c r="EG49" s="17" t="s">
        <v>870</v>
      </c>
      <c r="EH49" s="17" t="s">
        <v>870</v>
      </c>
      <c r="EI49" s="17" t="s">
        <v>870</v>
      </c>
      <c r="EJ49" s="17" t="s">
        <v>870</v>
      </c>
      <c r="EK49" s="17" t="s">
        <v>870</v>
      </c>
      <c r="EL49" s="17" t="s">
        <v>870</v>
      </c>
      <c r="EM49" s="17" t="s">
        <v>870</v>
      </c>
      <c r="EN49" s="17" t="s">
        <v>870</v>
      </c>
      <c r="EO49" s="17" t="s">
        <v>870</v>
      </c>
      <c r="EP49" s="17" t="s">
        <v>870</v>
      </c>
      <c r="EQ49" s="17" t="s">
        <v>870</v>
      </c>
      <c r="ER49" s="17" t="s">
        <v>870</v>
      </c>
      <c r="ES49" s="17" t="s">
        <v>870</v>
      </c>
      <c r="ET49" s="17" t="s">
        <v>870</v>
      </c>
      <c r="EU49" s="17" t="s">
        <v>870</v>
      </c>
      <c r="EV49" s="17" t="s">
        <v>870</v>
      </c>
      <c r="EW49" s="17" t="s">
        <v>870</v>
      </c>
      <c r="EX49" s="17" t="s">
        <v>870</v>
      </c>
      <c r="EY49" s="17" t="s">
        <v>870</v>
      </c>
      <c r="EZ49" s="17" t="s">
        <v>870</v>
      </c>
      <c r="FA49" s="17" t="s">
        <v>870</v>
      </c>
      <c r="FB49" s="17" t="s">
        <v>870</v>
      </c>
      <c r="FC49" s="17" t="s">
        <v>870</v>
      </c>
      <c r="FD49" s="17" t="s">
        <v>870</v>
      </c>
      <c r="FE49" s="17" t="s">
        <v>870</v>
      </c>
      <c r="FF49" s="17" t="s">
        <v>870</v>
      </c>
      <c r="FG49" s="17" t="s">
        <v>870</v>
      </c>
      <c r="FH49" s="17" t="s">
        <v>870</v>
      </c>
      <c r="FI49" s="17" t="s">
        <v>870</v>
      </c>
      <c r="FJ49" s="17" t="s">
        <v>870</v>
      </c>
      <c r="FK49" s="17" t="s">
        <v>870</v>
      </c>
      <c r="FL49" s="17" t="s">
        <v>870</v>
      </c>
      <c r="FM49" s="17" t="s">
        <v>870</v>
      </c>
      <c r="FN49" s="17" t="s">
        <v>870</v>
      </c>
      <c r="FO49" s="17" t="s">
        <v>870</v>
      </c>
      <c r="FP49" s="17" t="s">
        <v>870</v>
      </c>
      <c r="FQ49" s="17" t="s">
        <v>870</v>
      </c>
      <c r="FR49" s="17" t="s">
        <v>870</v>
      </c>
      <c r="FS49" s="17" t="s">
        <v>870</v>
      </c>
      <c r="FT49" s="17" t="s">
        <v>870</v>
      </c>
      <c r="FU49" s="17" t="s">
        <v>870</v>
      </c>
      <c r="FV49" s="17" t="s">
        <v>870</v>
      </c>
      <c r="FW49" s="17" t="s">
        <v>870</v>
      </c>
      <c r="FX49" s="17" t="s">
        <v>870</v>
      </c>
      <c r="FY49" s="17" t="s">
        <v>870</v>
      </c>
      <c r="FZ49" s="17" t="s">
        <v>870</v>
      </c>
      <c r="GA49" s="17" t="s">
        <v>870</v>
      </c>
      <c r="GB49" s="17" t="s">
        <v>870</v>
      </c>
      <c r="GC49" s="17" t="s">
        <v>870</v>
      </c>
      <c r="GD49" s="17" t="s">
        <v>870</v>
      </c>
      <c r="GE49" s="17" t="s">
        <v>870</v>
      </c>
      <c r="GF49" s="17" t="s">
        <v>870</v>
      </c>
      <c r="GG49" s="17" t="s">
        <v>870</v>
      </c>
      <c r="GH49" s="17" t="s">
        <v>870</v>
      </c>
      <c r="GI49" s="17" t="s">
        <v>870</v>
      </c>
      <c r="GJ49" s="17" t="s">
        <v>870</v>
      </c>
      <c r="GK49" s="17" t="s">
        <v>870</v>
      </c>
      <c r="GL49" s="17" t="s">
        <v>870</v>
      </c>
      <c r="GM49" s="17" t="s">
        <v>870</v>
      </c>
      <c r="GN49" s="17" t="s">
        <v>870</v>
      </c>
      <c r="GO49" s="17" t="s">
        <v>870</v>
      </c>
      <c r="GP49" s="17" t="s">
        <v>870</v>
      </c>
      <c r="GQ49" s="17" t="s">
        <v>870</v>
      </c>
      <c r="GR49" s="17" t="s">
        <v>870</v>
      </c>
      <c r="GS49" s="17" t="s">
        <v>870</v>
      </c>
      <c r="GT49" s="17" t="s">
        <v>870</v>
      </c>
      <c r="GU49" s="17" t="s">
        <v>870</v>
      </c>
      <c r="GV49" s="17" t="s">
        <v>870</v>
      </c>
      <c r="GW49" s="17" t="s">
        <v>870</v>
      </c>
      <c r="GX49" s="17" t="s">
        <v>870</v>
      </c>
      <c r="GY49" s="17" t="s">
        <v>870</v>
      </c>
      <c r="GZ49" s="17" t="s">
        <v>870</v>
      </c>
      <c r="HA49" s="17" t="s">
        <v>870</v>
      </c>
      <c r="HB49" s="17" t="s">
        <v>870</v>
      </c>
      <c r="HC49" s="17" t="s">
        <v>870</v>
      </c>
      <c r="HD49" s="17" t="s">
        <v>870</v>
      </c>
      <c r="HE49" s="17" t="s">
        <v>870</v>
      </c>
      <c r="HF49" s="17" t="s">
        <v>870</v>
      </c>
      <c r="HG49" s="17" t="s">
        <v>870</v>
      </c>
      <c r="HH49" s="17" t="s">
        <v>870</v>
      </c>
      <c r="HI49" s="17" t="s">
        <v>870</v>
      </c>
      <c r="HJ49" s="17" t="s">
        <v>870</v>
      </c>
      <c r="HK49" s="17" t="s">
        <v>870</v>
      </c>
      <c r="HL49" s="17" t="s">
        <v>870</v>
      </c>
      <c r="HM49" s="17" t="s">
        <v>870</v>
      </c>
      <c r="HN49" s="17" t="s">
        <v>870</v>
      </c>
      <c r="HO49" s="17" t="s">
        <v>870</v>
      </c>
      <c r="HP49" s="17" t="s">
        <v>870</v>
      </c>
      <c r="HQ49" s="17" t="s">
        <v>870</v>
      </c>
      <c r="HR49" s="17" t="s">
        <v>870</v>
      </c>
      <c r="HS49" s="17" t="s">
        <v>870</v>
      </c>
      <c r="HT49" s="17" t="s">
        <v>870</v>
      </c>
      <c r="HU49" s="17" t="s">
        <v>870</v>
      </c>
      <c r="HV49" s="17" t="s">
        <v>870</v>
      </c>
      <c r="HW49" s="17" t="s">
        <v>870</v>
      </c>
      <c r="HX49" s="17" t="s">
        <v>870</v>
      </c>
      <c r="HY49" s="17" t="s">
        <v>870</v>
      </c>
      <c r="HZ49" s="17" t="s">
        <v>870</v>
      </c>
      <c r="IA49" s="17" t="s">
        <v>870</v>
      </c>
      <c r="IB49" s="17" t="s">
        <v>870</v>
      </c>
      <c r="IC49" s="17" t="s">
        <v>870</v>
      </c>
      <c r="ID49" s="72" t="s">
        <v>1552</v>
      </c>
      <c r="IE49" s="17" t="s">
        <v>870</v>
      </c>
      <c r="IF49" s="17" t="s">
        <v>870</v>
      </c>
      <c r="IG49" s="17" t="s">
        <v>870</v>
      </c>
      <c r="IH49" s="17" t="s">
        <v>870</v>
      </c>
      <c r="II49" s="17" t="s">
        <v>870</v>
      </c>
      <c r="IJ49" s="17" t="s">
        <v>870</v>
      </c>
      <c r="IK49" s="17" t="s">
        <v>870</v>
      </c>
      <c r="IL49" s="17" t="s">
        <v>870</v>
      </c>
      <c r="IM49" s="17" t="s">
        <v>870</v>
      </c>
      <c r="IN49" s="17" t="s">
        <v>870</v>
      </c>
      <c r="IO49" s="17" t="s">
        <v>870</v>
      </c>
    </row>
    <row r="50" spans="1:249" x14ac:dyDescent="0.25">
      <c r="A50" t="s">
        <v>11</v>
      </c>
      <c r="B50" s="17" t="s">
        <v>870</v>
      </c>
      <c r="C50" s="17" t="s">
        <v>870</v>
      </c>
      <c r="D50" s="17" t="s">
        <v>870</v>
      </c>
      <c r="E50" s="17" t="s">
        <v>870</v>
      </c>
      <c r="F50" s="17" t="s">
        <v>870</v>
      </c>
      <c r="G50" s="17" t="s">
        <v>870</v>
      </c>
      <c r="H50" s="17" t="s">
        <v>870</v>
      </c>
      <c r="I50" s="17" t="s">
        <v>870</v>
      </c>
      <c r="J50" s="17" t="s">
        <v>870</v>
      </c>
      <c r="K50" s="17" t="s">
        <v>870</v>
      </c>
      <c r="L50" s="17" t="s">
        <v>870</v>
      </c>
      <c r="M50" s="61" t="s">
        <v>2</v>
      </c>
      <c r="N50" s="63"/>
      <c r="O50" s="17" t="s">
        <v>870</v>
      </c>
      <c r="P50" s="17" t="s">
        <v>870</v>
      </c>
      <c r="Q50" s="17" t="s">
        <v>870</v>
      </c>
      <c r="R50" s="17" t="s">
        <v>870</v>
      </c>
      <c r="S50" s="17" t="s">
        <v>870</v>
      </c>
      <c r="T50" s="17" t="s">
        <v>870</v>
      </c>
      <c r="U50" s="17" t="s">
        <v>870</v>
      </c>
      <c r="V50" s="17" t="s">
        <v>870</v>
      </c>
      <c r="W50" s="17" t="s">
        <v>870</v>
      </c>
      <c r="X50" s="17" t="s">
        <v>870</v>
      </c>
      <c r="Y50" s="63"/>
      <c r="Z50" s="63"/>
      <c r="AA50" s="17" t="s">
        <v>870</v>
      </c>
      <c r="AB50" s="17" t="s">
        <v>870</v>
      </c>
      <c r="AC50" s="17" t="s">
        <v>870</v>
      </c>
      <c r="AD50" s="17" t="s">
        <v>870</v>
      </c>
      <c r="AE50" s="17" t="s">
        <v>870</v>
      </c>
      <c r="AF50" s="17" t="s">
        <v>870</v>
      </c>
      <c r="AG50" s="17" t="s">
        <v>870</v>
      </c>
      <c r="AH50" s="17" t="s">
        <v>870</v>
      </c>
      <c r="AI50" s="17" t="s">
        <v>870</v>
      </c>
      <c r="AJ50" s="17" t="s">
        <v>870</v>
      </c>
      <c r="AK50" s="17" t="s">
        <v>870</v>
      </c>
      <c r="AL50" s="17" t="s">
        <v>870</v>
      </c>
      <c r="AM50" s="17" t="s">
        <v>870</v>
      </c>
      <c r="AN50" s="17" t="s">
        <v>870</v>
      </c>
      <c r="AO50" s="17" t="s">
        <v>870</v>
      </c>
      <c r="AP50" s="17" t="s">
        <v>870</v>
      </c>
      <c r="AQ50" s="17" t="s">
        <v>870</v>
      </c>
      <c r="AR50" s="17" t="s">
        <v>870</v>
      </c>
      <c r="AS50" s="17" t="s">
        <v>870</v>
      </c>
      <c r="AT50" s="17" t="s">
        <v>870</v>
      </c>
      <c r="AU50" s="17" t="s">
        <v>870</v>
      </c>
      <c r="AV50" s="17" t="s">
        <v>870</v>
      </c>
      <c r="AW50" s="17" t="s">
        <v>870</v>
      </c>
      <c r="AX50" s="17" t="s">
        <v>870</v>
      </c>
      <c r="AY50" s="17" t="s">
        <v>870</v>
      </c>
      <c r="AZ50" s="17" t="s">
        <v>870</v>
      </c>
      <c r="BA50" s="17" t="s">
        <v>870</v>
      </c>
      <c r="BB50" s="17" t="s">
        <v>870</v>
      </c>
      <c r="BC50" s="17" t="s">
        <v>870</v>
      </c>
      <c r="BD50" s="17" t="s">
        <v>870</v>
      </c>
      <c r="BE50" s="17" t="s">
        <v>870</v>
      </c>
      <c r="BF50" s="17" t="s">
        <v>870</v>
      </c>
      <c r="BG50" s="17" t="s">
        <v>870</v>
      </c>
      <c r="BH50" s="17" t="s">
        <v>870</v>
      </c>
      <c r="BI50" s="17" t="s">
        <v>870</v>
      </c>
      <c r="BJ50" s="17" t="s">
        <v>870</v>
      </c>
      <c r="BK50" s="17" t="s">
        <v>870</v>
      </c>
      <c r="BL50" s="17" t="s">
        <v>870</v>
      </c>
      <c r="BM50" s="17" t="s">
        <v>870</v>
      </c>
      <c r="BN50" s="17" t="s">
        <v>870</v>
      </c>
      <c r="BO50" s="17" t="s">
        <v>870</v>
      </c>
      <c r="BP50" s="17" t="s">
        <v>870</v>
      </c>
      <c r="BQ50" s="17" t="s">
        <v>870</v>
      </c>
      <c r="BR50" s="17" t="s">
        <v>870</v>
      </c>
      <c r="BS50" s="17" t="s">
        <v>870</v>
      </c>
      <c r="BT50" s="17" t="s">
        <v>870</v>
      </c>
      <c r="BU50" s="17" t="s">
        <v>870</v>
      </c>
      <c r="BV50" s="17" t="s">
        <v>870</v>
      </c>
      <c r="BW50" s="17" t="s">
        <v>870</v>
      </c>
      <c r="BX50" s="17" t="s">
        <v>870</v>
      </c>
      <c r="BY50" s="17" t="s">
        <v>870</v>
      </c>
      <c r="BZ50" s="17" t="s">
        <v>870</v>
      </c>
      <c r="CA50" s="17" t="s">
        <v>870</v>
      </c>
      <c r="CB50" s="17" t="s">
        <v>870</v>
      </c>
      <c r="CC50" s="17" t="s">
        <v>870</v>
      </c>
      <c r="CD50" s="17" t="s">
        <v>870</v>
      </c>
      <c r="CE50" s="17" t="s">
        <v>870</v>
      </c>
      <c r="CF50" s="17" t="s">
        <v>870</v>
      </c>
      <c r="CG50" s="17" t="s">
        <v>870</v>
      </c>
      <c r="CH50" s="17" t="s">
        <v>870</v>
      </c>
      <c r="CI50" s="17" t="s">
        <v>870</v>
      </c>
      <c r="CJ50" s="17" t="s">
        <v>870</v>
      </c>
      <c r="CK50" s="17" t="s">
        <v>870</v>
      </c>
      <c r="CL50" s="17" t="s">
        <v>870</v>
      </c>
      <c r="CM50" s="17" t="s">
        <v>870</v>
      </c>
      <c r="CN50" s="17" t="s">
        <v>870</v>
      </c>
      <c r="CO50" s="17" t="s">
        <v>870</v>
      </c>
      <c r="CP50" s="17" t="s">
        <v>870</v>
      </c>
      <c r="CQ50" s="17" t="s">
        <v>870</v>
      </c>
      <c r="CR50" s="17" t="s">
        <v>870</v>
      </c>
      <c r="CS50" s="17" t="s">
        <v>870</v>
      </c>
      <c r="CT50" s="17" t="s">
        <v>870</v>
      </c>
      <c r="CU50" s="17" t="s">
        <v>870</v>
      </c>
      <c r="CV50" s="17" t="s">
        <v>870</v>
      </c>
      <c r="CW50" s="17" t="s">
        <v>870</v>
      </c>
      <c r="CX50" s="17" t="s">
        <v>870</v>
      </c>
      <c r="CY50" s="17" t="s">
        <v>870</v>
      </c>
      <c r="CZ50" s="17" t="s">
        <v>870</v>
      </c>
      <c r="DA50" s="17" t="s">
        <v>870</v>
      </c>
      <c r="DB50" s="17" t="s">
        <v>870</v>
      </c>
      <c r="DC50" s="17" t="s">
        <v>870</v>
      </c>
      <c r="DD50" s="17" t="s">
        <v>870</v>
      </c>
      <c r="DE50" s="17" t="s">
        <v>870</v>
      </c>
      <c r="DF50" s="17" t="s">
        <v>870</v>
      </c>
      <c r="DG50" s="17" t="s">
        <v>870</v>
      </c>
      <c r="DH50" s="17" t="s">
        <v>870</v>
      </c>
      <c r="DI50" s="17" t="s">
        <v>870</v>
      </c>
      <c r="DJ50" s="17" t="s">
        <v>870</v>
      </c>
      <c r="DK50" s="17" t="s">
        <v>870</v>
      </c>
      <c r="DL50" s="17" t="s">
        <v>870</v>
      </c>
      <c r="DM50" s="17" t="s">
        <v>870</v>
      </c>
      <c r="DN50" s="17" t="s">
        <v>870</v>
      </c>
      <c r="DO50" s="17" t="s">
        <v>870</v>
      </c>
      <c r="DP50" s="17" t="s">
        <v>870</v>
      </c>
      <c r="DQ50" s="17" t="s">
        <v>870</v>
      </c>
      <c r="DR50" s="17" t="s">
        <v>870</v>
      </c>
      <c r="DS50" s="17" t="s">
        <v>870</v>
      </c>
      <c r="DT50" s="17" t="s">
        <v>870</v>
      </c>
      <c r="DU50" s="17" t="s">
        <v>870</v>
      </c>
      <c r="DV50" s="17" t="s">
        <v>870</v>
      </c>
      <c r="DW50" s="17" t="s">
        <v>870</v>
      </c>
      <c r="DX50" s="17" t="s">
        <v>870</v>
      </c>
      <c r="DY50" s="17" t="s">
        <v>870</v>
      </c>
      <c r="DZ50" s="17" t="s">
        <v>870</v>
      </c>
      <c r="EA50" s="17" t="s">
        <v>870</v>
      </c>
      <c r="EB50" s="17" t="s">
        <v>870</v>
      </c>
      <c r="EC50" s="17" t="s">
        <v>870</v>
      </c>
      <c r="ED50" s="17" t="s">
        <v>870</v>
      </c>
      <c r="EE50" s="17" t="s">
        <v>870</v>
      </c>
      <c r="EF50" s="17" t="s">
        <v>870</v>
      </c>
      <c r="EG50" s="17" t="s">
        <v>870</v>
      </c>
      <c r="EH50" s="17" t="s">
        <v>870</v>
      </c>
      <c r="EI50" s="17" t="s">
        <v>870</v>
      </c>
      <c r="EJ50" s="17" t="s">
        <v>870</v>
      </c>
      <c r="EK50" s="17" t="s">
        <v>870</v>
      </c>
      <c r="EL50" s="17" t="s">
        <v>870</v>
      </c>
      <c r="EM50" s="17" t="s">
        <v>870</v>
      </c>
      <c r="EN50" s="17" t="s">
        <v>870</v>
      </c>
      <c r="EO50" s="17" t="s">
        <v>870</v>
      </c>
      <c r="EP50" s="17" t="s">
        <v>870</v>
      </c>
      <c r="EQ50" s="17" t="s">
        <v>870</v>
      </c>
      <c r="ER50" s="17" t="s">
        <v>870</v>
      </c>
      <c r="ES50" s="17" t="s">
        <v>870</v>
      </c>
      <c r="ET50" s="17" t="s">
        <v>870</v>
      </c>
      <c r="EU50" s="17" t="s">
        <v>870</v>
      </c>
      <c r="EV50" s="17" t="s">
        <v>870</v>
      </c>
      <c r="EW50" s="17" t="s">
        <v>870</v>
      </c>
      <c r="EX50" s="17" t="s">
        <v>870</v>
      </c>
      <c r="EY50" s="17" t="s">
        <v>870</v>
      </c>
      <c r="EZ50" s="17" t="s">
        <v>870</v>
      </c>
      <c r="FA50" s="17" t="s">
        <v>870</v>
      </c>
      <c r="FB50" s="17" t="s">
        <v>870</v>
      </c>
      <c r="FC50" s="17" t="s">
        <v>870</v>
      </c>
      <c r="FD50" s="17" t="s">
        <v>870</v>
      </c>
      <c r="FE50" s="17" t="s">
        <v>870</v>
      </c>
      <c r="FF50" s="17" t="s">
        <v>870</v>
      </c>
      <c r="FG50" s="17" t="s">
        <v>870</v>
      </c>
      <c r="FH50" s="17" t="s">
        <v>870</v>
      </c>
      <c r="FI50" s="17" t="s">
        <v>870</v>
      </c>
      <c r="FJ50" s="17" t="s">
        <v>870</v>
      </c>
      <c r="FK50" s="17" t="s">
        <v>870</v>
      </c>
      <c r="FL50" s="17" t="s">
        <v>870</v>
      </c>
      <c r="FM50" s="17" t="s">
        <v>870</v>
      </c>
      <c r="FN50" s="17" t="s">
        <v>870</v>
      </c>
      <c r="FO50" s="17" t="s">
        <v>870</v>
      </c>
      <c r="FP50" s="17" t="s">
        <v>870</v>
      </c>
      <c r="FQ50" s="17" t="s">
        <v>870</v>
      </c>
      <c r="FR50" s="17" t="s">
        <v>870</v>
      </c>
      <c r="FS50" s="17" t="s">
        <v>870</v>
      </c>
      <c r="FT50" s="17" t="s">
        <v>870</v>
      </c>
      <c r="FU50" s="17" t="s">
        <v>870</v>
      </c>
      <c r="FV50" s="17" t="s">
        <v>870</v>
      </c>
      <c r="FW50" s="17" t="s">
        <v>870</v>
      </c>
      <c r="FX50" s="17" t="s">
        <v>870</v>
      </c>
      <c r="FY50" s="17" t="s">
        <v>870</v>
      </c>
      <c r="FZ50" s="17" t="s">
        <v>870</v>
      </c>
      <c r="GA50" s="17" t="s">
        <v>870</v>
      </c>
      <c r="GB50" s="17" t="s">
        <v>870</v>
      </c>
      <c r="GC50" s="17" t="s">
        <v>870</v>
      </c>
      <c r="GD50" s="17" t="s">
        <v>870</v>
      </c>
      <c r="GE50" s="17" t="s">
        <v>870</v>
      </c>
      <c r="GF50" s="17" t="s">
        <v>870</v>
      </c>
      <c r="GG50" s="17" t="s">
        <v>870</v>
      </c>
      <c r="GH50" s="17" t="s">
        <v>870</v>
      </c>
      <c r="GI50" s="17" t="s">
        <v>870</v>
      </c>
      <c r="GJ50" s="17" t="s">
        <v>870</v>
      </c>
      <c r="GK50" s="17" t="s">
        <v>870</v>
      </c>
      <c r="GL50" s="17" t="s">
        <v>870</v>
      </c>
      <c r="GM50" s="17" t="s">
        <v>870</v>
      </c>
      <c r="GN50" s="17" t="s">
        <v>870</v>
      </c>
      <c r="GO50" s="17" t="s">
        <v>870</v>
      </c>
      <c r="GP50" s="17" t="s">
        <v>870</v>
      </c>
      <c r="GQ50" s="17" t="s">
        <v>870</v>
      </c>
      <c r="GR50" s="17" t="s">
        <v>870</v>
      </c>
      <c r="GS50" s="17" t="s">
        <v>870</v>
      </c>
      <c r="GT50" s="17" t="s">
        <v>870</v>
      </c>
      <c r="GU50" s="17" t="s">
        <v>870</v>
      </c>
      <c r="GV50" s="17" t="s">
        <v>870</v>
      </c>
      <c r="GW50" s="17" t="s">
        <v>870</v>
      </c>
      <c r="GX50" s="17" t="s">
        <v>870</v>
      </c>
      <c r="GY50" s="17" t="s">
        <v>870</v>
      </c>
      <c r="GZ50" s="17" t="s">
        <v>870</v>
      </c>
      <c r="HA50" s="17" t="s">
        <v>870</v>
      </c>
      <c r="HB50" s="17" t="s">
        <v>870</v>
      </c>
      <c r="HC50" s="17" t="s">
        <v>870</v>
      </c>
      <c r="HD50" s="17" t="s">
        <v>870</v>
      </c>
      <c r="HE50" s="17" t="s">
        <v>870</v>
      </c>
      <c r="HF50" s="17" t="s">
        <v>870</v>
      </c>
      <c r="HG50" s="17" t="s">
        <v>870</v>
      </c>
      <c r="HH50" s="17" t="s">
        <v>870</v>
      </c>
      <c r="HI50" s="17" t="s">
        <v>870</v>
      </c>
      <c r="HJ50" s="17" t="s">
        <v>870</v>
      </c>
      <c r="HK50" s="17" t="s">
        <v>870</v>
      </c>
      <c r="HL50" s="17" t="s">
        <v>870</v>
      </c>
      <c r="HM50" s="17" t="s">
        <v>870</v>
      </c>
      <c r="HN50" s="17" t="s">
        <v>870</v>
      </c>
      <c r="HO50" s="17" t="s">
        <v>870</v>
      </c>
      <c r="HP50" s="17" t="s">
        <v>870</v>
      </c>
      <c r="HQ50" s="17" t="s">
        <v>870</v>
      </c>
      <c r="HR50" s="17" t="s">
        <v>870</v>
      </c>
      <c r="HS50" s="17" t="s">
        <v>870</v>
      </c>
      <c r="HT50" s="17" t="s">
        <v>870</v>
      </c>
      <c r="HU50" s="17" t="s">
        <v>870</v>
      </c>
      <c r="HV50" s="17" t="s">
        <v>870</v>
      </c>
      <c r="HW50" s="17" t="s">
        <v>870</v>
      </c>
      <c r="HX50" s="17" t="s">
        <v>870</v>
      </c>
      <c r="HY50" s="17" t="s">
        <v>870</v>
      </c>
      <c r="HZ50" s="17" t="s">
        <v>870</v>
      </c>
      <c r="IA50" s="17" t="s">
        <v>870</v>
      </c>
      <c r="IB50" s="17" t="s">
        <v>870</v>
      </c>
      <c r="IC50" s="17" t="s">
        <v>870</v>
      </c>
      <c r="ID50" s="72" t="s">
        <v>1552</v>
      </c>
      <c r="IE50" s="17" t="s">
        <v>870</v>
      </c>
      <c r="IF50" s="17" t="s">
        <v>870</v>
      </c>
      <c r="IG50" s="17" t="s">
        <v>870</v>
      </c>
      <c r="IH50" s="17" t="s">
        <v>870</v>
      </c>
      <c r="II50" s="17" t="s">
        <v>870</v>
      </c>
      <c r="IJ50" s="17" t="s">
        <v>870</v>
      </c>
      <c r="IK50" s="17" t="s">
        <v>870</v>
      </c>
      <c r="IL50" s="17" t="s">
        <v>870</v>
      </c>
      <c r="IM50" s="17" t="s">
        <v>870</v>
      </c>
      <c r="IN50" s="17" t="s">
        <v>870</v>
      </c>
      <c r="IO50" s="17" t="s">
        <v>870</v>
      </c>
    </row>
    <row r="51" spans="1:249" x14ac:dyDescent="0.25">
      <c r="A51" t="s">
        <v>23</v>
      </c>
      <c r="B51" s="17" t="s">
        <v>870</v>
      </c>
      <c r="C51" s="17" t="s">
        <v>870</v>
      </c>
      <c r="D51" s="17" t="s">
        <v>870</v>
      </c>
      <c r="E51" s="17" t="s">
        <v>870</v>
      </c>
      <c r="F51" s="17" t="s">
        <v>870</v>
      </c>
      <c r="G51" s="62"/>
      <c r="H51" s="63"/>
      <c r="I51" s="61" t="s">
        <v>2</v>
      </c>
      <c r="J51" s="63"/>
      <c r="K51" s="17" t="s">
        <v>870</v>
      </c>
      <c r="L51" s="17" t="s">
        <v>870</v>
      </c>
      <c r="M51" s="17" t="s">
        <v>870</v>
      </c>
      <c r="N51" s="17" t="s">
        <v>870</v>
      </c>
      <c r="O51" s="17" t="s">
        <v>870</v>
      </c>
      <c r="P51" s="17" t="s">
        <v>870</v>
      </c>
      <c r="Q51" s="17" t="s">
        <v>870</v>
      </c>
      <c r="R51" s="17" t="s">
        <v>870</v>
      </c>
      <c r="S51" s="17" t="s">
        <v>870</v>
      </c>
      <c r="T51" s="17" t="s">
        <v>870</v>
      </c>
      <c r="U51" s="17" t="s">
        <v>870</v>
      </c>
      <c r="V51" s="17" t="s">
        <v>870</v>
      </c>
      <c r="W51" s="17" t="s">
        <v>870</v>
      </c>
      <c r="X51" s="17" t="s">
        <v>870</v>
      </c>
      <c r="Y51" s="17" t="s">
        <v>870</v>
      </c>
      <c r="Z51" s="17" t="s">
        <v>870</v>
      </c>
      <c r="AA51" s="17" t="s">
        <v>870</v>
      </c>
      <c r="AB51" s="17" t="s">
        <v>870</v>
      </c>
      <c r="AC51" s="17" t="s">
        <v>870</v>
      </c>
      <c r="AD51" s="17" t="s">
        <v>870</v>
      </c>
      <c r="AE51" s="17" t="s">
        <v>870</v>
      </c>
      <c r="AF51" s="17" t="s">
        <v>870</v>
      </c>
      <c r="AG51" s="17" t="s">
        <v>870</v>
      </c>
      <c r="AH51" s="17" t="s">
        <v>870</v>
      </c>
      <c r="AI51" s="17" t="s">
        <v>870</v>
      </c>
      <c r="AJ51" s="17" t="s">
        <v>870</v>
      </c>
      <c r="AK51" s="17" t="s">
        <v>870</v>
      </c>
      <c r="AL51" s="17" t="s">
        <v>870</v>
      </c>
      <c r="AM51" s="17" t="s">
        <v>870</v>
      </c>
      <c r="AN51" s="17" t="s">
        <v>870</v>
      </c>
      <c r="AO51" s="17" t="s">
        <v>870</v>
      </c>
      <c r="AP51" s="17" t="s">
        <v>870</v>
      </c>
      <c r="AQ51" s="17" t="s">
        <v>870</v>
      </c>
      <c r="AR51" s="17" t="s">
        <v>870</v>
      </c>
      <c r="AS51" s="17" t="s">
        <v>870</v>
      </c>
      <c r="AT51" s="17" t="s">
        <v>870</v>
      </c>
      <c r="AU51" s="17" t="s">
        <v>870</v>
      </c>
      <c r="AV51" s="17" t="s">
        <v>870</v>
      </c>
      <c r="AW51" s="17" t="s">
        <v>870</v>
      </c>
      <c r="AX51" s="17" t="s">
        <v>870</v>
      </c>
      <c r="AY51" s="17" t="s">
        <v>870</v>
      </c>
      <c r="AZ51" s="17" t="s">
        <v>870</v>
      </c>
      <c r="BA51" s="17" t="s">
        <v>870</v>
      </c>
      <c r="BB51" s="17" t="s">
        <v>870</v>
      </c>
      <c r="BC51" s="17" t="s">
        <v>870</v>
      </c>
      <c r="BD51" s="17" t="s">
        <v>870</v>
      </c>
      <c r="BE51" s="17" t="s">
        <v>870</v>
      </c>
      <c r="BF51" s="17" t="s">
        <v>870</v>
      </c>
      <c r="BG51" s="17" t="s">
        <v>870</v>
      </c>
      <c r="BH51" s="17" t="s">
        <v>870</v>
      </c>
      <c r="BI51" s="17" t="s">
        <v>870</v>
      </c>
      <c r="BJ51" s="17" t="s">
        <v>870</v>
      </c>
      <c r="BK51" s="17" t="s">
        <v>870</v>
      </c>
      <c r="BL51" s="17" t="s">
        <v>870</v>
      </c>
      <c r="BM51" s="17" t="s">
        <v>870</v>
      </c>
      <c r="BN51" s="17" t="s">
        <v>870</v>
      </c>
      <c r="BO51" s="17" t="s">
        <v>870</v>
      </c>
      <c r="BP51" s="17" t="s">
        <v>870</v>
      </c>
      <c r="BQ51" s="17" t="s">
        <v>870</v>
      </c>
      <c r="BR51" s="17" t="s">
        <v>870</v>
      </c>
      <c r="BS51" s="17" t="s">
        <v>870</v>
      </c>
      <c r="BT51" s="17" t="s">
        <v>870</v>
      </c>
      <c r="BU51" s="17" t="s">
        <v>870</v>
      </c>
      <c r="BV51" s="17" t="s">
        <v>870</v>
      </c>
      <c r="BW51" s="17" t="s">
        <v>870</v>
      </c>
      <c r="BX51" s="17" t="s">
        <v>870</v>
      </c>
      <c r="BY51" s="17" t="s">
        <v>870</v>
      </c>
      <c r="BZ51" s="17" t="s">
        <v>870</v>
      </c>
      <c r="CA51" s="17" t="s">
        <v>870</v>
      </c>
      <c r="CB51" s="17" t="s">
        <v>870</v>
      </c>
      <c r="CC51" s="17" t="s">
        <v>870</v>
      </c>
      <c r="CD51" s="17" t="s">
        <v>870</v>
      </c>
      <c r="CE51" s="17" t="s">
        <v>870</v>
      </c>
      <c r="CF51" s="17" t="s">
        <v>870</v>
      </c>
      <c r="CG51" s="17" t="s">
        <v>870</v>
      </c>
      <c r="CH51" s="17" t="s">
        <v>870</v>
      </c>
      <c r="CI51" s="17" t="s">
        <v>870</v>
      </c>
      <c r="CJ51" s="17" t="s">
        <v>870</v>
      </c>
      <c r="CK51" s="17" t="s">
        <v>870</v>
      </c>
      <c r="CL51" s="17" t="s">
        <v>870</v>
      </c>
      <c r="CM51" s="17" t="s">
        <v>870</v>
      </c>
      <c r="CN51" s="17" t="s">
        <v>870</v>
      </c>
      <c r="CO51" s="17" t="s">
        <v>870</v>
      </c>
      <c r="CP51" s="17" t="s">
        <v>870</v>
      </c>
      <c r="CQ51" s="17" t="s">
        <v>870</v>
      </c>
      <c r="CR51" s="17" t="s">
        <v>870</v>
      </c>
      <c r="CS51" s="17" t="s">
        <v>870</v>
      </c>
      <c r="CT51" s="17" t="s">
        <v>870</v>
      </c>
      <c r="CU51" s="17" t="s">
        <v>870</v>
      </c>
      <c r="CV51" s="17" t="s">
        <v>870</v>
      </c>
      <c r="CW51" s="17" t="s">
        <v>870</v>
      </c>
      <c r="CX51" s="17" t="s">
        <v>870</v>
      </c>
      <c r="CY51" s="17" t="s">
        <v>870</v>
      </c>
      <c r="CZ51" s="17" t="s">
        <v>870</v>
      </c>
      <c r="DA51" s="17" t="s">
        <v>870</v>
      </c>
      <c r="DB51" s="17" t="s">
        <v>870</v>
      </c>
      <c r="DC51" s="17" t="s">
        <v>870</v>
      </c>
      <c r="DD51" s="17" t="s">
        <v>870</v>
      </c>
      <c r="DE51" s="17" t="s">
        <v>870</v>
      </c>
      <c r="DF51" s="17" t="s">
        <v>870</v>
      </c>
      <c r="DG51" s="17" t="s">
        <v>870</v>
      </c>
      <c r="DH51" s="17" t="s">
        <v>870</v>
      </c>
      <c r="DI51" s="17" t="s">
        <v>870</v>
      </c>
      <c r="DJ51" s="17" t="s">
        <v>870</v>
      </c>
      <c r="DK51" s="17" t="s">
        <v>870</v>
      </c>
      <c r="DL51" s="17" t="s">
        <v>870</v>
      </c>
      <c r="DM51" s="17" t="s">
        <v>870</v>
      </c>
      <c r="DN51" s="17" t="s">
        <v>870</v>
      </c>
      <c r="DO51" s="17" t="s">
        <v>870</v>
      </c>
      <c r="DP51" s="17" t="s">
        <v>870</v>
      </c>
      <c r="DQ51" s="17" t="s">
        <v>870</v>
      </c>
      <c r="DR51" s="17" t="s">
        <v>870</v>
      </c>
      <c r="DS51" s="17" t="s">
        <v>870</v>
      </c>
      <c r="DT51" s="17" t="s">
        <v>870</v>
      </c>
      <c r="DU51" s="17" t="s">
        <v>870</v>
      </c>
      <c r="DV51" s="17" t="s">
        <v>870</v>
      </c>
      <c r="DW51" s="17" t="s">
        <v>870</v>
      </c>
      <c r="DX51" s="17" t="s">
        <v>870</v>
      </c>
      <c r="DY51" s="17" t="s">
        <v>870</v>
      </c>
      <c r="DZ51" s="17" t="s">
        <v>870</v>
      </c>
      <c r="EA51" s="17" t="s">
        <v>870</v>
      </c>
      <c r="EB51" s="17" t="s">
        <v>870</v>
      </c>
      <c r="EC51" s="17" t="s">
        <v>870</v>
      </c>
      <c r="ED51" s="17" t="s">
        <v>870</v>
      </c>
      <c r="EE51" s="17" t="s">
        <v>870</v>
      </c>
      <c r="EF51" s="17" t="s">
        <v>870</v>
      </c>
      <c r="EG51" s="17" t="s">
        <v>870</v>
      </c>
      <c r="EH51" s="17" t="s">
        <v>870</v>
      </c>
      <c r="EI51" s="17" t="s">
        <v>870</v>
      </c>
      <c r="EJ51" s="17" t="s">
        <v>870</v>
      </c>
      <c r="EK51" s="17" t="s">
        <v>870</v>
      </c>
      <c r="EL51" s="17" t="s">
        <v>870</v>
      </c>
      <c r="EM51" s="17" t="s">
        <v>870</v>
      </c>
      <c r="EN51" s="17" t="s">
        <v>870</v>
      </c>
      <c r="EO51" s="17" t="s">
        <v>870</v>
      </c>
      <c r="EP51" s="17" t="s">
        <v>870</v>
      </c>
      <c r="EQ51" s="17" t="s">
        <v>870</v>
      </c>
      <c r="ER51" s="17" t="s">
        <v>870</v>
      </c>
      <c r="ES51" s="17" t="s">
        <v>870</v>
      </c>
      <c r="ET51" s="17" t="s">
        <v>870</v>
      </c>
      <c r="EU51" s="17" t="s">
        <v>870</v>
      </c>
      <c r="EV51" s="17" t="s">
        <v>870</v>
      </c>
      <c r="EW51" s="17" t="s">
        <v>870</v>
      </c>
      <c r="EX51" s="17" t="s">
        <v>870</v>
      </c>
      <c r="EY51" s="17" t="s">
        <v>870</v>
      </c>
      <c r="EZ51" s="17" t="s">
        <v>870</v>
      </c>
      <c r="FA51" s="17" t="s">
        <v>870</v>
      </c>
      <c r="FB51" s="17" t="s">
        <v>870</v>
      </c>
      <c r="FC51" s="17" t="s">
        <v>870</v>
      </c>
      <c r="FD51" s="17" t="s">
        <v>870</v>
      </c>
      <c r="FE51" s="17" t="s">
        <v>870</v>
      </c>
      <c r="FF51" s="17" t="s">
        <v>870</v>
      </c>
      <c r="FG51" s="17" t="s">
        <v>870</v>
      </c>
      <c r="FH51" s="17" t="s">
        <v>870</v>
      </c>
      <c r="FI51" s="17" t="s">
        <v>870</v>
      </c>
      <c r="FJ51" s="17" t="s">
        <v>870</v>
      </c>
      <c r="FK51" s="17" t="s">
        <v>870</v>
      </c>
      <c r="FL51" s="17" t="s">
        <v>870</v>
      </c>
      <c r="FM51" s="17" t="s">
        <v>870</v>
      </c>
      <c r="FN51" s="17" t="s">
        <v>870</v>
      </c>
      <c r="FO51" s="17" t="s">
        <v>870</v>
      </c>
      <c r="FP51" s="17" t="s">
        <v>870</v>
      </c>
      <c r="FQ51" s="17" t="s">
        <v>870</v>
      </c>
      <c r="FR51" s="17" t="s">
        <v>870</v>
      </c>
      <c r="FS51" s="17" t="s">
        <v>870</v>
      </c>
      <c r="FT51" s="17" t="s">
        <v>870</v>
      </c>
      <c r="FU51" s="17" t="s">
        <v>870</v>
      </c>
      <c r="FV51" s="17" t="s">
        <v>870</v>
      </c>
      <c r="FW51" s="17" t="s">
        <v>870</v>
      </c>
      <c r="FX51" s="17" t="s">
        <v>870</v>
      </c>
      <c r="FY51" s="17" t="s">
        <v>870</v>
      </c>
      <c r="FZ51" s="17" t="s">
        <v>870</v>
      </c>
      <c r="GA51" s="17" t="s">
        <v>870</v>
      </c>
      <c r="GB51" s="17" t="s">
        <v>870</v>
      </c>
      <c r="GC51" s="17" t="s">
        <v>870</v>
      </c>
      <c r="GD51" s="17" t="s">
        <v>870</v>
      </c>
      <c r="GE51" s="17" t="s">
        <v>870</v>
      </c>
      <c r="GF51" s="17" t="s">
        <v>870</v>
      </c>
      <c r="GG51" s="17" t="s">
        <v>870</v>
      </c>
      <c r="GH51" s="17" t="s">
        <v>870</v>
      </c>
      <c r="GI51" s="17" t="s">
        <v>870</v>
      </c>
      <c r="GJ51" s="17" t="s">
        <v>870</v>
      </c>
      <c r="GK51" s="17" t="s">
        <v>870</v>
      </c>
      <c r="GL51" s="17" t="s">
        <v>870</v>
      </c>
      <c r="GM51" s="17" t="s">
        <v>870</v>
      </c>
      <c r="GN51" s="17" t="s">
        <v>870</v>
      </c>
      <c r="GO51" s="17" t="s">
        <v>870</v>
      </c>
      <c r="GP51" s="17" t="s">
        <v>870</v>
      </c>
      <c r="GQ51" s="17" t="s">
        <v>870</v>
      </c>
      <c r="GR51" s="17" t="s">
        <v>870</v>
      </c>
      <c r="GS51" s="17" t="s">
        <v>870</v>
      </c>
      <c r="GT51" s="17" t="s">
        <v>870</v>
      </c>
      <c r="GU51" s="17" t="s">
        <v>870</v>
      </c>
      <c r="GV51" s="17" t="s">
        <v>870</v>
      </c>
      <c r="GW51" s="17" t="s">
        <v>870</v>
      </c>
      <c r="GX51" s="17" t="s">
        <v>870</v>
      </c>
      <c r="GY51" s="17" t="s">
        <v>870</v>
      </c>
      <c r="GZ51" s="17" t="s">
        <v>870</v>
      </c>
      <c r="HA51" s="17" t="s">
        <v>870</v>
      </c>
      <c r="HB51" s="17" t="s">
        <v>870</v>
      </c>
      <c r="HC51" s="17" t="s">
        <v>870</v>
      </c>
      <c r="HD51" s="17" t="s">
        <v>870</v>
      </c>
      <c r="HE51" s="17" t="s">
        <v>870</v>
      </c>
      <c r="HF51" s="17" t="s">
        <v>870</v>
      </c>
      <c r="HG51" s="17" t="s">
        <v>870</v>
      </c>
      <c r="HH51" s="17" t="s">
        <v>870</v>
      </c>
      <c r="HI51" s="17" t="s">
        <v>870</v>
      </c>
      <c r="HJ51" s="17" t="s">
        <v>870</v>
      </c>
      <c r="HK51" s="17" t="s">
        <v>870</v>
      </c>
      <c r="HL51" s="17" t="s">
        <v>870</v>
      </c>
      <c r="HM51" s="17" t="s">
        <v>870</v>
      </c>
      <c r="HN51" s="17" t="s">
        <v>870</v>
      </c>
      <c r="HO51" s="17" t="s">
        <v>870</v>
      </c>
      <c r="HP51" s="17" t="s">
        <v>870</v>
      </c>
      <c r="HQ51" s="17" t="s">
        <v>870</v>
      </c>
      <c r="HR51" s="17" t="s">
        <v>870</v>
      </c>
      <c r="HS51" s="17" t="s">
        <v>870</v>
      </c>
      <c r="HT51" s="17" t="s">
        <v>870</v>
      </c>
      <c r="HU51" s="17" t="s">
        <v>870</v>
      </c>
      <c r="HV51" s="17" t="s">
        <v>870</v>
      </c>
      <c r="HW51" s="17" t="s">
        <v>870</v>
      </c>
      <c r="HX51" s="17" t="s">
        <v>870</v>
      </c>
      <c r="HY51" s="17" t="s">
        <v>870</v>
      </c>
      <c r="HZ51" s="17" t="s">
        <v>870</v>
      </c>
      <c r="IA51" s="17" t="s">
        <v>870</v>
      </c>
      <c r="IB51" s="17" t="s">
        <v>870</v>
      </c>
      <c r="IC51" s="17" t="s">
        <v>870</v>
      </c>
      <c r="ID51" s="72" t="s">
        <v>1552</v>
      </c>
      <c r="IE51" s="17" t="s">
        <v>870</v>
      </c>
      <c r="IF51" s="17" t="s">
        <v>870</v>
      </c>
      <c r="IG51" s="17" t="s">
        <v>870</v>
      </c>
      <c r="IH51" s="17" t="s">
        <v>870</v>
      </c>
      <c r="II51" s="17" t="s">
        <v>870</v>
      </c>
      <c r="IJ51" s="17" t="s">
        <v>870</v>
      </c>
      <c r="IK51" s="17" t="s">
        <v>870</v>
      </c>
      <c r="IL51" s="17" t="s">
        <v>870</v>
      </c>
      <c r="IM51" s="17" t="s">
        <v>870</v>
      </c>
      <c r="IN51" s="17" t="s">
        <v>870</v>
      </c>
      <c r="IO51" s="17" t="s">
        <v>870</v>
      </c>
    </row>
    <row r="52" spans="1:249" x14ac:dyDescent="0.25">
      <c r="A52" t="s">
        <v>92</v>
      </c>
      <c r="B52" s="17" t="s">
        <v>870</v>
      </c>
      <c r="C52" s="17" t="s">
        <v>870</v>
      </c>
      <c r="D52" s="17" t="s">
        <v>870</v>
      </c>
      <c r="E52" s="17" t="s">
        <v>870</v>
      </c>
      <c r="F52" s="17" t="s">
        <v>870</v>
      </c>
      <c r="G52" s="17" t="s">
        <v>870</v>
      </c>
      <c r="H52" s="17" t="s">
        <v>870</v>
      </c>
      <c r="I52" s="17" t="s">
        <v>870</v>
      </c>
      <c r="J52" s="17" t="s">
        <v>870</v>
      </c>
      <c r="K52" s="17" t="s">
        <v>870</v>
      </c>
      <c r="L52" s="17" t="s">
        <v>870</v>
      </c>
      <c r="M52" s="17" t="s">
        <v>870</v>
      </c>
      <c r="N52" s="17" t="s">
        <v>870</v>
      </c>
      <c r="O52" s="17" t="s">
        <v>870</v>
      </c>
      <c r="P52" s="17" t="s">
        <v>870</v>
      </c>
      <c r="Q52" s="17" t="s">
        <v>870</v>
      </c>
      <c r="R52" s="17" t="s">
        <v>870</v>
      </c>
      <c r="S52" s="17" t="s">
        <v>870</v>
      </c>
      <c r="T52" s="17" t="s">
        <v>870</v>
      </c>
      <c r="U52" s="17" t="s">
        <v>870</v>
      </c>
      <c r="V52" s="17" t="s">
        <v>870</v>
      </c>
      <c r="W52" s="17" t="s">
        <v>870</v>
      </c>
      <c r="X52" s="17" t="s">
        <v>870</v>
      </c>
      <c r="Y52" s="17" t="s">
        <v>870</v>
      </c>
      <c r="Z52" s="17" t="s">
        <v>870</v>
      </c>
      <c r="AA52" s="17" t="s">
        <v>870</v>
      </c>
      <c r="AB52" s="17" t="s">
        <v>870</v>
      </c>
      <c r="AC52" s="17" t="s">
        <v>870</v>
      </c>
      <c r="AD52" s="17" t="s">
        <v>870</v>
      </c>
      <c r="AE52" s="17" t="s">
        <v>870</v>
      </c>
      <c r="AF52" s="17" t="s">
        <v>870</v>
      </c>
      <c r="AG52" s="17" t="s">
        <v>870</v>
      </c>
      <c r="AH52" s="17" t="s">
        <v>870</v>
      </c>
      <c r="AI52" s="17" t="s">
        <v>870</v>
      </c>
      <c r="AJ52" s="17" t="s">
        <v>870</v>
      </c>
      <c r="AK52" s="17" t="s">
        <v>870</v>
      </c>
      <c r="AL52" s="17" t="s">
        <v>870</v>
      </c>
      <c r="AM52" s="17" t="s">
        <v>870</v>
      </c>
      <c r="AN52" s="17" t="s">
        <v>870</v>
      </c>
      <c r="AO52" s="17" t="s">
        <v>870</v>
      </c>
      <c r="AP52" s="17" t="s">
        <v>870</v>
      </c>
      <c r="AQ52" s="17" t="s">
        <v>870</v>
      </c>
      <c r="AR52" s="17" t="s">
        <v>870</v>
      </c>
      <c r="AS52" s="17" t="s">
        <v>870</v>
      </c>
      <c r="AT52" s="17" t="s">
        <v>870</v>
      </c>
      <c r="AU52" s="17" t="s">
        <v>870</v>
      </c>
      <c r="AV52" s="17" t="s">
        <v>870</v>
      </c>
      <c r="AW52" s="17" t="s">
        <v>870</v>
      </c>
      <c r="AX52" s="17" t="s">
        <v>870</v>
      </c>
      <c r="AY52" s="17" t="s">
        <v>870</v>
      </c>
      <c r="AZ52" s="17" t="s">
        <v>870</v>
      </c>
      <c r="BA52" s="17" t="s">
        <v>870</v>
      </c>
      <c r="BB52" s="17" t="s">
        <v>870</v>
      </c>
      <c r="BC52" s="17" t="s">
        <v>870</v>
      </c>
      <c r="BD52" s="17" t="s">
        <v>870</v>
      </c>
      <c r="BE52" s="17" t="s">
        <v>870</v>
      </c>
      <c r="BF52" s="17" t="s">
        <v>870</v>
      </c>
      <c r="BG52" s="17" t="s">
        <v>870</v>
      </c>
      <c r="BH52" s="17" t="s">
        <v>870</v>
      </c>
      <c r="BI52" s="63"/>
      <c r="BJ52" s="63"/>
      <c r="BK52" s="63"/>
      <c r="BL52" s="63"/>
      <c r="BM52" s="62"/>
      <c r="BN52" s="63"/>
      <c r="BO52" s="63"/>
      <c r="BP52" s="17" t="s">
        <v>870</v>
      </c>
      <c r="BQ52" s="17" t="s">
        <v>870</v>
      </c>
      <c r="BR52" s="17" t="s">
        <v>870</v>
      </c>
      <c r="BS52" s="17" t="s">
        <v>870</v>
      </c>
      <c r="BT52" s="63"/>
      <c r="BU52" s="17" t="s">
        <v>870</v>
      </c>
      <c r="BV52" s="61" t="s">
        <v>2</v>
      </c>
      <c r="BW52" s="62"/>
      <c r="BX52" s="17" t="s">
        <v>870</v>
      </c>
      <c r="BY52" s="17" t="s">
        <v>870</v>
      </c>
      <c r="BZ52" s="17" t="s">
        <v>870</v>
      </c>
      <c r="CA52" s="17" t="s">
        <v>870</v>
      </c>
      <c r="CB52" s="17" t="s">
        <v>870</v>
      </c>
      <c r="CC52" s="17" t="s">
        <v>870</v>
      </c>
      <c r="CD52" s="17" t="s">
        <v>870</v>
      </c>
      <c r="CE52" s="17" t="s">
        <v>870</v>
      </c>
      <c r="CF52" s="17" t="s">
        <v>870</v>
      </c>
      <c r="CG52" s="17" t="s">
        <v>870</v>
      </c>
      <c r="CH52" s="17" t="s">
        <v>870</v>
      </c>
      <c r="CI52" s="17" t="s">
        <v>870</v>
      </c>
      <c r="CJ52" s="17" t="s">
        <v>870</v>
      </c>
      <c r="CK52" s="17" t="s">
        <v>870</v>
      </c>
      <c r="CL52" s="17" t="s">
        <v>870</v>
      </c>
      <c r="CM52" s="17" t="s">
        <v>870</v>
      </c>
      <c r="CN52" s="17" t="s">
        <v>870</v>
      </c>
      <c r="CO52" s="17" t="s">
        <v>870</v>
      </c>
      <c r="CP52" s="17" t="s">
        <v>870</v>
      </c>
      <c r="CQ52" s="17" t="s">
        <v>870</v>
      </c>
      <c r="CR52" s="17" t="s">
        <v>870</v>
      </c>
      <c r="CS52" s="17" t="s">
        <v>870</v>
      </c>
      <c r="CT52" s="17" t="s">
        <v>870</v>
      </c>
      <c r="CU52" s="17" t="s">
        <v>870</v>
      </c>
      <c r="CV52" s="17" t="s">
        <v>870</v>
      </c>
      <c r="CW52" s="17" t="s">
        <v>870</v>
      </c>
      <c r="CX52" s="17" t="s">
        <v>870</v>
      </c>
      <c r="CY52" s="17" t="s">
        <v>870</v>
      </c>
      <c r="CZ52" s="17" t="s">
        <v>870</v>
      </c>
      <c r="DA52" s="17" t="s">
        <v>870</v>
      </c>
      <c r="DB52" s="17" t="s">
        <v>870</v>
      </c>
      <c r="DC52" s="17" t="s">
        <v>870</v>
      </c>
      <c r="DD52" s="17" t="s">
        <v>870</v>
      </c>
      <c r="DE52" s="17" t="s">
        <v>870</v>
      </c>
      <c r="DF52" s="17" t="s">
        <v>870</v>
      </c>
      <c r="DG52" s="17" t="s">
        <v>870</v>
      </c>
      <c r="DH52" s="17" t="s">
        <v>870</v>
      </c>
      <c r="DI52" s="17" t="s">
        <v>870</v>
      </c>
      <c r="DJ52" s="17" t="s">
        <v>870</v>
      </c>
      <c r="DK52" s="17" t="s">
        <v>870</v>
      </c>
      <c r="DL52" s="17" t="s">
        <v>870</v>
      </c>
      <c r="DM52" s="17" t="s">
        <v>870</v>
      </c>
      <c r="DN52" s="17" t="s">
        <v>870</v>
      </c>
      <c r="DO52" s="17" t="s">
        <v>870</v>
      </c>
      <c r="DP52" s="17" t="s">
        <v>870</v>
      </c>
      <c r="DQ52" s="17" t="s">
        <v>870</v>
      </c>
      <c r="DR52" s="17" t="s">
        <v>870</v>
      </c>
      <c r="DS52" s="17" t="s">
        <v>870</v>
      </c>
      <c r="DT52" s="17" t="s">
        <v>870</v>
      </c>
      <c r="DU52" s="17" t="s">
        <v>870</v>
      </c>
      <c r="DV52" s="17" t="s">
        <v>870</v>
      </c>
      <c r="DW52" s="17" t="s">
        <v>870</v>
      </c>
      <c r="DX52" s="17" t="s">
        <v>870</v>
      </c>
      <c r="DY52" s="17" t="s">
        <v>870</v>
      </c>
      <c r="DZ52" s="17" t="s">
        <v>870</v>
      </c>
      <c r="EA52" s="17" t="s">
        <v>870</v>
      </c>
      <c r="EB52" s="17" t="s">
        <v>870</v>
      </c>
      <c r="EC52" s="17" t="s">
        <v>870</v>
      </c>
      <c r="ED52" s="17" t="s">
        <v>870</v>
      </c>
      <c r="EE52" s="17" t="s">
        <v>870</v>
      </c>
      <c r="EF52" s="17" t="s">
        <v>870</v>
      </c>
      <c r="EG52" s="17" t="s">
        <v>870</v>
      </c>
      <c r="EH52" s="17" t="s">
        <v>870</v>
      </c>
      <c r="EI52" s="17" t="s">
        <v>870</v>
      </c>
      <c r="EJ52" s="17" t="s">
        <v>870</v>
      </c>
      <c r="EK52" s="17" t="s">
        <v>870</v>
      </c>
      <c r="EL52" s="17" t="s">
        <v>870</v>
      </c>
      <c r="EM52" s="17" t="s">
        <v>870</v>
      </c>
      <c r="EN52" s="17" t="s">
        <v>870</v>
      </c>
      <c r="EO52" s="17" t="s">
        <v>870</v>
      </c>
      <c r="EP52" s="17" t="s">
        <v>870</v>
      </c>
      <c r="EQ52" s="17" t="s">
        <v>870</v>
      </c>
      <c r="ER52" s="17" t="s">
        <v>870</v>
      </c>
      <c r="ES52" s="17" t="s">
        <v>870</v>
      </c>
      <c r="ET52" s="17" t="s">
        <v>870</v>
      </c>
      <c r="EU52" s="17" t="s">
        <v>870</v>
      </c>
      <c r="EV52" s="17" t="s">
        <v>870</v>
      </c>
      <c r="EW52" s="17" t="s">
        <v>870</v>
      </c>
      <c r="EX52" s="17" t="s">
        <v>870</v>
      </c>
      <c r="EY52" s="17" t="s">
        <v>870</v>
      </c>
      <c r="EZ52" s="17" t="s">
        <v>870</v>
      </c>
      <c r="FA52" s="17" t="s">
        <v>870</v>
      </c>
      <c r="FB52" s="17" t="s">
        <v>870</v>
      </c>
      <c r="FC52" s="17" t="s">
        <v>870</v>
      </c>
      <c r="FD52" s="17" t="s">
        <v>870</v>
      </c>
      <c r="FE52" s="17" t="s">
        <v>870</v>
      </c>
      <c r="FF52" s="17" t="s">
        <v>870</v>
      </c>
      <c r="FG52" s="17" t="s">
        <v>870</v>
      </c>
      <c r="FH52" s="17" t="s">
        <v>870</v>
      </c>
      <c r="FI52" s="17" t="s">
        <v>870</v>
      </c>
      <c r="FJ52" s="17" t="s">
        <v>870</v>
      </c>
      <c r="FK52" s="17" t="s">
        <v>870</v>
      </c>
      <c r="FL52" s="17" t="s">
        <v>870</v>
      </c>
      <c r="FM52" s="17" t="s">
        <v>870</v>
      </c>
      <c r="FN52" s="17" t="s">
        <v>870</v>
      </c>
      <c r="FO52" s="17" t="s">
        <v>870</v>
      </c>
      <c r="FP52" s="17" t="s">
        <v>870</v>
      </c>
      <c r="FQ52" s="17" t="s">
        <v>870</v>
      </c>
      <c r="FR52" s="17" t="s">
        <v>870</v>
      </c>
      <c r="FS52" s="17" t="s">
        <v>870</v>
      </c>
      <c r="FT52" s="17" t="s">
        <v>870</v>
      </c>
      <c r="FU52" s="17" t="s">
        <v>870</v>
      </c>
      <c r="FV52" s="17" t="s">
        <v>870</v>
      </c>
      <c r="FW52" s="17" t="s">
        <v>870</v>
      </c>
      <c r="FX52" s="17" t="s">
        <v>870</v>
      </c>
      <c r="FY52" s="17" t="s">
        <v>870</v>
      </c>
      <c r="FZ52" s="17" t="s">
        <v>870</v>
      </c>
      <c r="GA52" s="17" t="s">
        <v>870</v>
      </c>
      <c r="GB52" s="17" t="s">
        <v>870</v>
      </c>
      <c r="GC52" s="17" t="s">
        <v>870</v>
      </c>
      <c r="GD52" s="17" t="s">
        <v>870</v>
      </c>
      <c r="GE52" s="17" t="s">
        <v>870</v>
      </c>
      <c r="GF52" s="17" t="s">
        <v>870</v>
      </c>
      <c r="GG52" s="17" t="s">
        <v>870</v>
      </c>
      <c r="GH52" s="17" t="s">
        <v>870</v>
      </c>
      <c r="GI52" s="17" t="s">
        <v>870</v>
      </c>
      <c r="GJ52" s="17" t="s">
        <v>870</v>
      </c>
      <c r="GK52" s="17" t="s">
        <v>870</v>
      </c>
      <c r="GL52" s="17" t="s">
        <v>870</v>
      </c>
      <c r="GM52" s="17" t="s">
        <v>870</v>
      </c>
      <c r="GN52" s="17" t="s">
        <v>870</v>
      </c>
      <c r="GO52" s="17" t="s">
        <v>870</v>
      </c>
      <c r="GP52" s="17" t="s">
        <v>870</v>
      </c>
      <c r="GQ52" s="17" t="s">
        <v>870</v>
      </c>
      <c r="GR52" s="17" t="s">
        <v>870</v>
      </c>
      <c r="GS52" s="17" t="s">
        <v>870</v>
      </c>
      <c r="GT52" s="17" t="s">
        <v>870</v>
      </c>
      <c r="GU52" s="17" t="s">
        <v>870</v>
      </c>
      <c r="GV52" s="17" t="s">
        <v>870</v>
      </c>
      <c r="GW52" s="17" t="s">
        <v>870</v>
      </c>
      <c r="GX52" s="17" t="s">
        <v>870</v>
      </c>
      <c r="GY52" s="17" t="s">
        <v>870</v>
      </c>
      <c r="GZ52" s="17" t="s">
        <v>870</v>
      </c>
      <c r="HA52" s="17" t="s">
        <v>870</v>
      </c>
      <c r="HB52" s="17" t="s">
        <v>870</v>
      </c>
      <c r="HC52" s="17" t="s">
        <v>870</v>
      </c>
      <c r="HD52" s="17" t="s">
        <v>870</v>
      </c>
      <c r="HE52" s="17" t="s">
        <v>870</v>
      </c>
      <c r="HF52" s="17" t="s">
        <v>870</v>
      </c>
      <c r="HG52" s="17" t="s">
        <v>870</v>
      </c>
      <c r="HH52" s="17" t="s">
        <v>870</v>
      </c>
      <c r="HI52" s="17" t="s">
        <v>870</v>
      </c>
      <c r="HJ52" s="17" t="s">
        <v>870</v>
      </c>
      <c r="HK52" s="17" t="s">
        <v>870</v>
      </c>
      <c r="HL52" s="17" t="s">
        <v>870</v>
      </c>
      <c r="HM52" s="17" t="s">
        <v>870</v>
      </c>
      <c r="HN52" s="17" t="s">
        <v>870</v>
      </c>
      <c r="HO52" s="17" t="s">
        <v>870</v>
      </c>
      <c r="HP52" s="17" t="s">
        <v>870</v>
      </c>
      <c r="HQ52" s="17" t="s">
        <v>870</v>
      </c>
      <c r="HR52" s="17" t="s">
        <v>870</v>
      </c>
      <c r="HS52" s="17" t="s">
        <v>870</v>
      </c>
      <c r="HT52" s="17" t="s">
        <v>870</v>
      </c>
      <c r="HU52" s="17" t="s">
        <v>870</v>
      </c>
      <c r="HV52" s="17" t="s">
        <v>870</v>
      </c>
      <c r="HW52" s="17" t="s">
        <v>870</v>
      </c>
      <c r="HX52" s="17" t="s">
        <v>870</v>
      </c>
      <c r="HY52" s="17" t="s">
        <v>870</v>
      </c>
      <c r="HZ52" s="17" t="s">
        <v>870</v>
      </c>
      <c r="IA52" s="17" t="s">
        <v>870</v>
      </c>
      <c r="IB52" s="17" t="s">
        <v>870</v>
      </c>
      <c r="IC52" s="17" t="s">
        <v>870</v>
      </c>
      <c r="ID52" s="72" t="s">
        <v>1552</v>
      </c>
      <c r="IE52" s="17" t="s">
        <v>870</v>
      </c>
      <c r="IF52" s="17" t="s">
        <v>870</v>
      </c>
      <c r="IG52" s="17" t="s">
        <v>870</v>
      </c>
      <c r="IH52" s="17" t="s">
        <v>870</v>
      </c>
      <c r="II52" s="17" t="s">
        <v>870</v>
      </c>
      <c r="IJ52" s="17" t="s">
        <v>870</v>
      </c>
      <c r="IK52" s="17" t="s">
        <v>870</v>
      </c>
      <c r="IL52" s="17" t="s">
        <v>870</v>
      </c>
      <c r="IM52" s="17" t="s">
        <v>870</v>
      </c>
      <c r="IN52" s="17" t="s">
        <v>870</v>
      </c>
      <c r="IO52" s="17" t="s">
        <v>870</v>
      </c>
    </row>
    <row r="53" spans="1:249" x14ac:dyDescent="0.25">
      <c r="A53" t="s">
        <v>435</v>
      </c>
      <c r="B53" s="17" t="s">
        <v>870</v>
      </c>
      <c r="C53" s="17" t="s">
        <v>870</v>
      </c>
      <c r="D53" s="17" t="s">
        <v>870</v>
      </c>
      <c r="E53" s="17" t="s">
        <v>870</v>
      </c>
      <c r="F53" s="17" t="s">
        <v>870</v>
      </c>
      <c r="G53" s="17" t="s">
        <v>870</v>
      </c>
      <c r="H53" s="17" t="s">
        <v>870</v>
      </c>
      <c r="I53" s="17" t="s">
        <v>870</v>
      </c>
      <c r="J53" s="17" t="s">
        <v>870</v>
      </c>
      <c r="K53" s="17" t="s">
        <v>870</v>
      </c>
      <c r="L53" s="17" t="s">
        <v>870</v>
      </c>
      <c r="M53" s="17" t="s">
        <v>870</v>
      </c>
      <c r="N53" s="17" t="s">
        <v>870</v>
      </c>
      <c r="O53" s="17" t="s">
        <v>870</v>
      </c>
      <c r="P53" s="17" t="s">
        <v>870</v>
      </c>
      <c r="Q53" s="17" t="s">
        <v>870</v>
      </c>
      <c r="R53" s="17" t="s">
        <v>870</v>
      </c>
      <c r="S53" s="17" t="s">
        <v>870</v>
      </c>
      <c r="T53" s="17" t="s">
        <v>870</v>
      </c>
      <c r="U53" s="17" t="s">
        <v>870</v>
      </c>
      <c r="V53" s="17" t="s">
        <v>870</v>
      </c>
      <c r="W53" s="17" t="s">
        <v>870</v>
      </c>
      <c r="X53" s="17" t="s">
        <v>870</v>
      </c>
      <c r="Y53" s="17" t="s">
        <v>870</v>
      </c>
      <c r="Z53" s="17" t="s">
        <v>870</v>
      </c>
      <c r="AA53" s="17" t="s">
        <v>870</v>
      </c>
      <c r="AB53" s="17" t="s">
        <v>870</v>
      </c>
      <c r="AC53" s="17" t="s">
        <v>870</v>
      </c>
      <c r="AD53" s="17" t="s">
        <v>870</v>
      </c>
      <c r="AE53" s="17" t="s">
        <v>870</v>
      </c>
      <c r="AF53" s="17" t="s">
        <v>870</v>
      </c>
      <c r="AG53" s="17" t="s">
        <v>870</v>
      </c>
      <c r="AH53" s="17" t="s">
        <v>870</v>
      </c>
      <c r="AI53" s="17" t="s">
        <v>870</v>
      </c>
      <c r="AJ53" s="17" t="s">
        <v>870</v>
      </c>
      <c r="AK53" s="17" t="s">
        <v>870</v>
      </c>
      <c r="AL53" s="17" t="s">
        <v>870</v>
      </c>
      <c r="AM53" s="17" t="s">
        <v>870</v>
      </c>
      <c r="AN53" s="17" t="s">
        <v>870</v>
      </c>
      <c r="AO53" s="17" t="s">
        <v>870</v>
      </c>
      <c r="AP53" s="17" t="s">
        <v>870</v>
      </c>
      <c r="AQ53" s="17" t="s">
        <v>870</v>
      </c>
      <c r="AR53" s="17" t="s">
        <v>870</v>
      </c>
      <c r="AS53" s="17" t="s">
        <v>870</v>
      </c>
      <c r="AT53" s="17" t="s">
        <v>870</v>
      </c>
      <c r="AU53" s="17" t="s">
        <v>870</v>
      </c>
      <c r="AV53" s="17" t="s">
        <v>870</v>
      </c>
      <c r="AW53" s="17" t="s">
        <v>870</v>
      </c>
      <c r="AX53" s="17" t="s">
        <v>870</v>
      </c>
      <c r="AY53" s="17" t="s">
        <v>870</v>
      </c>
      <c r="AZ53" s="17" t="s">
        <v>870</v>
      </c>
      <c r="BA53" s="17" t="s">
        <v>870</v>
      </c>
      <c r="BB53" s="17" t="s">
        <v>870</v>
      </c>
      <c r="BC53" s="17" t="s">
        <v>870</v>
      </c>
      <c r="BD53" s="17" t="s">
        <v>870</v>
      </c>
      <c r="BE53" s="17" t="s">
        <v>870</v>
      </c>
      <c r="BF53" s="17" t="s">
        <v>870</v>
      </c>
      <c r="BG53" s="17" t="s">
        <v>870</v>
      </c>
      <c r="BH53" s="17" t="s">
        <v>870</v>
      </c>
      <c r="BI53" s="17" t="s">
        <v>870</v>
      </c>
      <c r="BJ53" s="17" t="s">
        <v>870</v>
      </c>
      <c r="BK53" s="17" t="s">
        <v>870</v>
      </c>
      <c r="BL53" s="17" t="s">
        <v>870</v>
      </c>
      <c r="BM53" s="17" t="s">
        <v>870</v>
      </c>
      <c r="BN53" s="17" t="s">
        <v>870</v>
      </c>
      <c r="BO53" s="17" t="s">
        <v>870</v>
      </c>
      <c r="BP53" s="17" t="s">
        <v>870</v>
      </c>
      <c r="BQ53" s="17" t="s">
        <v>870</v>
      </c>
      <c r="BR53" s="17" t="s">
        <v>870</v>
      </c>
      <c r="BS53" s="17" t="s">
        <v>870</v>
      </c>
      <c r="BT53" s="17" t="s">
        <v>870</v>
      </c>
      <c r="BU53" s="17" t="s">
        <v>870</v>
      </c>
      <c r="BV53" s="17" t="s">
        <v>870</v>
      </c>
      <c r="BW53" s="17" t="s">
        <v>870</v>
      </c>
      <c r="BX53" s="17" t="s">
        <v>870</v>
      </c>
      <c r="BY53" s="17" t="s">
        <v>870</v>
      </c>
      <c r="BZ53" s="17" t="s">
        <v>870</v>
      </c>
      <c r="CA53" s="17" t="s">
        <v>870</v>
      </c>
      <c r="CB53" s="17" t="s">
        <v>870</v>
      </c>
      <c r="CC53" s="17" t="s">
        <v>870</v>
      </c>
      <c r="CD53" s="17" t="s">
        <v>870</v>
      </c>
      <c r="CE53" s="17" t="s">
        <v>870</v>
      </c>
      <c r="CF53" s="17" t="s">
        <v>870</v>
      </c>
      <c r="CG53" s="17" t="s">
        <v>870</v>
      </c>
      <c r="CH53" s="17" t="s">
        <v>870</v>
      </c>
      <c r="CI53" s="17" t="s">
        <v>870</v>
      </c>
      <c r="CJ53" s="17" t="s">
        <v>870</v>
      </c>
      <c r="CK53" s="17" t="s">
        <v>870</v>
      </c>
      <c r="CL53" s="17" t="s">
        <v>870</v>
      </c>
      <c r="CM53" s="17" t="s">
        <v>870</v>
      </c>
      <c r="CN53" s="17" t="s">
        <v>870</v>
      </c>
      <c r="CO53" s="17" t="s">
        <v>870</v>
      </c>
      <c r="CP53" s="17" t="s">
        <v>870</v>
      </c>
      <c r="CQ53" s="17" t="s">
        <v>870</v>
      </c>
      <c r="CR53" s="17" t="s">
        <v>870</v>
      </c>
      <c r="CS53" s="17" t="s">
        <v>870</v>
      </c>
      <c r="CT53" s="17" t="s">
        <v>870</v>
      </c>
      <c r="CU53" s="17" t="s">
        <v>870</v>
      </c>
      <c r="CV53" s="17" t="s">
        <v>870</v>
      </c>
      <c r="CW53" s="17" t="s">
        <v>870</v>
      </c>
      <c r="CX53" s="17" t="s">
        <v>870</v>
      </c>
      <c r="CY53" s="17" t="s">
        <v>870</v>
      </c>
      <c r="CZ53" s="17" t="s">
        <v>870</v>
      </c>
      <c r="DA53" s="17" t="s">
        <v>870</v>
      </c>
      <c r="DB53" s="17" t="s">
        <v>870</v>
      </c>
      <c r="DC53" s="17" t="s">
        <v>870</v>
      </c>
      <c r="DD53" s="17" t="s">
        <v>870</v>
      </c>
      <c r="DE53" s="17" t="s">
        <v>870</v>
      </c>
      <c r="DF53" s="17" t="s">
        <v>870</v>
      </c>
      <c r="DG53" s="17" t="s">
        <v>870</v>
      </c>
      <c r="DH53" s="17" t="s">
        <v>870</v>
      </c>
      <c r="DI53" s="17" t="s">
        <v>870</v>
      </c>
      <c r="DJ53" s="17" t="s">
        <v>870</v>
      </c>
      <c r="DK53" s="17" t="s">
        <v>870</v>
      </c>
      <c r="DL53" s="17" t="s">
        <v>870</v>
      </c>
      <c r="DM53" s="17" t="s">
        <v>870</v>
      </c>
      <c r="DN53" s="17" t="s">
        <v>870</v>
      </c>
      <c r="DO53" s="17" t="s">
        <v>870</v>
      </c>
      <c r="DP53" s="17" t="s">
        <v>870</v>
      </c>
      <c r="DQ53" s="17" t="s">
        <v>870</v>
      </c>
      <c r="DR53" s="17" t="s">
        <v>870</v>
      </c>
      <c r="DS53" s="17" t="s">
        <v>870</v>
      </c>
      <c r="DT53" s="17" t="s">
        <v>870</v>
      </c>
      <c r="DU53" s="17" t="s">
        <v>870</v>
      </c>
      <c r="DV53" s="17" t="s">
        <v>870</v>
      </c>
      <c r="DW53" s="17" t="s">
        <v>870</v>
      </c>
      <c r="DX53" s="17" t="s">
        <v>870</v>
      </c>
      <c r="DY53" s="17" t="s">
        <v>870</v>
      </c>
      <c r="DZ53" s="17" t="s">
        <v>870</v>
      </c>
      <c r="EA53" s="17" t="s">
        <v>870</v>
      </c>
      <c r="EB53" s="17" t="s">
        <v>870</v>
      </c>
      <c r="EC53" s="17" t="s">
        <v>870</v>
      </c>
      <c r="ED53" s="17" t="s">
        <v>870</v>
      </c>
      <c r="EE53" s="17" t="s">
        <v>870</v>
      </c>
      <c r="EF53" s="17" t="s">
        <v>870</v>
      </c>
      <c r="EG53" s="17" t="s">
        <v>870</v>
      </c>
      <c r="EH53" s="17" t="s">
        <v>870</v>
      </c>
      <c r="EI53" s="17" t="s">
        <v>870</v>
      </c>
      <c r="EJ53" s="17" t="s">
        <v>870</v>
      </c>
      <c r="EK53" s="17" t="s">
        <v>870</v>
      </c>
      <c r="EL53" s="17" t="s">
        <v>870</v>
      </c>
      <c r="EM53" s="17" t="s">
        <v>870</v>
      </c>
      <c r="EN53" s="17" t="s">
        <v>870</v>
      </c>
      <c r="EO53" s="17" t="s">
        <v>870</v>
      </c>
      <c r="EP53" s="17" t="s">
        <v>870</v>
      </c>
      <c r="EQ53" s="17" t="s">
        <v>870</v>
      </c>
      <c r="ER53" s="17" t="s">
        <v>870</v>
      </c>
      <c r="ES53" s="17" t="s">
        <v>870</v>
      </c>
      <c r="ET53" s="17" t="s">
        <v>870</v>
      </c>
      <c r="EU53" s="17" t="s">
        <v>870</v>
      </c>
      <c r="EV53" s="17" t="s">
        <v>870</v>
      </c>
      <c r="EW53" s="17" t="s">
        <v>870</v>
      </c>
      <c r="EX53" s="17" t="s">
        <v>870</v>
      </c>
      <c r="EY53" s="17" t="s">
        <v>870</v>
      </c>
      <c r="EZ53" s="17" t="s">
        <v>870</v>
      </c>
      <c r="FA53" s="17" t="s">
        <v>870</v>
      </c>
      <c r="FB53" s="17" t="s">
        <v>870</v>
      </c>
      <c r="FC53" s="17" t="s">
        <v>870</v>
      </c>
      <c r="FD53" s="17" t="s">
        <v>870</v>
      </c>
      <c r="FE53" s="17" t="s">
        <v>870</v>
      </c>
      <c r="FF53" s="17" t="s">
        <v>870</v>
      </c>
      <c r="FG53" s="17" t="s">
        <v>870</v>
      </c>
      <c r="FH53" s="17" t="s">
        <v>870</v>
      </c>
      <c r="FI53" s="63"/>
      <c r="FJ53" s="63"/>
      <c r="FK53" s="63"/>
      <c r="FL53" s="63"/>
      <c r="FM53" s="63"/>
      <c r="FN53" s="63"/>
      <c r="FO53" s="63"/>
      <c r="FP53" s="63"/>
      <c r="FQ53" s="63"/>
      <c r="FR53" s="63"/>
      <c r="FS53" s="62"/>
      <c r="FT53" s="63"/>
      <c r="FU53" s="63"/>
      <c r="FV53" s="17" t="s">
        <v>870</v>
      </c>
      <c r="FW53" s="17" t="s">
        <v>870</v>
      </c>
      <c r="FX53" s="63"/>
      <c r="FY53" s="63"/>
      <c r="FZ53" s="63"/>
      <c r="GA53" s="63"/>
      <c r="GB53" s="63"/>
      <c r="GC53" s="63"/>
      <c r="GD53" s="63"/>
      <c r="GE53" s="63"/>
      <c r="GF53" s="63"/>
      <c r="GG53" s="63"/>
      <c r="GH53" s="63"/>
      <c r="GI53" s="63"/>
      <c r="GJ53" s="63"/>
      <c r="GK53" s="63"/>
      <c r="GL53" s="63"/>
      <c r="GM53" s="63"/>
      <c r="GN53" s="63"/>
      <c r="GO53" s="63"/>
      <c r="GP53" s="63"/>
      <c r="GQ53" s="63"/>
      <c r="GR53" s="63"/>
      <c r="GS53" s="63"/>
      <c r="GT53" s="63"/>
      <c r="GU53" s="63"/>
      <c r="GV53" s="63"/>
      <c r="GW53" s="17" t="s">
        <v>870</v>
      </c>
      <c r="GX53" s="63"/>
      <c r="GY53" s="63"/>
      <c r="GZ53" s="63"/>
      <c r="HA53" s="63"/>
      <c r="HB53" s="63"/>
      <c r="HC53" s="63"/>
      <c r="HD53" s="63"/>
      <c r="HE53" s="63"/>
      <c r="HF53" s="17" t="s">
        <v>870</v>
      </c>
      <c r="HG53" s="17" t="s">
        <v>870</v>
      </c>
      <c r="HH53" s="63"/>
      <c r="HI53" s="63"/>
      <c r="HJ53" s="17" t="s">
        <v>870</v>
      </c>
      <c r="HK53" s="17" t="s">
        <v>870</v>
      </c>
      <c r="HL53" s="63"/>
      <c r="HM53" s="63"/>
      <c r="HN53" s="17" t="s">
        <v>870</v>
      </c>
      <c r="HO53" s="17" t="s">
        <v>870</v>
      </c>
      <c r="HP53" s="17" t="s">
        <v>870</v>
      </c>
      <c r="HQ53" s="17" t="s">
        <v>870</v>
      </c>
      <c r="HR53" s="17" t="s">
        <v>870</v>
      </c>
      <c r="HS53" s="17" t="s">
        <v>870</v>
      </c>
      <c r="HT53" s="17" t="s">
        <v>870</v>
      </c>
      <c r="HU53" s="17" t="s">
        <v>870</v>
      </c>
      <c r="HV53" s="17" t="s">
        <v>870</v>
      </c>
      <c r="HW53" s="17" t="s">
        <v>870</v>
      </c>
      <c r="HX53" s="62"/>
      <c r="HY53" s="63"/>
      <c r="HZ53" s="63"/>
      <c r="IA53" s="63"/>
      <c r="IB53" s="63"/>
      <c r="IC53" s="63"/>
      <c r="ID53" s="72" t="s">
        <v>1552</v>
      </c>
      <c r="IE53" s="63"/>
      <c r="IF53" s="63"/>
      <c r="IG53" s="17" t="s">
        <v>870</v>
      </c>
      <c r="IH53" s="63"/>
      <c r="II53" s="63"/>
      <c r="IJ53" s="17" t="s">
        <v>870</v>
      </c>
      <c r="IK53" s="17" t="s">
        <v>870</v>
      </c>
      <c r="IL53" s="17" t="s">
        <v>870</v>
      </c>
      <c r="IM53" s="17" t="s">
        <v>870</v>
      </c>
      <c r="IN53" s="17" t="s">
        <v>870</v>
      </c>
      <c r="IO53" s="17" t="s">
        <v>870</v>
      </c>
    </row>
    <row r="54" spans="1:249" x14ac:dyDescent="0.25">
      <c r="A54" t="s">
        <v>294</v>
      </c>
      <c r="B54" s="17" t="s">
        <v>870</v>
      </c>
      <c r="C54" s="17" t="s">
        <v>870</v>
      </c>
      <c r="D54" s="17" t="s">
        <v>870</v>
      </c>
      <c r="E54" s="17" t="s">
        <v>870</v>
      </c>
      <c r="F54" s="17" t="s">
        <v>870</v>
      </c>
      <c r="G54" s="17" t="s">
        <v>870</v>
      </c>
      <c r="H54" s="17" t="s">
        <v>870</v>
      </c>
      <c r="I54" s="17" t="s">
        <v>870</v>
      </c>
      <c r="J54" s="17" t="s">
        <v>870</v>
      </c>
      <c r="K54" s="17" t="s">
        <v>870</v>
      </c>
      <c r="L54" s="17" t="s">
        <v>870</v>
      </c>
      <c r="M54" s="17" t="s">
        <v>870</v>
      </c>
      <c r="N54" s="17" t="s">
        <v>870</v>
      </c>
      <c r="O54" s="17" t="s">
        <v>870</v>
      </c>
      <c r="P54" s="17" t="s">
        <v>870</v>
      </c>
      <c r="Q54" s="17" t="s">
        <v>870</v>
      </c>
      <c r="R54" s="17" t="s">
        <v>870</v>
      </c>
      <c r="S54" s="17" t="s">
        <v>870</v>
      </c>
      <c r="T54" s="17" t="s">
        <v>870</v>
      </c>
      <c r="U54" s="17" t="s">
        <v>870</v>
      </c>
      <c r="V54" s="17" t="s">
        <v>870</v>
      </c>
      <c r="W54" s="17" t="s">
        <v>870</v>
      </c>
      <c r="X54" s="17" t="s">
        <v>870</v>
      </c>
      <c r="Y54" s="17" t="s">
        <v>870</v>
      </c>
      <c r="Z54" s="17" t="s">
        <v>870</v>
      </c>
      <c r="AA54" s="17" t="s">
        <v>870</v>
      </c>
      <c r="AB54" s="17" t="s">
        <v>870</v>
      </c>
      <c r="AC54" s="17" t="s">
        <v>870</v>
      </c>
      <c r="AD54" s="17" t="s">
        <v>870</v>
      </c>
      <c r="AE54" s="17" t="s">
        <v>870</v>
      </c>
      <c r="AF54" s="17" t="s">
        <v>870</v>
      </c>
      <c r="AG54" s="17" t="s">
        <v>870</v>
      </c>
      <c r="AH54" s="17" t="s">
        <v>870</v>
      </c>
      <c r="AI54" s="17" t="s">
        <v>870</v>
      </c>
      <c r="AJ54" s="17" t="s">
        <v>870</v>
      </c>
      <c r="AK54" s="17" t="s">
        <v>870</v>
      </c>
      <c r="AL54" s="17" t="s">
        <v>870</v>
      </c>
      <c r="AM54" s="17" t="s">
        <v>870</v>
      </c>
      <c r="AN54" s="17" t="s">
        <v>870</v>
      </c>
      <c r="AO54" s="17" t="s">
        <v>870</v>
      </c>
      <c r="AP54" s="17" t="s">
        <v>870</v>
      </c>
      <c r="AQ54" s="17" t="s">
        <v>870</v>
      </c>
      <c r="AR54" s="17" t="s">
        <v>870</v>
      </c>
      <c r="AS54" s="17" t="s">
        <v>870</v>
      </c>
      <c r="AT54" s="17" t="s">
        <v>870</v>
      </c>
      <c r="AU54" s="17" t="s">
        <v>870</v>
      </c>
      <c r="AV54" s="17" t="s">
        <v>870</v>
      </c>
      <c r="AW54" s="17" t="s">
        <v>870</v>
      </c>
      <c r="AX54" s="17" t="s">
        <v>870</v>
      </c>
      <c r="AY54" s="17" t="s">
        <v>870</v>
      </c>
      <c r="AZ54" s="17" t="s">
        <v>870</v>
      </c>
      <c r="BA54" s="17" t="s">
        <v>870</v>
      </c>
      <c r="BB54" s="17" t="s">
        <v>870</v>
      </c>
      <c r="BC54" s="17" t="s">
        <v>870</v>
      </c>
      <c r="BD54" s="17" t="s">
        <v>870</v>
      </c>
      <c r="BE54" s="17" t="s">
        <v>870</v>
      </c>
      <c r="BF54" s="17" t="s">
        <v>870</v>
      </c>
      <c r="BG54" s="17" t="s">
        <v>870</v>
      </c>
      <c r="BH54" s="17" t="s">
        <v>870</v>
      </c>
      <c r="BI54" s="17" t="s">
        <v>870</v>
      </c>
      <c r="BJ54" s="17" t="s">
        <v>870</v>
      </c>
      <c r="BK54" s="17" t="s">
        <v>870</v>
      </c>
      <c r="BL54" s="17" t="s">
        <v>870</v>
      </c>
      <c r="BM54" s="17" t="s">
        <v>870</v>
      </c>
      <c r="BN54" s="17" t="s">
        <v>870</v>
      </c>
      <c r="BO54" s="17" t="s">
        <v>870</v>
      </c>
      <c r="BP54" s="17" t="s">
        <v>870</v>
      </c>
      <c r="BQ54" s="17" t="s">
        <v>870</v>
      </c>
      <c r="BR54" s="17" t="s">
        <v>870</v>
      </c>
      <c r="BS54" s="17" t="s">
        <v>870</v>
      </c>
      <c r="BT54" s="17" t="s">
        <v>870</v>
      </c>
      <c r="BU54" s="17" t="s">
        <v>870</v>
      </c>
      <c r="BV54" s="17" t="s">
        <v>870</v>
      </c>
      <c r="BW54" s="17" t="s">
        <v>870</v>
      </c>
      <c r="BX54" s="17" t="s">
        <v>870</v>
      </c>
      <c r="BY54" s="17" t="s">
        <v>870</v>
      </c>
      <c r="BZ54" s="17" t="s">
        <v>870</v>
      </c>
      <c r="CA54" s="17" t="s">
        <v>870</v>
      </c>
      <c r="CB54" s="17" t="s">
        <v>870</v>
      </c>
      <c r="CC54" s="17" t="s">
        <v>870</v>
      </c>
      <c r="CD54" s="17" t="s">
        <v>870</v>
      </c>
      <c r="CE54" s="17" t="s">
        <v>870</v>
      </c>
      <c r="CF54" s="17" t="s">
        <v>870</v>
      </c>
      <c r="CG54" s="17" t="s">
        <v>870</v>
      </c>
      <c r="CH54" s="17" t="s">
        <v>870</v>
      </c>
      <c r="CI54" s="17" t="s">
        <v>870</v>
      </c>
      <c r="CJ54" s="17" t="s">
        <v>870</v>
      </c>
      <c r="CK54" s="17" t="s">
        <v>870</v>
      </c>
      <c r="CL54" s="17" t="s">
        <v>870</v>
      </c>
      <c r="CM54" s="17" t="s">
        <v>870</v>
      </c>
      <c r="CN54" s="17" t="s">
        <v>870</v>
      </c>
      <c r="CO54" s="17" t="s">
        <v>870</v>
      </c>
      <c r="CP54" s="17" t="s">
        <v>870</v>
      </c>
      <c r="CQ54" s="17" t="s">
        <v>870</v>
      </c>
      <c r="CR54" s="17" t="s">
        <v>870</v>
      </c>
      <c r="CS54" s="17" t="s">
        <v>870</v>
      </c>
      <c r="CT54" s="17" t="s">
        <v>870</v>
      </c>
      <c r="CU54" s="17" t="s">
        <v>870</v>
      </c>
      <c r="CV54" s="17" t="s">
        <v>870</v>
      </c>
      <c r="CW54" s="17" t="s">
        <v>870</v>
      </c>
      <c r="CX54" s="17" t="s">
        <v>870</v>
      </c>
      <c r="CY54" s="17" t="s">
        <v>870</v>
      </c>
      <c r="CZ54" s="17" t="s">
        <v>870</v>
      </c>
      <c r="DA54" s="17" t="s">
        <v>870</v>
      </c>
      <c r="DB54" s="17" t="s">
        <v>870</v>
      </c>
      <c r="DC54" s="17" t="s">
        <v>870</v>
      </c>
      <c r="DD54" s="17" t="s">
        <v>870</v>
      </c>
      <c r="DE54" s="17" t="s">
        <v>870</v>
      </c>
      <c r="DF54" s="17" t="s">
        <v>870</v>
      </c>
      <c r="DG54" s="17" t="s">
        <v>870</v>
      </c>
      <c r="DH54" s="17" t="s">
        <v>870</v>
      </c>
      <c r="DI54" s="17" t="s">
        <v>870</v>
      </c>
      <c r="DJ54" s="17" t="s">
        <v>870</v>
      </c>
      <c r="DK54" s="17" t="s">
        <v>870</v>
      </c>
      <c r="DL54" s="17" t="s">
        <v>870</v>
      </c>
      <c r="DM54" s="17" t="s">
        <v>870</v>
      </c>
      <c r="DN54" s="17" t="s">
        <v>870</v>
      </c>
      <c r="DO54" s="17" t="s">
        <v>870</v>
      </c>
      <c r="DP54" s="17" t="s">
        <v>870</v>
      </c>
      <c r="DQ54" s="17" t="s">
        <v>870</v>
      </c>
      <c r="DR54" s="63"/>
      <c r="DS54" s="63"/>
      <c r="DT54" s="63"/>
      <c r="DU54" s="63"/>
      <c r="DV54" s="63"/>
      <c r="DW54" s="63"/>
      <c r="DX54" s="63"/>
      <c r="DY54" s="63"/>
      <c r="DZ54" s="17" t="s">
        <v>870</v>
      </c>
      <c r="EA54" s="17" t="s">
        <v>870</v>
      </c>
      <c r="EB54" s="63"/>
      <c r="EC54" s="63"/>
      <c r="ED54" s="63"/>
      <c r="EE54" s="63"/>
      <c r="EF54" s="63"/>
      <c r="EG54" s="63"/>
      <c r="EH54" s="63"/>
      <c r="EI54" s="63"/>
      <c r="EJ54" s="63"/>
      <c r="EK54" s="63"/>
      <c r="EL54" s="63"/>
      <c r="EM54" s="63"/>
      <c r="EN54" s="63"/>
      <c r="EO54" s="63"/>
      <c r="EP54" s="63"/>
      <c r="EQ54" s="63"/>
      <c r="ER54" s="63"/>
      <c r="ES54" s="63"/>
      <c r="ET54" s="63"/>
      <c r="EU54" s="63"/>
      <c r="EV54" s="63"/>
      <c r="EW54" s="63"/>
      <c r="EX54" s="62"/>
      <c r="EY54" s="63"/>
      <c r="EZ54" s="63"/>
      <c r="FA54" s="63"/>
      <c r="FB54" s="63"/>
      <c r="FC54" s="63"/>
      <c r="FD54" s="63"/>
      <c r="FE54" s="63"/>
      <c r="FF54" s="63"/>
      <c r="FG54" s="63"/>
      <c r="FH54" s="17" t="s">
        <v>870</v>
      </c>
      <c r="FI54" s="17" t="s">
        <v>870</v>
      </c>
      <c r="FJ54" s="17" t="s">
        <v>870</v>
      </c>
      <c r="FK54" s="17" t="s">
        <v>870</v>
      </c>
      <c r="FL54" s="17" t="s">
        <v>870</v>
      </c>
      <c r="FM54" s="17" t="s">
        <v>870</v>
      </c>
      <c r="FN54" s="17" t="s">
        <v>870</v>
      </c>
      <c r="FO54" s="17" t="s">
        <v>870</v>
      </c>
      <c r="FP54" s="17" t="s">
        <v>870</v>
      </c>
      <c r="FQ54" s="17" t="s">
        <v>870</v>
      </c>
      <c r="FR54" s="17" t="s">
        <v>870</v>
      </c>
      <c r="FS54" s="17" t="s">
        <v>870</v>
      </c>
      <c r="FT54" s="17" t="s">
        <v>870</v>
      </c>
      <c r="FU54" s="17" t="s">
        <v>870</v>
      </c>
      <c r="FV54" s="17" t="s">
        <v>870</v>
      </c>
      <c r="FW54" s="17" t="s">
        <v>870</v>
      </c>
      <c r="FX54" s="17" t="s">
        <v>870</v>
      </c>
      <c r="FY54" s="17" t="s">
        <v>870</v>
      </c>
      <c r="FZ54" s="17" t="s">
        <v>870</v>
      </c>
      <c r="GA54" s="17" t="s">
        <v>870</v>
      </c>
      <c r="GB54" s="17" t="s">
        <v>870</v>
      </c>
      <c r="GC54" s="17" t="s">
        <v>870</v>
      </c>
      <c r="GD54" s="17" t="s">
        <v>870</v>
      </c>
      <c r="GE54" s="17" t="s">
        <v>870</v>
      </c>
      <c r="GF54" s="17" t="s">
        <v>870</v>
      </c>
      <c r="GG54" s="17" t="s">
        <v>870</v>
      </c>
      <c r="GH54" s="17" t="s">
        <v>870</v>
      </c>
      <c r="GI54" s="17" t="s">
        <v>870</v>
      </c>
      <c r="GJ54" s="17" t="s">
        <v>870</v>
      </c>
      <c r="GK54" s="17" t="s">
        <v>870</v>
      </c>
      <c r="GL54" s="17" t="s">
        <v>870</v>
      </c>
      <c r="GM54" s="17" t="s">
        <v>870</v>
      </c>
      <c r="GN54" s="17" t="s">
        <v>870</v>
      </c>
      <c r="GO54" s="17" t="s">
        <v>870</v>
      </c>
      <c r="GP54" s="17" t="s">
        <v>870</v>
      </c>
      <c r="GQ54" s="17" t="s">
        <v>870</v>
      </c>
      <c r="GR54" s="17" t="s">
        <v>870</v>
      </c>
      <c r="GS54" s="17" t="s">
        <v>870</v>
      </c>
      <c r="GT54" s="17" t="s">
        <v>870</v>
      </c>
      <c r="GU54" s="17" t="s">
        <v>870</v>
      </c>
      <c r="GV54" s="17" t="s">
        <v>870</v>
      </c>
      <c r="GW54" s="17" t="s">
        <v>870</v>
      </c>
      <c r="GX54" s="17" t="s">
        <v>870</v>
      </c>
      <c r="GY54" s="17" t="s">
        <v>870</v>
      </c>
      <c r="GZ54" s="17" t="s">
        <v>870</v>
      </c>
      <c r="HA54" s="17" t="s">
        <v>870</v>
      </c>
      <c r="HB54" s="17" t="s">
        <v>870</v>
      </c>
      <c r="HC54" s="17" t="s">
        <v>870</v>
      </c>
      <c r="HD54" s="17" t="s">
        <v>870</v>
      </c>
      <c r="HE54" s="17" t="s">
        <v>870</v>
      </c>
      <c r="HF54" s="17" t="s">
        <v>870</v>
      </c>
      <c r="HG54" s="17" t="s">
        <v>870</v>
      </c>
      <c r="HH54" s="17" t="s">
        <v>870</v>
      </c>
      <c r="HI54" s="17" t="s">
        <v>870</v>
      </c>
      <c r="HJ54" s="17" t="s">
        <v>870</v>
      </c>
      <c r="HK54" s="17" t="s">
        <v>870</v>
      </c>
      <c r="HL54" s="17" t="s">
        <v>870</v>
      </c>
      <c r="HM54" s="17" t="s">
        <v>870</v>
      </c>
      <c r="HN54" s="17" t="s">
        <v>870</v>
      </c>
      <c r="HO54" s="17" t="s">
        <v>870</v>
      </c>
      <c r="HP54" s="17" t="s">
        <v>870</v>
      </c>
      <c r="HQ54" s="17" t="s">
        <v>870</v>
      </c>
      <c r="HR54" s="17" t="s">
        <v>870</v>
      </c>
      <c r="HS54" s="17" t="s">
        <v>870</v>
      </c>
      <c r="HT54" s="17" t="s">
        <v>870</v>
      </c>
      <c r="HU54" s="17" t="s">
        <v>870</v>
      </c>
      <c r="HV54" s="17" t="s">
        <v>870</v>
      </c>
      <c r="HW54" s="17" t="s">
        <v>870</v>
      </c>
      <c r="HX54" s="17" t="s">
        <v>870</v>
      </c>
      <c r="HY54" s="17" t="s">
        <v>870</v>
      </c>
      <c r="HZ54" s="17" t="s">
        <v>870</v>
      </c>
      <c r="IA54" s="17" t="s">
        <v>870</v>
      </c>
      <c r="IB54" s="17" t="s">
        <v>870</v>
      </c>
      <c r="IC54" s="17" t="s">
        <v>870</v>
      </c>
      <c r="ID54" s="72" t="s">
        <v>1552</v>
      </c>
      <c r="IE54" s="17" t="s">
        <v>870</v>
      </c>
      <c r="IF54" s="17" t="s">
        <v>870</v>
      </c>
      <c r="IG54" s="17" t="s">
        <v>870</v>
      </c>
      <c r="IH54" s="17" t="s">
        <v>870</v>
      </c>
      <c r="II54" s="17" t="s">
        <v>870</v>
      </c>
      <c r="IJ54" s="17" t="s">
        <v>870</v>
      </c>
      <c r="IK54" s="17" t="s">
        <v>870</v>
      </c>
      <c r="IL54" s="17" t="s">
        <v>870</v>
      </c>
      <c r="IM54" s="17" t="s">
        <v>870</v>
      </c>
      <c r="IN54" s="17" t="s">
        <v>870</v>
      </c>
      <c r="IO54" s="17" t="s">
        <v>870</v>
      </c>
    </row>
    <row r="55" spans="1:249" x14ac:dyDescent="0.25">
      <c r="A55" t="s">
        <v>32</v>
      </c>
      <c r="B55" s="17" t="s">
        <v>870</v>
      </c>
      <c r="C55" s="17" t="s">
        <v>870</v>
      </c>
      <c r="D55" s="17" t="s">
        <v>870</v>
      </c>
      <c r="E55" s="17" t="s">
        <v>870</v>
      </c>
      <c r="F55" s="17" t="s">
        <v>870</v>
      </c>
      <c r="G55" s="17" t="s">
        <v>870</v>
      </c>
      <c r="H55" s="17" t="s">
        <v>870</v>
      </c>
      <c r="I55" s="63"/>
      <c r="J55" s="63"/>
      <c r="K55" s="17" t="s">
        <v>870</v>
      </c>
      <c r="L55" s="17" t="s">
        <v>870</v>
      </c>
      <c r="M55" s="17" t="s">
        <v>870</v>
      </c>
      <c r="N55" s="17" t="s">
        <v>870</v>
      </c>
      <c r="O55" s="17" t="s">
        <v>870</v>
      </c>
      <c r="P55" s="17" t="s">
        <v>870</v>
      </c>
      <c r="Q55" s="17" t="s">
        <v>870</v>
      </c>
      <c r="R55" s="17" t="s">
        <v>870</v>
      </c>
      <c r="S55" s="17" t="s">
        <v>870</v>
      </c>
      <c r="T55" s="17" t="s">
        <v>870</v>
      </c>
      <c r="U55" s="17" t="s">
        <v>870</v>
      </c>
      <c r="V55" s="17" t="s">
        <v>870</v>
      </c>
      <c r="W55" s="17" t="s">
        <v>870</v>
      </c>
      <c r="X55" s="17" t="s">
        <v>870</v>
      </c>
      <c r="Y55" s="17" t="s">
        <v>870</v>
      </c>
      <c r="Z55" s="17" t="s">
        <v>870</v>
      </c>
      <c r="AA55" s="17" t="s">
        <v>870</v>
      </c>
      <c r="AB55" s="17" t="s">
        <v>870</v>
      </c>
      <c r="AC55" s="17" t="s">
        <v>870</v>
      </c>
      <c r="AD55" s="17" t="s">
        <v>870</v>
      </c>
      <c r="AE55" s="17" t="s">
        <v>870</v>
      </c>
      <c r="AF55" s="17" t="s">
        <v>870</v>
      </c>
      <c r="AG55" s="17" t="s">
        <v>870</v>
      </c>
      <c r="AH55" s="17" t="s">
        <v>870</v>
      </c>
      <c r="AI55" s="17" t="s">
        <v>870</v>
      </c>
      <c r="AJ55" s="17" t="s">
        <v>870</v>
      </c>
      <c r="AK55" s="17" t="s">
        <v>870</v>
      </c>
      <c r="AL55" s="17" t="s">
        <v>870</v>
      </c>
      <c r="AM55" s="17" t="s">
        <v>870</v>
      </c>
      <c r="AN55" s="17" t="s">
        <v>870</v>
      </c>
      <c r="AO55" s="17" t="s">
        <v>870</v>
      </c>
      <c r="AP55" s="17" t="s">
        <v>870</v>
      </c>
      <c r="AQ55" s="17" t="s">
        <v>870</v>
      </c>
      <c r="AR55" s="17" t="s">
        <v>870</v>
      </c>
      <c r="AS55" s="17" t="s">
        <v>870</v>
      </c>
      <c r="AT55" s="17" t="s">
        <v>870</v>
      </c>
      <c r="AU55" s="17" t="s">
        <v>870</v>
      </c>
      <c r="AV55" s="17" t="s">
        <v>870</v>
      </c>
      <c r="AW55" s="17" t="s">
        <v>870</v>
      </c>
      <c r="AX55" s="17" t="s">
        <v>870</v>
      </c>
      <c r="AY55" s="17" t="s">
        <v>870</v>
      </c>
      <c r="AZ55" s="17" t="s">
        <v>870</v>
      </c>
      <c r="BA55" s="17" t="s">
        <v>870</v>
      </c>
      <c r="BB55" s="17" t="s">
        <v>870</v>
      </c>
      <c r="BC55" s="17" t="s">
        <v>870</v>
      </c>
      <c r="BD55" s="17" t="s">
        <v>870</v>
      </c>
      <c r="BE55" s="17" t="s">
        <v>870</v>
      </c>
      <c r="BF55" s="17" t="s">
        <v>870</v>
      </c>
      <c r="BG55" s="17" t="s">
        <v>870</v>
      </c>
      <c r="BH55" s="17" t="s">
        <v>870</v>
      </c>
      <c r="BI55" s="17" t="s">
        <v>870</v>
      </c>
      <c r="BJ55" s="17" t="s">
        <v>870</v>
      </c>
      <c r="BK55" s="17" t="s">
        <v>870</v>
      </c>
      <c r="BL55" s="17" t="s">
        <v>870</v>
      </c>
      <c r="BM55" s="17" t="s">
        <v>870</v>
      </c>
      <c r="BN55" s="17" t="s">
        <v>870</v>
      </c>
      <c r="BO55" s="17" t="s">
        <v>870</v>
      </c>
      <c r="BP55" s="17" t="s">
        <v>870</v>
      </c>
      <c r="BQ55" s="17" t="s">
        <v>870</v>
      </c>
      <c r="BR55" s="17" t="s">
        <v>870</v>
      </c>
      <c r="BS55" s="17" t="s">
        <v>870</v>
      </c>
      <c r="BT55" s="17" t="s">
        <v>870</v>
      </c>
      <c r="BU55" s="17" t="s">
        <v>870</v>
      </c>
      <c r="BV55" s="17" t="s">
        <v>870</v>
      </c>
      <c r="BW55" s="17" t="s">
        <v>870</v>
      </c>
      <c r="BX55" s="17" t="s">
        <v>870</v>
      </c>
      <c r="BY55" s="17" t="s">
        <v>870</v>
      </c>
      <c r="BZ55" s="17" t="s">
        <v>870</v>
      </c>
      <c r="CA55" s="17" t="s">
        <v>870</v>
      </c>
      <c r="CB55" s="17" t="s">
        <v>870</v>
      </c>
      <c r="CC55" s="17" t="s">
        <v>870</v>
      </c>
      <c r="CD55" s="17" t="s">
        <v>870</v>
      </c>
      <c r="CE55" s="17" t="s">
        <v>870</v>
      </c>
      <c r="CF55" s="17" t="s">
        <v>870</v>
      </c>
      <c r="CG55" s="17" t="s">
        <v>870</v>
      </c>
      <c r="CH55" s="17" t="s">
        <v>870</v>
      </c>
      <c r="CI55" s="17" t="s">
        <v>870</v>
      </c>
      <c r="CJ55" s="17" t="s">
        <v>870</v>
      </c>
      <c r="CK55" s="17" t="s">
        <v>870</v>
      </c>
      <c r="CL55" s="17" t="s">
        <v>870</v>
      </c>
      <c r="CM55" s="17" t="s">
        <v>870</v>
      </c>
      <c r="CN55" s="17" t="s">
        <v>870</v>
      </c>
      <c r="CO55" s="17" t="s">
        <v>870</v>
      </c>
      <c r="CP55" s="17" t="s">
        <v>870</v>
      </c>
      <c r="CQ55" s="17" t="s">
        <v>870</v>
      </c>
      <c r="CR55" s="17" t="s">
        <v>870</v>
      </c>
      <c r="CS55" s="17" t="s">
        <v>870</v>
      </c>
      <c r="CT55" s="17" t="s">
        <v>870</v>
      </c>
      <c r="CU55" s="17" t="s">
        <v>870</v>
      </c>
      <c r="CV55" s="17" t="s">
        <v>870</v>
      </c>
      <c r="CW55" s="17" t="s">
        <v>870</v>
      </c>
      <c r="CX55" s="17" t="s">
        <v>870</v>
      </c>
      <c r="CY55" s="17" t="s">
        <v>870</v>
      </c>
      <c r="CZ55" s="17" t="s">
        <v>870</v>
      </c>
      <c r="DA55" s="17" t="s">
        <v>870</v>
      </c>
      <c r="DB55" s="17" t="s">
        <v>870</v>
      </c>
      <c r="DC55" s="17" t="s">
        <v>870</v>
      </c>
      <c r="DD55" s="17" t="s">
        <v>870</v>
      </c>
      <c r="DE55" s="17" t="s">
        <v>870</v>
      </c>
      <c r="DF55" s="17" t="s">
        <v>870</v>
      </c>
      <c r="DG55" s="17" t="s">
        <v>870</v>
      </c>
      <c r="DH55" s="17" t="s">
        <v>870</v>
      </c>
      <c r="DI55" s="17" t="s">
        <v>870</v>
      </c>
      <c r="DJ55" s="17" t="s">
        <v>870</v>
      </c>
      <c r="DK55" s="17" t="s">
        <v>870</v>
      </c>
      <c r="DL55" s="17" t="s">
        <v>870</v>
      </c>
      <c r="DM55" s="17" t="s">
        <v>870</v>
      </c>
      <c r="DN55" s="17" t="s">
        <v>870</v>
      </c>
      <c r="DO55" s="17" t="s">
        <v>870</v>
      </c>
      <c r="DP55" s="17" t="s">
        <v>870</v>
      </c>
      <c r="DQ55" s="17" t="s">
        <v>870</v>
      </c>
      <c r="DR55" s="17" t="s">
        <v>870</v>
      </c>
      <c r="DS55" s="17" t="s">
        <v>870</v>
      </c>
      <c r="DT55" s="17" t="s">
        <v>870</v>
      </c>
      <c r="DU55" s="17" t="s">
        <v>870</v>
      </c>
      <c r="DV55" s="17" t="s">
        <v>870</v>
      </c>
      <c r="DW55" s="17" t="s">
        <v>870</v>
      </c>
      <c r="DX55" s="17" t="s">
        <v>870</v>
      </c>
      <c r="DY55" s="17" t="s">
        <v>870</v>
      </c>
      <c r="DZ55" s="17" t="s">
        <v>870</v>
      </c>
      <c r="EA55" s="17" t="s">
        <v>870</v>
      </c>
      <c r="EB55" s="17" t="s">
        <v>870</v>
      </c>
      <c r="EC55" s="17" t="s">
        <v>870</v>
      </c>
      <c r="ED55" s="17" t="s">
        <v>870</v>
      </c>
      <c r="EE55" s="17" t="s">
        <v>870</v>
      </c>
      <c r="EF55" s="17" t="s">
        <v>870</v>
      </c>
      <c r="EG55" s="17" t="s">
        <v>870</v>
      </c>
      <c r="EH55" s="17" t="s">
        <v>870</v>
      </c>
      <c r="EI55" s="17" t="s">
        <v>870</v>
      </c>
      <c r="EJ55" s="17" t="s">
        <v>870</v>
      </c>
      <c r="EK55" s="17" t="s">
        <v>870</v>
      </c>
      <c r="EL55" s="17" t="s">
        <v>870</v>
      </c>
      <c r="EM55" s="17" t="s">
        <v>870</v>
      </c>
      <c r="EN55" s="17" t="s">
        <v>870</v>
      </c>
      <c r="EO55" s="17" t="s">
        <v>870</v>
      </c>
      <c r="EP55" s="17" t="s">
        <v>870</v>
      </c>
      <c r="EQ55" s="17" t="s">
        <v>870</v>
      </c>
      <c r="ER55" s="17" t="s">
        <v>870</v>
      </c>
      <c r="ES55" s="17" t="s">
        <v>870</v>
      </c>
      <c r="ET55" s="17" t="s">
        <v>870</v>
      </c>
      <c r="EU55" s="17" t="s">
        <v>870</v>
      </c>
      <c r="EV55" s="17" t="s">
        <v>870</v>
      </c>
      <c r="EW55" s="17" t="s">
        <v>870</v>
      </c>
      <c r="EX55" s="17" t="s">
        <v>870</v>
      </c>
      <c r="EY55" s="17" t="s">
        <v>870</v>
      </c>
      <c r="EZ55" s="17" t="s">
        <v>870</v>
      </c>
      <c r="FA55" s="17" t="s">
        <v>870</v>
      </c>
      <c r="FB55" s="17" t="s">
        <v>870</v>
      </c>
      <c r="FC55" s="17" t="s">
        <v>870</v>
      </c>
      <c r="FD55" s="17" t="s">
        <v>870</v>
      </c>
      <c r="FE55" s="17" t="s">
        <v>870</v>
      </c>
      <c r="FF55" s="17" t="s">
        <v>870</v>
      </c>
      <c r="FG55" s="17" t="s">
        <v>870</v>
      </c>
      <c r="FH55" s="17" t="s">
        <v>870</v>
      </c>
      <c r="FI55" s="17" t="s">
        <v>870</v>
      </c>
      <c r="FJ55" s="17" t="s">
        <v>870</v>
      </c>
      <c r="FK55" s="17" t="s">
        <v>870</v>
      </c>
      <c r="FL55" s="17" t="s">
        <v>870</v>
      </c>
      <c r="FM55" s="17" t="s">
        <v>870</v>
      </c>
      <c r="FN55" s="17" t="s">
        <v>870</v>
      </c>
      <c r="FO55" s="17" t="s">
        <v>870</v>
      </c>
      <c r="FP55" s="17" t="s">
        <v>870</v>
      </c>
      <c r="FQ55" s="17" t="s">
        <v>870</v>
      </c>
      <c r="FR55" s="17" t="s">
        <v>870</v>
      </c>
      <c r="FS55" s="17" t="s">
        <v>870</v>
      </c>
      <c r="FT55" s="17" t="s">
        <v>870</v>
      </c>
      <c r="FU55" s="17" t="s">
        <v>870</v>
      </c>
      <c r="FV55" s="17" t="s">
        <v>870</v>
      </c>
      <c r="FW55" s="17" t="s">
        <v>870</v>
      </c>
      <c r="FX55" s="17" t="s">
        <v>870</v>
      </c>
      <c r="FY55" s="17" t="s">
        <v>870</v>
      </c>
      <c r="FZ55" s="17" t="s">
        <v>870</v>
      </c>
      <c r="GA55" s="17" t="s">
        <v>870</v>
      </c>
      <c r="GB55" s="17" t="s">
        <v>870</v>
      </c>
      <c r="GC55" s="17" t="s">
        <v>870</v>
      </c>
      <c r="GD55" s="17" t="s">
        <v>870</v>
      </c>
      <c r="GE55" s="17" t="s">
        <v>870</v>
      </c>
      <c r="GF55" s="17" t="s">
        <v>870</v>
      </c>
      <c r="GG55" s="17" t="s">
        <v>870</v>
      </c>
      <c r="GH55" s="17" t="s">
        <v>870</v>
      </c>
      <c r="GI55" s="17" t="s">
        <v>870</v>
      </c>
      <c r="GJ55" s="17" t="s">
        <v>870</v>
      </c>
      <c r="GK55" s="17" t="s">
        <v>870</v>
      </c>
      <c r="GL55" s="17" t="s">
        <v>870</v>
      </c>
      <c r="GM55" s="17" t="s">
        <v>870</v>
      </c>
      <c r="GN55" s="17" t="s">
        <v>870</v>
      </c>
      <c r="GO55" s="17" t="s">
        <v>870</v>
      </c>
      <c r="GP55" s="17" t="s">
        <v>870</v>
      </c>
      <c r="GQ55" s="17" t="s">
        <v>870</v>
      </c>
      <c r="GR55" s="17" t="s">
        <v>870</v>
      </c>
      <c r="GS55" s="17" t="s">
        <v>870</v>
      </c>
      <c r="GT55" s="17" t="s">
        <v>870</v>
      </c>
      <c r="GU55" s="17" t="s">
        <v>870</v>
      </c>
      <c r="GV55" s="17" t="s">
        <v>870</v>
      </c>
      <c r="GW55" s="17" t="s">
        <v>870</v>
      </c>
      <c r="GX55" s="17" t="s">
        <v>870</v>
      </c>
      <c r="GY55" s="17" t="s">
        <v>870</v>
      </c>
      <c r="GZ55" s="17" t="s">
        <v>870</v>
      </c>
      <c r="HA55" s="17" t="s">
        <v>870</v>
      </c>
      <c r="HB55" s="17" t="s">
        <v>870</v>
      </c>
      <c r="HC55" s="17" t="s">
        <v>870</v>
      </c>
      <c r="HD55" s="17" t="s">
        <v>870</v>
      </c>
      <c r="HE55" s="17" t="s">
        <v>870</v>
      </c>
      <c r="HF55" s="17" t="s">
        <v>870</v>
      </c>
      <c r="HG55" s="17" t="s">
        <v>870</v>
      </c>
      <c r="HH55" s="17" t="s">
        <v>870</v>
      </c>
      <c r="HI55" s="17" t="s">
        <v>870</v>
      </c>
      <c r="HJ55" s="17" t="s">
        <v>870</v>
      </c>
      <c r="HK55" s="17" t="s">
        <v>870</v>
      </c>
      <c r="HL55" s="17" t="s">
        <v>870</v>
      </c>
      <c r="HM55" s="17" t="s">
        <v>870</v>
      </c>
      <c r="HN55" s="17" t="s">
        <v>870</v>
      </c>
      <c r="HO55" s="17" t="s">
        <v>870</v>
      </c>
      <c r="HP55" s="17" t="s">
        <v>870</v>
      </c>
      <c r="HQ55" s="17" t="s">
        <v>870</v>
      </c>
      <c r="HR55" s="17" t="s">
        <v>870</v>
      </c>
      <c r="HS55" s="17" t="s">
        <v>870</v>
      </c>
      <c r="HT55" s="17" t="s">
        <v>870</v>
      </c>
      <c r="HU55" s="17" t="s">
        <v>870</v>
      </c>
      <c r="HV55" s="17" t="s">
        <v>870</v>
      </c>
      <c r="HW55" s="17" t="s">
        <v>870</v>
      </c>
      <c r="HX55" s="17" t="s">
        <v>870</v>
      </c>
      <c r="HY55" s="17" t="s">
        <v>870</v>
      </c>
      <c r="HZ55" s="17" t="s">
        <v>870</v>
      </c>
      <c r="IA55" s="17" t="s">
        <v>870</v>
      </c>
      <c r="IB55" s="17" t="s">
        <v>870</v>
      </c>
      <c r="IC55" s="17" t="s">
        <v>870</v>
      </c>
      <c r="ID55" s="72" t="s">
        <v>1552</v>
      </c>
      <c r="IE55" s="17" t="s">
        <v>870</v>
      </c>
      <c r="IF55" s="17" t="s">
        <v>870</v>
      </c>
      <c r="IG55" s="17" t="s">
        <v>870</v>
      </c>
      <c r="IH55" s="17" t="s">
        <v>870</v>
      </c>
      <c r="II55" s="17" t="s">
        <v>870</v>
      </c>
      <c r="IJ55" s="17" t="s">
        <v>870</v>
      </c>
      <c r="IK55" s="17" t="s">
        <v>870</v>
      </c>
      <c r="IL55" s="17" t="s">
        <v>870</v>
      </c>
      <c r="IM55" s="17" t="s">
        <v>870</v>
      </c>
      <c r="IN55" s="17" t="s">
        <v>870</v>
      </c>
      <c r="IO55" s="17" t="s">
        <v>870</v>
      </c>
    </row>
    <row r="56" spans="1:249" x14ac:dyDescent="0.25">
      <c r="A56" t="s">
        <v>94</v>
      </c>
      <c r="B56" s="17" t="s">
        <v>870</v>
      </c>
      <c r="C56" s="17" t="s">
        <v>870</v>
      </c>
      <c r="D56" s="17" t="s">
        <v>870</v>
      </c>
      <c r="E56" s="17" t="s">
        <v>870</v>
      </c>
      <c r="F56" s="17" t="s">
        <v>870</v>
      </c>
      <c r="G56" s="17" t="s">
        <v>870</v>
      </c>
      <c r="H56" s="17" t="s">
        <v>870</v>
      </c>
      <c r="I56" s="17" t="s">
        <v>870</v>
      </c>
      <c r="J56" s="17" t="s">
        <v>870</v>
      </c>
      <c r="K56" s="17" t="s">
        <v>870</v>
      </c>
      <c r="L56" s="17" t="s">
        <v>870</v>
      </c>
      <c r="M56" s="17" t="s">
        <v>870</v>
      </c>
      <c r="N56" s="17" t="s">
        <v>870</v>
      </c>
      <c r="O56" s="17" t="s">
        <v>870</v>
      </c>
      <c r="P56" s="17" t="s">
        <v>870</v>
      </c>
      <c r="Q56" s="17" t="s">
        <v>870</v>
      </c>
      <c r="R56" s="17" t="s">
        <v>870</v>
      </c>
      <c r="S56" s="17" t="s">
        <v>870</v>
      </c>
      <c r="T56" s="17" t="s">
        <v>870</v>
      </c>
      <c r="U56" s="17" t="s">
        <v>870</v>
      </c>
      <c r="V56" s="17" t="s">
        <v>870</v>
      </c>
      <c r="W56" s="17" t="s">
        <v>870</v>
      </c>
      <c r="X56" s="17" t="s">
        <v>870</v>
      </c>
      <c r="Y56" s="17" t="s">
        <v>870</v>
      </c>
      <c r="Z56" s="17" t="s">
        <v>870</v>
      </c>
      <c r="AA56" s="17" t="s">
        <v>870</v>
      </c>
      <c r="AB56" s="17" t="s">
        <v>870</v>
      </c>
      <c r="AC56" s="17" t="s">
        <v>870</v>
      </c>
      <c r="AD56" s="17" t="s">
        <v>870</v>
      </c>
      <c r="AE56" s="17" t="s">
        <v>870</v>
      </c>
      <c r="AF56" s="17" t="s">
        <v>870</v>
      </c>
      <c r="AG56" s="17" t="s">
        <v>870</v>
      </c>
      <c r="AH56" s="17" t="s">
        <v>870</v>
      </c>
      <c r="AI56" s="17" t="s">
        <v>870</v>
      </c>
      <c r="AJ56" s="17" t="s">
        <v>870</v>
      </c>
      <c r="AK56" s="17" t="s">
        <v>870</v>
      </c>
      <c r="AL56" s="17" t="s">
        <v>870</v>
      </c>
      <c r="AM56" s="17" t="s">
        <v>870</v>
      </c>
      <c r="AN56" s="17" t="s">
        <v>870</v>
      </c>
      <c r="AO56" s="17" t="s">
        <v>870</v>
      </c>
      <c r="AP56" s="17" t="s">
        <v>870</v>
      </c>
      <c r="AQ56" s="17" t="s">
        <v>870</v>
      </c>
      <c r="AR56" s="17" t="s">
        <v>870</v>
      </c>
      <c r="AS56" s="17" t="s">
        <v>870</v>
      </c>
      <c r="AT56" s="17" t="s">
        <v>870</v>
      </c>
      <c r="AU56" s="17" t="s">
        <v>870</v>
      </c>
      <c r="AV56" s="17" t="s">
        <v>870</v>
      </c>
      <c r="AW56" s="17" t="s">
        <v>870</v>
      </c>
      <c r="AX56" s="17" t="s">
        <v>870</v>
      </c>
      <c r="AY56" s="17" t="s">
        <v>870</v>
      </c>
      <c r="AZ56" s="17" t="s">
        <v>870</v>
      </c>
      <c r="BA56" s="17" t="s">
        <v>870</v>
      </c>
      <c r="BB56" s="17" t="s">
        <v>870</v>
      </c>
      <c r="BC56" s="17" t="s">
        <v>870</v>
      </c>
      <c r="BD56" s="17" t="s">
        <v>870</v>
      </c>
      <c r="BE56" s="17" t="s">
        <v>870</v>
      </c>
      <c r="BF56" s="17" t="s">
        <v>870</v>
      </c>
      <c r="BG56" s="17" t="s">
        <v>870</v>
      </c>
      <c r="BH56" s="17" t="s">
        <v>870</v>
      </c>
      <c r="BI56" s="63"/>
      <c r="BJ56" s="63"/>
      <c r="BK56" s="63"/>
      <c r="BL56" s="17" t="s">
        <v>870</v>
      </c>
      <c r="BM56" s="17" t="s">
        <v>870</v>
      </c>
      <c r="BN56" s="17" t="s">
        <v>870</v>
      </c>
      <c r="BO56" s="17" t="s">
        <v>870</v>
      </c>
      <c r="BP56" s="63"/>
      <c r="BQ56" s="63"/>
      <c r="BR56" s="17" t="s">
        <v>870</v>
      </c>
      <c r="BS56" s="17" t="s">
        <v>870</v>
      </c>
      <c r="BT56" s="63"/>
      <c r="BU56" s="63"/>
      <c r="BV56" s="17" t="s">
        <v>870</v>
      </c>
      <c r="BW56" s="17" t="s">
        <v>870</v>
      </c>
      <c r="BX56" s="17" t="s">
        <v>870</v>
      </c>
      <c r="BY56" s="17" t="s">
        <v>870</v>
      </c>
      <c r="BZ56" s="17" t="s">
        <v>870</v>
      </c>
      <c r="CA56" s="17" t="s">
        <v>870</v>
      </c>
      <c r="CB56" s="17" t="s">
        <v>870</v>
      </c>
      <c r="CC56" s="17" t="s">
        <v>870</v>
      </c>
      <c r="CD56" s="17" t="s">
        <v>870</v>
      </c>
      <c r="CE56" s="17" t="s">
        <v>870</v>
      </c>
      <c r="CF56" s="17" t="s">
        <v>870</v>
      </c>
      <c r="CG56" s="17" t="s">
        <v>870</v>
      </c>
      <c r="CH56" s="17" t="s">
        <v>870</v>
      </c>
      <c r="CI56" s="17" t="s">
        <v>870</v>
      </c>
      <c r="CJ56" s="17" t="s">
        <v>870</v>
      </c>
      <c r="CK56" s="17" t="s">
        <v>870</v>
      </c>
      <c r="CL56" s="17" t="s">
        <v>870</v>
      </c>
      <c r="CM56" s="17" t="s">
        <v>870</v>
      </c>
      <c r="CN56" s="17" t="s">
        <v>870</v>
      </c>
      <c r="CO56" s="17" t="s">
        <v>870</v>
      </c>
      <c r="CP56" s="17" t="s">
        <v>870</v>
      </c>
      <c r="CQ56" s="17" t="s">
        <v>870</v>
      </c>
      <c r="CR56" s="17" t="s">
        <v>870</v>
      </c>
      <c r="CS56" s="17" t="s">
        <v>870</v>
      </c>
      <c r="CT56" s="17" t="s">
        <v>870</v>
      </c>
      <c r="CU56" s="17" t="s">
        <v>870</v>
      </c>
      <c r="CV56" s="17" t="s">
        <v>870</v>
      </c>
      <c r="CW56" s="17" t="s">
        <v>870</v>
      </c>
      <c r="CX56" s="17" t="s">
        <v>870</v>
      </c>
      <c r="CY56" s="17" t="s">
        <v>870</v>
      </c>
      <c r="CZ56" s="17" t="s">
        <v>870</v>
      </c>
      <c r="DA56" s="17" t="s">
        <v>870</v>
      </c>
      <c r="DB56" s="17" t="s">
        <v>870</v>
      </c>
      <c r="DC56" s="17" t="s">
        <v>870</v>
      </c>
      <c r="DD56" s="17" t="s">
        <v>870</v>
      </c>
      <c r="DE56" s="17" t="s">
        <v>870</v>
      </c>
      <c r="DF56" s="17" t="s">
        <v>870</v>
      </c>
      <c r="DG56" s="17" t="s">
        <v>870</v>
      </c>
      <c r="DH56" s="17" t="s">
        <v>870</v>
      </c>
      <c r="DI56" s="17" t="s">
        <v>870</v>
      </c>
      <c r="DJ56" s="17" t="s">
        <v>870</v>
      </c>
      <c r="DK56" s="17" t="s">
        <v>870</v>
      </c>
      <c r="DL56" s="17" t="s">
        <v>870</v>
      </c>
      <c r="DM56" s="17" t="s">
        <v>870</v>
      </c>
      <c r="DN56" s="17" t="s">
        <v>870</v>
      </c>
      <c r="DO56" s="17" t="s">
        <v>870</v>
      </c>
      <c r="DP56" s="17" t="s">
        <v>870</v>
      </c>
      <c r="DQ56" s="17" t="s">
        <v>870</v>
      </c>
      <c r="DR56" s="17" t="s">
        <v>870</v>
      </c>
      <c r="DS56" s="17" t="s">
        <v>870</v>
      </c>
      <c r="DT56" s="17" t="s">
        <v>870</v>
      </c>
      <c r="DU56" s="17" t="s">
        <v>870</v>
      </c>
      <c r="DV56" s="17" t="s">
        <v>870</v>
      </c>
      <c r="DW56" s="17" t="s">
        <v>870</v>
      </c>
      <c r="DX56" s="17" t="s">
        <v>870</v>
      </c>
      <c r="DY56" s="17" t="s">
        <v>870</v>
      </c>
      <c r="DZ56" s="17" t="s">
        <v>870</v>
      </c>
      <c r="EA56" s="17" t="s">
        <v>870</v>
      </c>
      <c r="EB56" s="17" t="s">
        <v>870</v>
      </c>
      <c r="EC56" s="17" t="s">
        <v>870</v>
      </c>
      <c r="ED56" s="17" t="s">
        <v>870</v>
      </c>
      <c r="EE56" s="17" t="s">
        <v>870</v>
      </c>
      <c r="EF56" s="17" t="s">
        <v>870</v>
      </c>
      <c r="EG56" s="17" t="s">
        <v>870</v>
      </c>
      <c r="EH56" s="17" t="s">
        <v>870</v>
      </c>
      <c r="EI56" s="17" t="s">
        <v>870</v>
      </c>
      <c r="EJ56" s="17" t="s">
        <v>870</v>
      </c>
      <c r="EK56" s="17" t="s">
        <v>870</v>
      </c>
      <c r="EL56" s="17" t="s">
        <v>870</v>
      </c>
      <c r="EM56" s="17" t="s">
        <v>870</v>
      </c>
      <c r="EN56" s="17" t="s">
        <v>870</v>
      </c>
      <c r="EO56" s="17" t="s">
        <v>870</v>
      </c>
      <c r="EP56" s="17" t="s">
        <v>870</v>
      </c>
      <c r="EQ56" s="17" t="s">
        <v>870</v>
      </c>
      <c r="ER56" s="17" t="s">
        <v>870</v>
      </c>
      <c r="ES56" s="17" t="s">
        <v>870</v>
      </c>
      <c r="ET56" s="17" t="s">
        <v>870</v>
      </c>
      <c r="EU56" s="17" t="s">
        <v>870</v>
      </c>
      <c r="EV56" s="17" t="s">
        <v>870</v>
      </c>
      <c r="EW56" s="17" t="s">
        <v>870</v>
      </c>
      <c r="EX56" s="17" t="s">
        <v>870</v>
      </c>
      <c r="EY56" s="17" t="s">
        <v>870</v>
      </c>
      <c r="EZ56" s="17" t="s">
        <v>870</v>
      </c>
      <c r="FA56" s="17" t="s">
        <v>870</v>
      </c>
      <c r="FB56" s="17" t="s">
        <v>870</v>
      </c>
      <c r="FC56" s="17" t="s">
        <v>870</v>
      </c>
      <c r="FD56" s="17" t="s">
        <v>870</v>
      </c>
      <c r="FE56" s="17" t="s">
        <v>870</v>
      </c>
      <c r="FF56" s="17" t="s">
        <v>870</v>
      </c>
      <c r="FG56" s="17" t="s">
        <v>870</v>
      </c>
      <c r="FH56" s="17" t="s">
        <v>870</v>
      </c>
      <c r="FI56" s="17" t="s">
        <v>870</v>
      </c>
      <c r="FJ56" s="17" t="s">
        <v>870</v>
      </c>
      <c r="FK56" s="17" t="s">
        <v>870</v>
      </c>
      <c r="FL56" s="17" t="s">
        <v>870</v>
      </c>
      <c r="FM56" s="17" t="s">
        <v>870</v>
      </c>
      <c r="FN56" s="17" t="s">
        <v>870</v>
      </c>
      <c r="FO56" s="17" t="s">
        <v>870</v>
      </c>
      <c r="FP56" s="17" t="s">
        <v>870</v>
      </c>
      <c r="FQ56" s="17" t="s">
        <v>870</v>
      </c>
      <c r="FR56" s="17" t="s">
        <v>870</v>
      </c>
      <c r="FS56" s="17" t="s">
        <v>870</v>
      </c>
      <c r="FT56" s="17" t="s">
        <v>870</v>
      </c>
      <c r="FU56" s="17" t="s">
        <v>870</v>
      </c>
      <c r="FV56" s="17" t="s">
        <v>870</v>
      </c>
      <c r="FW56" s="17" t="s">
        <v>870</v>
      </c>
      <c r="FX56" s="17" t="s">
        <v>870</v>
      </c>
      <c r="FY56" s="17" t="s">
        <v>870</v>
      </c>
      <c r="FZ56" s="17" t="s">
        <v>870</v>
      </c>
      <c r="GA56" s="17" t="s">
        <v>870</v>
      </c>
      <c r="GB56" s="17" t="s">
        <v>870</v>
      </c>
      <c r="GC56" s="17" t="s">
        <v>870</v>
      </c>
      <c r="GD56" s="17" t="s">
        <v>870</v>
      </c>
      <c r="GE56" s="17" t="s">
        <v>870</v>
      </c>
      <c r="GF56" s="17" t="s">
        <v>870</v>
      </c>
      <c r="GG56" s="17" t="s">
        <v>870</v>
      </c>
      <c r="GH56" s="17" t="s">
        <v>870</v>
      </c>
      <c r="GI56" s="17" t="s">
        <v>870</v>
      </c>
      <c r="GJ56" s="17" t="s">
        <v>870</v>
      </c>
      <c r="GK56" s="17" t="s">
        <v>870</v>
      </c>
      <c r="GL56" s="17" t="s">
        <v>870</v>
      </c>
      <c r="GM56" s="17" t="s">
        <v>870</v>
      </c>
      <c r="GN56" s="17" t="s">
        <v>870</v>
      </c>
      <c r="GO56" s="17" t="s">
        <v>870</v>
      </c>
      <c r="GP56" s="17" t="s">
        <v>870</v>
      </c>
      <c r="GQ56" s="17" t="s">
        <v>870</v>
      </c>
      <c r="GR56" s="17" t="s">
        <v>870</v>
      </c>
      <c r="GS56" s="17" t="s">
        <v>870</v>
      </c>
      <c r="GT56" s="17" t="s">
        <v>870</v>
      </c>
      <c r="GU56" s="17" t="s">
        <v>870</v>
      </c>
      <c r="GV56" s="17" t="s">
        <v>870</v>
      </c>
      <c r="GW56" s="17" t="s">
        <v>870</v>
      </c>
      <c r="GX56" s="17" t="s">
        <v>870</v>
      </c>
      <c r="GY56" s="17" t="s">
        <v>870</v>
      </c>
      <c r="GZ56" s="17" t="s">
        <v>870</v>
      </c>
      <c r="HA56" s="17" t="s">
        <v>870</v>
      </c>
      <c r="HB56" s="17" t="s">
        <v>870</v>
      </c>
      <c r="HC56" s="17" t="s">
        <v>870</v>
      </c>
      <c r="HD56" s="17" t="s">
        <v>870</v>
      </c>
      <c r="HE56" s="17" t="s">
        <v>870</v>
      </c>
      <c r="HF56" s="17" t="s">
        <v>870</v>
      </c>
      <c r="HG56" s="17" t="s">
        <v>870</v>
      </c>
      <c r="HH56" s="17" t="s">
        <v>870</v>
      </c>
      <c r="HI56" s="17" t="s">
        <v>870</v>
      </c>
      <c r="HJ56" s="17" t="s">
        <v>870</v>
      </c>
      <c r="HK56" s="17" t="s">
        <v>870</v>
      </c>
      <c r="HL56" s="17" t="s">
        <v>870</v>
      </c>
      <c r="HM56" s="17" t="s">
        <v>870</v>
      </c>
      <c r="HN56" s="17" t="s">
        <v>870</v>
      </c>
      <c r="HO56" s="17" t="s">
        <v>870</v>
      </c>
      <c r="HP56" s="17" t="s">
        <v>870</v>
      </c>
      <c r="HQ56" s="17" t="s">
        <v>870</v>
      </c>
      <c r="HR56" s="17" t="s">
        <v>870</v>
      </c>
      <c r="HS56" s="17" t="s">
        <v>870</v>
      </c>
      <c r="HT56" s="17" t="s">
        <v>870</v>
      </c>
      <c r="HU56" s="17" t="s">
        <v>870</v>
      </c>
      <c r="HV56" s="17" t="s">
        <v>870</v>
      </c>
      <c r="HW56" s="17" t="s">
        <v>870</v>
      </c>
      <c r="HX56" s="17" t="s">
        <v>870</v>
      </c>
      <c r="HY56" s="17" t="s">
        <v>870</v>
      </c>
      <c r="HZ56" s="17" t="s">
        <v>870</v>
      </c>
      <c r="IA56" s="17" t="s">
        <v>870</v>
      </c>
      <c r="IB56" s="17" t="s">
        <v>870</v>
      </c>
      <c r="IC56" s="17" t="s">
        <v>870</v>
      </c>
      <c r="ID56" s="72" t="s">
        <v>1552</v>
      </c>
      <c r="IE56" s="17" t="s">
        <v>870</v>
      </c>
      <c r="IF56" s="17" t="s">
        <v>870</v>
      </c>
      <c r="IG56" s="17" t="s">
        <v>870</v>
      </c>
      <c r="IH56" s="17" t="s">
        <v>870</v>
      </c>
      <c r="II56" s="17" t="s">
        <v>870</v>
      </c>
      <c r="IJ56" s="17" t="s">
        <v>870</v>
      </c>
      <c r="IK56" s="17" t="s">
        <v>870</v>
      </c>
      <c r="IL56" s="17" t="s">
        <v>870</v>
      </c>
      <c r="IM56" s="17" t="s">
        <v>870</v>
      </c>
      <c r="IN56" s="17" t="s">
        <v>870</v>
      </c>
      <c r="IO56" s="17" t="s">
        <v>870</v>
      </c>
    </row>
    <row r="57" spans="1:249" x14ac:dyDescent="0.25">
      <c r="A57" t="s">
        <v>224</v>
      </c>
      <c r="B57" s="17" t="s">
        <v>870</v>
      </c>
      <c r="C57" s="17" t="s">
        <v>870</v>
      </c>
      <c r="D57" s="17" t="s">
        <v>870</v>
      </c>
      <c r="E57" s="17" t="s">
        <v>870</v>
      </c>
      <c r="F57" s="17" t="s">
        <v>870</v>
      </c>
      <c r="G57" s="17" t="s">
        <v>870</v>
      </c>
      <c r="H57" s="17" t="s">
        <v>870</v>
      </c>
      <c r="I57" s="17" t="s">
        <v>870</v>
      </c>
      <c r="J57" s="17" t="s">
        <v>870</v>
      </c>
      <c r="K57" s="17" t="s">
        <v>870</v>
      </c>
      <c r="L57" s="17" t="s">
        <v>870</v>
      </c>
      <c r="M57" s="17" t="s">
        <v>870</v>
      </c>
      <c r="N57" s="17" t="s">
        <v>870</v>
      </c>
      <c r="O57" s="17" t="s">
        <v>870</v>
      </c>
      <c r="P57" s="17" t="s">
        <v>870</v>
      </c>
      <c r="Q57" s="17" t="s">
        <v>870</v>
      </c>
      <c r="R57" s="17" t="s">
        <v>870</v>
      </c>
      <c r="S57" s="17" t="s">
        <v>870</v>
      </c>
      <c r="T57" s="17" t="s">
        <v>870</v>
      </c>
      <c r="U57" s="17" t="s">
        <v>870</v>
      </c>
      <c r="V57" s="17" t="s">
        <v>870</v>
      </c>
      <c r="W57" s="17" t="s">
        <v>870</v>
      </c>
      <c r="X57" s="17" t="s">
        <v>870</v>
      </c>
      <c r="Y57" s="17" t="s">
        <v>870</v>
      </c>
      <c r="Z57" s="17" t="s">
        <v>870</v>
      </c>
      <c r="AA57" s="17" t="s">
        <v>870</v>
      </c>
      <c r="AB57" s="17" t="s">
        <v>870</v>
      </c>
      <c r="AC57" s="17" t="s">
        <v>870</v>
      </c>
      <c r="AD57" s="17" t="s">
        <v>870</v>
      </c>
      <c r="AE57" s="17" t="s">
        <v>870</v>
      </c>
      <c r="AF57" s="17" t="s">
        <v>870</v>
      </c>
      <c r="AG57" s="17" t="s">
        <v>870</v>
      </c>
      <c r="AH57" s="17" t="s">
        <v>870</v>
      </c>
      <c r="AI57" s="17" t="s">
        <v>870</v>
      </c>
      <c r="AJ57" s="17" t="s">
        <v>870</v>
      </c>
      <c r="AK57" s="17" t="s">
        <v>870</v>
      </c>
      <c r="AL57" s="17" t="s">
        <v>870</v>
      </c>
      <c r="AM57" s="17" t="s">
        <v>870</v>
      </c>
      <c r="AN57" s="17" t="s">
        <v>870</v>
      </c>
      <c r="AO57" s="17" t="s">
        <v>870</v>
      </c>
      <c r="AP57" s="17" t="s">
        <v>870</v>
      </c>
      <c r="AQ57" s="17" t="s">
        <v>870</v>
      </c>
      <c r="AR57" s="17" t="s">
        <v>870</v>
      </c>
      <c r="AS57" s="17" t="s">
        <v>870</v>
      </c>
      <c r="AT57" s="17" t="s">
        <v>870</v>
      </c>
      <c r="AU57" s="17" t="s">
        <v>870</v>
      </c>
      <c r="AV57" s="17" t="s">
        <v>870</v>
      </c>
      <c r="AW57" s="17" t="s">
        <v>870</v>
      </c>
      <c r="AX57" s="17" t="s">
        <v>870</v>
      </c>
      <c r="AY57" s="17" t="s">
        <v>870</v>
      </c>
      <c r="AZ57" s="17" t="s">
        <v>870</v>
      </c>
      <c r="BA57" s="17" t="s">
        <v>870</v>
      </c>
      <c r="BB57" s="17" t="s">
        <v>870</v>
      </c>
      <c r="BC57" s="17" t="s">
        <v>870</v>
      </c>
      <c r="BD57" s="17" t="s">
        <v>870</v>
      </c>
      <c r="BE57" s="17" t="s">
        <v>870</v>
      </c>
      <c r="BF57" s="17" t="s">
        <v>870</v>
      </c>
      <c r="BG57" s="17" t="s">
        <v>870</v>
      </c>
      <c r="BH57" s="17" t="s">
        <v>870</v>
      </c>
      <c r="BI57" s="17" t="s">
        <v>870</v>
      </c>
      <c r="BJ57" s="17" t="s">
        <v>870</v>
      </c>
      <c r="BK57" s="17" t="s">
        <v>870</v>
      </c>
      <c r="BL57" s="17" t="s">
        <v>870</v>
      </c>
      <c r="BM57" s="17" t="s">
        <v>870</v>
      </c>
      <c r="BN57" s="17" t="s">
        <v>870</v>
      </c>
      <c r="BO57" s="17" t="s">
        <v>870</v>
      </c>
      <c r="BP57" s="17" t="s">
        <v>870</v>
      </c>
      <c r="BQ57" s="17" t="s">
        <v>870</v>
      </c>
      <c r="BR57" s="17" t="s">
        <v>870</v>
      </c>
      <c r="BS57" s="17" t="s">
        <v>870</v>
      </c>
      <c r="BT57" s="17" t="s">
        <v>870</v>
      </c>
      <c r="BU57" s="17" t="s">
        <v>870</v>
      </c>
      <c r="BV57" s="17" t="s">
        <v>870</v>
      </c>
      <c r="BW57" s="17" t="s">
        <v>870</v>
      </c>
      <c r="BX57" s="17" t="s">
        <v>870</v>
      </c>
      <c r="BY57" s="17" t="s">
        <v>870</v>
      </c>
      <c r="BZ57" s="17" t="s">
        <v>870</v>
      </c>
      <c r="CA57" s="17" t="s">
        <v>870</v>
      </c>
      <c r="CB57" s="63"/>
      <c r="CC57" s="63"/>
      <c r="CD57" s="17" t="s">
        <v>870</v>
      </c>
      <c r="CE57" s="17" t="s">
        <v>870</v>
      </c>
      <c r="CF57" s="63"/>
      <c r="CG57" s="63"/>
      <c r="CH57" s="17" t="s">
        <v>870</v>
      </c>
      <c r="CI57" s="17" t="s">
        <v>870</v>
      </c>
      <c r="CJ57" s="63"/>
      <c r="CK57" s="63"/>
      <c r="CL57" s="63"/>
      <c r="CM57" s="63"/>
      <c r="CN57" s="17" t="s">
        <v>870</v>
      </c>
      <c r="CO57" s="17" t="s">
        <v>870</v>
      </c>
      <c r="CP57" s="63"/>
      <c r="CQ57" s="63"/>
      <c r="CR57" s="17" t="s">
        <v>870</v>
      </c>
      <c r="CS57" s="17" t="s">
        <v>870</v>
      </c>
      <c r="CT57" s="17" t="s">
        <v>870</v>
      </c>
      <c r="CU57" s="63"/>
      <c r="CV57" s="17" t="s">
        <v>870</v>
      </c>
      <c r="CW57" s="17" t="s">
        <v>870</v>
      </c>
      <c r="CX57" s="63"/>
      <c r="CY57" s="63"/>
      <c r="CZ57" s="63"/>
      <c r="DA57" s="63"/>
      <c r="DB57" s="63"/>
      <c r="DC57" s="17" t="s">
        <v>870</v>
      </c>
      <c r="DD57" s="17" t="s">
        <v>870</v>
      </c>
      <c r="DE57" s="17" t="s">
        <v>870</v>
      </c>
      <c r="DF57" s="17" t="s">
        <v>870</v>
      </c>
      <c r="DG57" s="17" t="s">
        <v>870</v>
      </c>
      <c r="DH57" s="17" t="s">
        <v>870</v>
      </c>
      <c r="DI57" s="17" t="s">
        <v>870</v>
      </c>
      <c r="DJ57" s="17" t="s">
        <v>870</v>
      </c>
      <c r="DK57" s="17" t="s">
        <v>870</v>
      </c>
      <c r="DL57" s="17" t="s">
        <v>870</v>
      </c>
      <c r="DM57" s="17" t="s">
        <v>870</v>
      </c>
      <c r="DN57" s="17" t="s">
        <v>870</v>
      </c>
      <c r="DO57" s="17" t="s">
        <v>870</v>
      </c>
      <c r="DP57" s="17" t="s">
        <v>870</v>
      </c>
      <c r="DQ57" s="17" t="s">
        <v>870</v>
      </c>
      <c r="DR57" s="17" t="s">
        <v>870</v>
      </c>
      <c r="DS57" s="17" t="s">
        <v>870</v>
      </c>
      <c r="DT57" s="17" t="s">
        <v>870</v>
      </c>
      <c r="DU57" s="17" t="s">
        <v>870</v>
      </c>
      <c r="DV57" s="17" t="s">
        <v>870</v>
      </c>
      <c r="DW57" s="17" t="s">
        <v>870</v>
      </c>
      <c r="DX57" s="17" t="s">
        <v>870</v>
      </c>
      <c r="DY57" s="17" t="s">
        <v>870</v>
      </c>
      <c r="DZ57" s="17" t="s">
        <v>870</v>
      </c>
      <c r="EA57" s="17" t="s">
        <v>870</v>
      </c>
      <c r="EB57" s="17" t="s">
        <v>870</v>
      </c>
      <c r="EC57" s="17" t="s">
        <v>870</v>
      </c>
      <c r="ED57" s="17" t="s">
        <v>870</v>
      </c>
      <c r="EE57" s="17" t="s">
        <v>870</v>
      </c>
      <c r="EF57" s="17" t="s">
        <v>870</v>
      </c>
      <c r="EG57" s="17" t="s">
        <v>870</v>
      </c>
      <c r="EH57" s="17" t="s">
        <v>870</v>
      </c>
      <c r="EI57" s="17" t="s">
        <v>870</v>
      </c>
      <c r="EJ57" s="17" t="s">
        <v>870</v>
      </c>
      <c r="EK57" s="17" t="s">
        <v>870</v>
      </c>
      <c r="EL57" s="17" t="s">
        <v>870</v>
      </c>
      <c r="EM57" s="17" t="s">
        <v>870</v>
      </c>
      <c r="EN57" s="17" t="s">
        <v>870</v>
      </c>
      <c r="EO57" s="17" t="s">
        <v>870</v>
      </c>
      <c r="EP57" s="17" t="s">
        <v>870</v>
      </c>
      <c r="EQ57" s="17" t="s">
        <v>870</v>
      </c>
      <c r="ER57" s="17" t="s">
        <v>870</v>
      </c>
      <c r="ES57" s="17" t="s">
        <v>870</v>
      </c>
      <c r="ET57" s="17" t="s">
        <v>870</v>
      </c>
      <c r="EU57" s="17" t="s">
        <v>870</v>
      </c>
      <c r="EV57" s="17" t="s">
        <v>870</v>
      </c>
      <c r="EW57" s="17" t="s">
        <v>870</v>
      </c>
      <c r="EX57" s="17" t="s">
        <v>870</v>
      </c>
      <c r="EY57" s="17" t="s">
        <v>870</v>
      </c>
      <c r="EZ57" s="17" t="s">
        <v>870</v>
      </c>
      <c r="FA57" s="17" t="s">
        <v>870</v>
      </c>
      <c r="FB57" s="17" t="s">
        <v>870</v>
      </c>
      <c r="FC57" s="17" t="s">
        <v>870</v>
      </c>
      <c r="FD57" s="17" t="s">
        <v>870</v>
      </c>
      <c r="FE57" s="17" t="s">
        <v>870</v>
      </c>
      <c r="FF57" s="17" t="s">
        <v>870</v>
      </c>
      <c r="FG57" s="17" t="s">
        <v>870</v>
      </c>
      <c r="FH57" s="17" t="s">
        <v>870</v>
      </c>
      <c r="FI57" s="17" t="s">
        <v>870</v>
      </c>
      <c r="FJ57" s="17" t="s">
        <v>870</v>
      </c>
      <c r="FK57" s="17" t="s">
        <v>870</v>
      </c>
      <c r="FL57" s="17" t="s">
        <v>870</v>
      </c>
      <c r="FM57" s="17" t="s">
        <v>870</v>
      </c>
      <c r="FN57" s="17" t="s">
        <v>870</v>
      </c>
      <c r="FO57" s="17" t="s">
        <v>870</v>
      </c>
      <c r="FP57" s="17" t="s">
        <v>870</v>
      </c>
      <c r="FQ57" s="17" t="s">
        <v>870</v>
      </c>
      <c r="FR57" s="17" t="s">
        <v>870</v>
      </c>
      <c r="FS57" s="17" t="s">
        <v>870</v>
      </c>
      <c r="FT57" s="17" t="s">
        <v>870</v>
      </c>
      <c r="FU57" s="17" t="s">
        <v>870</v>
      </c>
      <c r="FV57" s="17" t="s">
        <v>870</v>
      </c>
      <c r="FW57" s="17" t="s">
        <v>870</v>
      </c>
      <c r="FX57" s="17" t="s">
        <v>870</v>
      </c>
      <c r="FY57" s="17" t="s">
        <v>870</v>
      </c>
      <c r="FZ57" s="17" t="s">
        <v>870</v>
      </c>
      <c r="GA57" s="17" t="s">
        <v>870</v>
      </c>
      <c r="GB57" s="17" t="s">
        <v>870</v>
      </c>
      <c r="GC57" s="17" t="s">
        <v>870</v>
      </c>
      <c r="GD57" s="17" t="s">
        <v>870</v>
      </c>
      <c r="GE57" s="17" t="s">
        <v>870</v>
      </c>
      <c r="GF57" s="17" t="s">
        <v>870</v>
      </c>
      <c r="GG57" s="17" t="s">
        <v>870</v>
      </c>
      <c r="GH57" s="17" t="s">
        <v>870</v>
      </c>
      <c r="GI57" s="17" t="s">
        <v>870</v>
      </c>
      <c r="GJ57" s="17" t="s">
        <v>870</v>
      </c>
      <c r="GK57" s="17" t="s">
        <v>870</v>
      </c>
      <c r="GL57" s="17" t="s">
        <v>870</v>
      </c>
      <c r="GM57" s="17" t="s">
        <v>870</v>
      </c>
      <c r="GN57" s="17" t="s">
        <v>870</v>
      </c>
      <c r="GO57" s="17" t="s">
        <v>870</v>
      </c>
      <c r="GP57" s="17" t="s">
        <v>870</v>
      </c>
      <c r="GQ57" s="17" t="s">
        <v>870</v>
      </c>
      <c r="GR57" s="17" t="s">
        <v>870</v>
      </c>
      <c r="GS57" s="17" t="s">
        <v>870</v>
      </c>
      <c r="GT57" s="17" t="s">
        <v>870</v>
      </c>
      <c r="GU57" s="17" t="s">
        <v>870</v>
      </c>
      <c r="GV57" s="17" t="s">
        <v>870</v>
      </c>
      <c r="GW57" s="17" t="s">
        <v>870</v>
      </c>
      <c r="GX57" s="17" t="s">
        <v>870</v>
      </c>
      <c r="GY57" s="17" t="s">
        <v>870</v>
      </c>
      <c r="GZ57" s="17" t="s">
        <v>870</v>
      </c>
      <c r="HA57" s="17" t="s">
        <v>870</v>
      </c>
      <c r="HB57" s="17" t="s">
        <v>870</v>
      </c>
      <c r="HC57" s="17" t="s">
        <v>870</v>
      </c>
      <c r="HD57" s="17" t="s">
        <v>870</v>
      </c>
      <c r="HE57" s="17" t="s">
        <v>870</v>
      </c>
      <c r="HF57" s="17" t="s">
        <v>870</v>
      </c>
      <c r="HG57" s="17" t="s">
        <v>870</v>
      </c>
      <c r="HH57" s="17" t="s">
        <v>870</v>
      </c>
      <c r="HI57" s="17" t="s">
        <v>870</v>
      </c>
      <c r="HJ57" s="17" t="s">
        <v>870</v>
      </c>
      <c r="HK57" s="17" t="s">
        <v>870</v>
      </c>
      <c r="HL57" s="17" t="s">
        <v>870</v>
      </c>
      <c r="HM57" s="17" t="s">
        <v>870</v>
      </c>
      <c r="HN57" s="17" t="s">
        <v>870</v>
      </c>
      <c r="HO57" s="17" t="s">
        <v>870</v>
      </c>
      <c r="HP57" s="17" t="s">
        <v>870</v>
      </c>
      <c r="HQ57" s="17" t="s">
        <v>870</v>
      </c>
      <c r="HR57" s="17" t="s">
        <v>870</v>
      </c>
      <c r="HS57" s="17" t="s">
        <v>870</v>
      </c>
      <c r="HT57" s="17" t="s">
        <v>870</v>
      </c>
      <c r="HU57" s="17" t="s">
        <v>870</v>
      </c>
      <c r="HV57" s="17" t="s">
        <v>870</v>
      </c>
      <c r="HW57" s="17" t="s">
        <v>870</v>
      </c>
      <c r="HX57" s="17" t="s">
        <v>870</v>
      </c>
      <c r="HY57" s="17" t="s">
        <v>870</v>
      </c>
      <c r="HZ57" s="17" t="s">
        <v>870</v>
      </c>
      <c r="IA57" s="17" t="s">
        <v>870</v>
      </c>
      <c r="IB57" s="17" t="s">
        <v>870</v>
      </c>
      <c r="IC57" s="17" t="s">
        <v>870</v>
      </c>
      <c r="ID57" s="72" t="s">
        <v>1552</v>
      </c>
      <c r="IE57" s="17" t="s">
        <v>870</v>
      </c>
      <c r="IF57" s="17" t="s">
        <v>870</v>
      </c>
      <c r="IG57" s="17" t="s">
        <v>870</v>
      </c>
      <c r="IH57" s="17" t="s">
        <v>870</v>
      </c>
      <c r="II57" s="17" t="s">
        <v>870</v>
      </c>
      <c r="IJ57" s="17" t="s">
        <v>870</v>
      </c>
      <c r="IK57" s="17" t="s">
        <v>870</v>
      </c>
      <c r="IL57" s="17" t="s">
        <v>870</v>
      </c>
      <c r="IM57" s="17" t="s">
        <v>870</v>
      </c>
      <c r="IN57" s="17" t="s">
        <v>870</v>
      </c>
      <c r="IO57" s="17" t="s">
        <v>870</v>
      </c>
    </row>
    <row r="58" spans="1:249" x14ac:dyDescent="0.25">
      <c r="A58" t="s">
        <v>257</v>
      </c>
      <c r="B58" s="17" t="s">
        <v>870</v>
      </c>
      <c r="C58" s="17" t="s">
        <v>870</v>
      </c>
      <c r="D58" s="17" t="s">
        <v>870</v>
      </c>
      <c r="E58" s="17" t="s">
        <v>870</v>
      </c>
      <c r="F58" s="17" t="s">
        <v>870</v>
      </c>
      <c r="G58" s="17" t="s">
        <v>870</v>
      </c>
      <c r="H58" s="17" t="s">
        <v>870</v>
      </c>
      <c r="I58" s="17" t="s">
        <v>870</v>
      </c>
      <c r="J58" s="17" t="s">
        <v>870</v>
      </c>
      <c r="K58" s="17" t="s">
        <v>870</v>
      </c>
      <c r="L58" s="17" t="s">
        <v>870</v>
      </c>
      <c r="M58" s="17" t="s">
        <v>870</v>
      </c>
      <c r="N58" s="17" t="s">
        <v>870</v>
      </c>
      <c r="O58" s="17" t="s">
        <v>870</v>
      </c>
      <c r="P58" s="17" t="s">
        <v>870</v>
      </c>
      <c r="Q58" s="17" t="s">
        <v>870</v>
      </c>
      <c r="R58" s="17" t="s">
        <v>870</v>
      </c>
      <c r="S58" s="17" t="s">
        <v>870</v>
      </c>
      <c r="T58" s="17" t="s">
        <v>870</v>
      </c>
      <c r="U58" s="17" t="s">
        <v>870</v>
      </c>
      <c r="V58" s="17" t="s">
        <v>870</v>
      </c>
      <c r="W58" s="17" t="s">
        <v>870</v>
      </c>
      <c r="X58" s="17" t="s">
        <v>870</v>
      </c>
      <c r="Y58" s="17" t="s">
        <v>870</v>
      </c>
      <c r="Z58" s="17" t="s">
        <v>870</v>
      </c>
      <c r="AA58" s="17" t="s">
        <v>870</v>
      </c>
      <c r="AB58" s="17" t="s">
        <v>870</v>
      </c>
      <c r="AC58" s="17" t="s">
        <v>870</v>
      </c>
      <c r="AD58" s="17" t="s">
        <v>870</v>
      </c>
      <c r="AE58" s="17" t="s">
        <v>870</v>
      </c>
      <c r="AF58" s="17" t="s">
        <v>870</v>
      </c>
      <c r="AG58" s="17" t="s">
        <v>870</v>
      </c>
      <c r="AH58" s="17" t="s">
        <v>870</v>
      </c>
      <c r="AI58" s="17" t="s">
        <v>870</v>
      </c>
      <c r="AJ58" s="17" t="s">
        <v>870</v>
      </c>
      <c r="AK58" s="17" t="s">
        <v>870</v>
      </c>
      <c r="AL58" s="17" t="s">
        <v>870</v>
      </c>
      <c r="AM58" s="17" t="s">
        <v>870</v>
      </c>
      <c r="AN58" s="17" t="s">
        <v>870</v>
      </c>
      <c r="AO58" s="17" t="s">
        <v>870</v>
      </c>
      <c r="AP58" s="17" t="s">
        <v>870</v>
      </c>
      <c r="AQ58" s="17" t="s">
        <v>870</v>
      </c>
      <c r="AR58" s="17" t="s">
        <v>870</v>
      </c>
      <c r="AS58" s="17" t="s">
        <v>870</v>
      </c>
      <c r="AT58" s="17" t="s">
        <v>870</v>
      </c>
      <c r="AU58" s="17" t="s">
        <v>870</v>
      </c>
      <c r="AV58" s="17" t="s">
        <v>870</v>
      </c>
      <c r="AW58" s="17" t="s">
        <v>870</v>
      </c>
      <c r="AX58" s="17" t="s">
        <v>870</v>
      </c>
      <c r="AY58" s="17" t="s">
        <v>870</v>
      </c>
      <c r="AZ58" s="17" t="s">
        <v>870</v>
      </c>
      <c r="BA58" s="17" t="s">
        <v>870</v>
      </c>
      <c r="BB58" s="17" t="s">
        <v>870</v>
      </c>
      <c r="BC58" s="17" t="s">
        <v>870</v>
      </c>
      <c r="BD58" s="17" t="s">
        <v>870</v>
      </c>
      <c r="BE58" s="17" t="s">
        <v>870</v>
      </c>
      <c r="BF58" s="17" t="s">
        <v>870</v>
      </c>
      <c r="BG58" s="17" t="s">
        <v>870</v>
      </c>
      <c r="BH58" s="17" t="s">
        <v>870</v>
      </c>
      <c r="BI58" s="17" t="s">
        <v>870</v>
      </c>
      <c r="BJ58" s="17" t="s">
        <v>870</v>
      </c>
      <c r="BK58" s="17" t="s">
        <v>870</v>
      </c>
      <c r="BL58" s="17" t="s">
        <v>870</v>
      </c>
      <c r="BM58" s="17" t="s">
        <v>870</v>
      </c>
      <c r="BN58" s="17" t="s">
        <v>870</v>
      </c>
      <c r="BO58" s="17" t="s">
        <v>870</v>
      </c>
      <c r="BP58" s="17" t="s">
        <v>870</v>
      </c>
      <c r="BQ58" s="17" t="s">
        <v>870</v>
      </c>
      <c r="BR58" s="17" t="s">
        <v>870</v>
      </c>
      <c r="BS58" s="17" t="s">
        <v>870</v>
      </c>
      <c r="BT58" s="17" t="s">
        <v>870</v>
      </c>
      <c r="BU58" s="17" t="s">
        <v>870</v>
      </c>
      <c r="BV58" s="17" t="s">
        <v>870</v>
      </c>
      <c r="BW58" s="17" t="s">
        <v>870</v>
      </c>
      <c r="BX58" s="17" t="s">
        <v>870</v>
      </c>
      <c r="BY58" s="17" t="s">
        <v>870</v>
      </c>
      <c r="BZ58" s="17" t="s">
        <v>870</v>
      </c>
      <c r="CA58" s="17" t="s">
        <v>870</v>
      </c>
      <c r="CB58" s="17" t="s">
        <v>870</v>
      </c>
      <c r="CC58" s="17" t="s">
        <v>870</v>
      </c>
      <c r="CD58" s="17" t="s">
        <v>870</v>
      </c>
      <c r="CE58" s="17" t="s">
        <v>870</v>
      </c>
      <c r="CF58" s="17" t="s">
        <v>870</v>
      </c>
      <c r="CG58" s="17" t="s">
        <v>870</v>
      </c>
      <c r="CH58" s="17" t="s">
        <v>870</v>
      </c>
      <c r="CI58" s="17" t="s">
        <v>870</v>
      </c>
      <c r="CJ58" s="17" t="s">
        <v>870</v>
      </c>
      <c r="CK58" s="17" t="s">
        <v>870</v>
      </c>
      <c r="CL58" s="17" t="s">
        <v>870</v>
      </c>
      <c r="CM58" s="17" t="s">
        <v>870</v>
      </c>
      <c r="CN58" s="17" t="s">
        <v>870</v>
      </c>
      <c r="CO58" s="17" t="s">
        <v>870</v>
      </c>
      <c r="CP58" s="17" t="s">
        <v>870</v>
      </c>
      <c r="CQ58" s="17" t="s">
        <v>870</v>
      </c>
      <c r="CR58" s="17" t="s">
        <v>870</v>
      </c>
      <c r="CS58" s="17" t="s">
        <v>870</v>
      </c>
      <c r="CT58" s="17" t="s">
        <v>870</v>
      </c>
      <c r="CU58" s="17" t="s">
        <v>870</v>
      </c>
      <c r="CV58" s="63"/>
      <c r="CW58" s="63"/>
      <c r="CX58" s="63"/>
      <c r="CY58" s="63"/>
      <c r="CZ58" s="63"/>
      <c r="DA58" s="63"/>
      <c r="DB58" s="63"/>
      <c r="DC58" s="63"/>
      <c r="DD58" s="17" t="s">
        <v>870</v>
      </c>
      <c r="DE58" s="17" t="s">
        <v>870</v>
      </c>
      <c r="DF58" s="63"/>
      <c r="DG58" s="63"/>
      <c r="DH58" s="17" t="s">
        <v>870</v>
      </c>
      <c r="DI58" s="17" t="s">
        <v>870</v>
      </c>
      <c r="DJ58" s="17" t="s">
        <v>870</v>
      </c>
      <c r="DK58" s="17" t="s">
        <v>870</v>
      </c>
      <c r="DL58" s="17" t="s">
        <v>870</v>
      </c>
      <c r="DM58" s="17" t="s">
        <v>870</v>
      </c>
      <c r="DN58" s="17" t="s">
        <v>870</v>
      </c>
      <c r="DO58" s="17" t="s">
        <v>870</v>
      </c>
      <c r="DP58" s="17" t="s">
        <v>870</v>
      </c>
      <c r="DQ58" s="17" t="s">
        <v>870</v>
      </c>
      <c r="DR58" s="17" t="s">
        <v>870</v>
      </c>
      <c r="DS58" s="17" t="s">
        <v>870</v>
      </c>
      <c r="DT58" s="17" t="s">
        <v>870</v>
      </c>
      <c r="DU58" s="17" t="s">
        <v>870</v>
      </c>
      <c r="DV58" s="17" t="s">
        <v>870</v>
      </c>
      <c r="DW58" s="17" t="s">
        <v>870</v>
      </c>
      <c r="DX58" s="17" t="s">
        <v>870</v>
      </c>
      <c r="DY58" s="17" t="s">
        <v>870</v>
      </c>
      <c r="DZ58" s="17" t="s">
        <v>870</v>
      </c>
      <c r="EA58" s="17" t="s">
        <v>870</v>
      </c>
      <c r="EB58" s="17" t="s">
        <v>870</v>
      </c>
      <c r="EC58" s="17" t="s">
        <v>870</v>
      </c>
      <c r="ED58" s="17" t="s">
        <v>870</v>
      </c>
      <c r="EE58" s="17" t="s">
        <v>870</v>
      </c>
      <c r="EF58" s="17" t="s">
        <v>870</v>
      </c>
      <c r="EG58" s="17" t="s">
        <v>870</v>
      </c>
      <c r="EH58" s="17" t="s">
        <v>870</v>
      </c>
      <c r="EI58" s="17" t="s">
        <v>870</v>
      </c>
      <c r="EJ58" s="17" t="s">
        <v>870</v>
      </c>
      <c r="EK58" s="17" t="s">
        <v>870</v>
      </c>
      <c r="EL58" s="17" t="s">
        <v>870</v>
      </c>
      <c r="EM58" s="17" t="s">
        <v>870</v>
      </c>
      <c r="EN58" s="17" t="s">
        <v>870</v>
      </c>
      <c r="EO58" s="17" t="s">
        <v>870</v>
      </c>
      <c r="EP58" s="17" t="s">
        <v>870</v>
      </c>
      <c r="EQ58" s="17" t="s">
        <v>870</v>
      </c>
      <c r="ER58" s="17" t="s">
        <v>870</v>
      </c>
      <c r="ES58" s="17" t="s">
        <v>870</v>
      </c>
      <c r="ET58" s="17" t="s">
        <v>870</v>
      </c>
      <c r="EU58" s="17" t="s">
        <v>870</v>
      </c>
      <c r="EV58" s="17" t="s">
        <v>870</v>
      </c>
      <c r="EW58" s="17" t="s">
        <v>870</v>
      </c>
      <c r="EX58" s="17" t="s">
        <v>870</v>
      </c>
      <c r="EY58" s="17" t="s">
        <v>870</v>
      </c>
      <c r="EZ58" s="17" t="s">
        <v>870</v>
      </c>
      <c r="FA58" s="17" t="s">
        <v>870</v>
      </c>
      <c r="FB58" s="17" t="s">
        <v>870</v>
      </c>
      <c r="FC58" s="17" t="s">
        <v>870</v>
      </c>
      <c r="FD58" s="17" t="s">
        <v>870</v>
      </c>
      <c r="FE58" s="17" t="s">
        <v>870</v>
      </c>
      <c r="FF58" s="17" t="s">
        <v>870</v>
      </c>
      <c r="FG58" s="17" t="s">
        <v>870</v>
      </c>
      <c r="FH58" s="17" t="s">
        <v>870</v>
      </c>
      <c r="FI58" s="17" t="s">
        <v>870</v>
      </c>
      <c r="FJ58" s="17" t="s">
        <v>870</v>
      </c>
      <c r="FK58" s="17" t="s">
        <v>870</v>
      </c>
      <c r="FL58" s="17" t="s">
        <v>870</v>
      </c>
      <c r="FM58" s="17" t="s">
        <v>870</v>
      </c>
      <c r="FN58" s="17" t="s">
        <v>870</v>
      </c>
      <c r="FO58" s="17" t="s">
        <v>870</v>
      </c>
      <c r="FP58" s="17" t="s">
        <v>870</v>
      </c>
      <c r="FQ58" s="17" t="s">
        <v>870</v>
      </c>
      <c r="FR58" s="17" t="s">
        <v>870</v>
      </c>
      <c r="FS58" s="17" t="s">
        <v>870</v>
      </c>
      <c r="FT58" s="17" t="s">
        <v>870</v>
      </c>
      <c r="FU58" s="17" t="s">
        <v>870</v>
      </c>
      <c r="FV58" s="17" t="s">
        <v>870</v>
      </c>
      <c r="FW58" s="17" t="s">
        <v>870</v>
      </c>
      <c r="FX58" s="17" t="s">
        <v>870</v>
      </c>
      <c r="FY58" s="17" t="s">
        <v>870</v>
      </c>
      <c r="FZ58" s="17" t="s">
        <v>870</v>
      </c>
      <c r="GA58" s="17" t="s">
        <v>870</v>
      </c>
      <c r="GB58" s="17" t="s">
        <v>870</v>
      </c>
      <c r="GC58" s="17" t="s">
        <v>870</v>
      </c>
      <c r="GD58" s="17" t="s">
        <v>870</v>
      </c>
      <c r="GE58" s="17" t="s">
        <v>870</v>
      </c>
      <c r="GF58" s="17" t="s">
        <v>870</v>
      </c>
      <c r="GG58" s="17" t="s">
        <v>870</v>
      </c>
      <c r="GH58" s="17" t="s">
        <v>870</v>
      </c>
      <c r="GI58" s="17" t="s">
        <v>870</v>
      </c>
      <c r="GJ58" s="17" t="s">
        <v>870</v>
      </c>
      <c r="GK58" s="17" t="s">
        <v>870</v>
      </c>
      <c r="GL58" s="17" t="s">
        <v>870</v>
      </c>
      <c r="GM58" s="17" t="s">
        <v>870</v>
      </c>
      <c r="GN58" s="17" t="s">
        <v>870</v>
      </c>
      <c r="GO58" s="17" t="s">
        <v>870</v>
      </c>
      <c r="GP58" s="17" t="s">
        <v>870</v>
      </c>
      <c r="GQ58" s="17" t="s">
        <v>870</v>
      </c>
      <c r="GR58" s="17" t="s">
        <v>870</v>
      </c>
      <c r="GS58" s="17" t="s">
        <v>870</v>
      </c>
      <c r="GT58" s="17" t="s">
        <v>870</v>
      </c>
      <c r="GU58" s="17" t="s">
        <v>870</v>
      </c>
      <c r="GV58" s="17" t="s">
        <v>870</v>
      </c>
      <c r="GW58" s="17" t="s">
        <v>870</v>
      </c>
      <c r="GX58" s="17" t="s">
        <v>870</v>
      </c>
      <c r="GY58" s="17" t="s">
        <v>870</v>
      </c>
      <c r="GZ58" s="17" t="s">
        <v>870</v>
      </c>
      <c r="HA58" s="17" t="s">
        <v>870</v>
      </c>
      <c r="HB58" s="17" t="s">
        <v>870</v>
      </c>
      <c r="HC58" s="17" t="s">
        <v>870</v>
      </c>
      <c r="HD58" s="17" t="s">
        <v>870</v>
      </c>
      <c r="HE58" s="17" t="s">
        <v>870</v>
      </c>
      <c r="HF58" s="17" t="s">
        <v>870</v>
      </c>
      <c r="HG58" s="17" t="s">
        <v>870</v>
      </c>
      <c r="HH58" s="17" t="s">
        <v>870</v>
      </c>
      <c r="HI58" s="17" t="s">
        <v>870</v>
      </c>
      <c r="HJ58" s="17" t="s">
        <v>870</v>
      </c>
      <c r="HK58" s="17" t="s">
        <v>870</v>
      </c>
      <c r="HL58" s="17" t="s">
        <v>870</v>
      </c>
      <c r="HM58" s="17" t="s">
        <v>870</v>
      </c>
      <c r="HN58" s="17" t="s">
        <v>870</v>
      </c>
      <c r="HO58" s="17" t="s">
        <v>870</v>
      </c>
      <c r="HP58" s="17" t="s">
        <v>870</v>
      </c>
      <c r="HQ58" s="17" t="s">
        <v>870</v>
      </c>
      <c r="HR58" s="17" t="s">
        <v>870</v>
      </c>
      <c r="HS58" s="17" t="s">
        <v>870</v>
      </c>
      <c r="HT58" s="17" t="s">
        <v>870</v>
      </c>
      <c r="HU58" s="17" t="s">
        <v>870</v>
      </c>
      <c r="HV58" s="17" t="s">
        <v>870</v>
      </c>
      <c r="HW58" s="17" t="s">
        <v>870</v>
      </c>
      <c r="HX58" s="17" t="s">
        <v>870</v>
      </c>
      <c r="HY58" s="17" t="s">
        <v>870</v>
      </c>
      <c r="HZ58" s="17" t="s">
        <v>870</v>
      </c>
      <c r="IA58" s="17" t="s">
        <v>870</v>
      </c>
      <c r="IB58" s="17" t="s">
        <v>870</v>
      </c>
      <c r="IC58" s="17" t="s">
        <v>870</v>
      </c>
      <c r="ID58" s="72" t="s">
        <v>1552</v>
      </c>
      <c r="IE58" s="17" t="s">
        <v>870</v>
      </c>
      <c r="IF58" s="17" t="s">
        <v>870</v>
      </c>
      <c r="IG58" s="17" t="s">
        <v>870</v>
      </c>
      <c r="IH58" s="17" t="s">
        <v>870</v>
      </c>
      <c r="II58" s="17" t="s">
        <v>870</v>
      </c>
      <c r="IJ58" s="17" t="s">
        <v>870</v>
      </c>
      <c r="IK58" s="17" t="s">
        <v>870</v>
      </c>
      <c r="IL58" s="17" t="s">
        <v>870</v>
      </c>
      <c r="IM58" s="17" t="s">
        <v>870</v>
      </c>
      <c r="IN58" s="17" t="s">
        <v>870</v>
      </c>
      <c r="IO58" s="17" t="s">
        <v>870</v>
      </c>
    </row>
    <row r="59" spans="1:249" x14ac:dyDescent="0.25">
      <c r="A59" t="s">
        <v>75</v>
      </c>
      <c r="B59" s="17" t="s">
        <v>870</v>
      </c>
      <c r="C59" s="17" t="s">
        <v>870</v>
      </c>
      <c r="D59" s="17" t="s">
        <v>870</v>
      </c>
      <c r="E59" s="17" t="s">
        <v>870</v>
      </c>
      <c r="F59" s="17" t="s">
        <v>870</v>
      </c>
      <c r="G59" s="17" t="s">
        <v>870</v>
      </c>
      <c r="H59" s="17" t="s">
        <v>870</v>
      </c>
      <c r="I59" s="17" t="s">
        <v>870</v>
      </c>
      <c r="J59" s="17" t="s">
        <v>870</v>
      </c>
      <c r="K59" s="17" t="s">
        <v>870</v>
      </c>
      <c r="L59" s="17" t="s">
        <v>870</v>
      </c>
      <c r="M59" s="63"/>
      <c r="N59" s="63"/>
      <c r="O59" s="17" t="s">
        <v>870</v>
      </c>
      <c r="P59" s="63"/>
      <c r="Q59" s="63"/>
      <c r="R59" s="17" t="s">
        <v>870</v>
      </c>
      <c r="S59" s="17" t="s">
        <v>870</v>
      </c>
      <c r="T59" s="17" t="s">
        <v>870</v>
      </c>
      <c r="U59" s="17" t="s">
        <v>870</v>
      </c>
      <c r="V59" s="17" t="s">
        <v>870</v>
      </c>
      <c r="W59" s="17" t="s">
        <v>870</v>
      </c>
      <c r="X59" s="63"/>
      <c r="Y59" s="63"/>
      <c r="Z59" s="63"/>
      <c r="AA59" s="17" t="s">
        <v>870</v>
      </c>
      <c r="AB59" s="17" t="s">
        <v>870</v>
      </c>
      <c r="AC59" s="17" t="s">
        <v>870</v>
      </c>
      <c r="AD59" s="17" t="s">
        <v>870</v>
      </c>
      <c r="AE59" s="63"/>
      <c r="AF59" s="63"/>
      <c r="AG59" s="17" t="s">
        <v>870</v>
      </c>
      <c r="AH59" s="17" t="s">
        <v>870</v>
      </c>
      <c r="AI59" s="17" t="s">
        <v>870</v>
      </c>
      <c r="AJ59" s="63"/>
      <c r="AK59" s="17" t="s">
        <v>870</v>
      </c>
      <c r="AL59" s="63"/>
      <c r="AM59" s="63"/>
      <c r="AN59" s="63"/>
      <c r="AO59" s="63"/>
      <c r="AP59" s="17" t="s">
        <v>870</v>
      </c>
      <c r="AQ59" s="17" t="s">
        <v>870</v>
      </c>
      <c r="AR59" s="63"/>
      <c r="AS59" s="63"/>
      <c r="AT59" s="17" t="s">
        <v>870</v>
      </c>
      <c r="AU59" s="17" t="s">
        <v>870</v>
      </c>
      <c r="AV59" s="63"/>
      <c r="AW59" s="63"/>
      <c r="AX59" s="17" t="s">
        <v>870</v>
      </c>
      <c r="AY59" s="17" t="s">
        <v>870</v>
      </c>
      <c r="AZ59" s="17" t="s">
        <v>870</v>
      </c>
      <c r="BA59" s="63"/>
      <c r="BB59" s="63"/>
      <c r="BC59" s="63"/>
      <c r="BD59" s="17" t="s">
        <v>870</v>
      </c>
      <c r="BE59" s="17" t="s">
        <v>870</v>
      </c>
      <c r="BF59" s="17" t="s">
        <v>870</v>
      </c>
      <c r="BG59" s="17" t="s">
        <v>870</v>
      </c>
      <c r="BH59" s="17" t="s">
        <v>870</v>
      </c>
      <c r="BI59" s="17" t="s">
        <v>870</v>
      </c>
      <c r="BJ59" s="17" t="s">
        <v>870</v>
      </c>
      <c r="BK59" s="17" t="s">
        <v>870</v>
      </c>
      <c r="BL59" s="17" t="s">
        <v>870</v>
      </c>
      <c r="BM59" s="17" t="s">
        <v>870</v>
      </c>
      <c r="BN59" s="17" t="s">
        <v>870</v>
      </c>
      <c r="BO59" s="17" t="s">
        <v>870</v>
      </c>
      <c r="BP59" s="17" t="s">
        <v>870</v>
      </c>
      <c r="BQ59" s="17" t="s">
        <v>870</v>
      </c>
      <c r="BR59" s="63"/>
      <c r="BS59" s="63"/>
      <c r="BT59" s="63"/>
      <c r="BU59" s="63"/>
      <c r="BV59" s="17" t="s">
        <v>870</v>
      </c>
      <c r="BW59" s="17" t="s">
        <v>870</v>
      </c>
      <c r="BX59" s="17" t="s">
        <v>870</v>
      </c>
      <c r="BY59" s="17" t="s">
        <v>870</v>
      </c>
      <c r="BZ59" s="17" t="s">
        <v>870</v>
      </c>
      <c r="CA59" s="17" t="s">
        <v>870</v>
      </c>
      <c r="CB59" s="17" t="s">
        <v>870</v>
      </c>
      <c r="CC59" s="17" t="s">
        <v>870</v>
      </c>
      <c r="CD59" s="17" t="s">
        <v>870</v>
      </c>
      <c r="CE59" s="17" t="s">
        <v>870</v>
      </c>
      <c r="CF59" s="17" t="s">
        <v>870</v>
      </c>
      <c r="CG59" s="17" t="s">
        <v>870</v>
      </c>
      <c r="CH59" s="17" t="s">
        <v>870</v>
      </c>
      <c r="CI59" s="17" t="s">
        <v>870</v>
      </c>
      <c r="CJ59" s="17" t="s">
        <v>870</v>
      </c>
      <c r="CK59" s="17" t="s">
        <v>870</v>
      </c>
      <c r="CL59" s="17" t="s">
        <v>870</v>
      </c>
      <c r="CM59" s="17" t="s">
        <v>870</v>
      </c>
      <c r="CN59" s="17" t="s">
        <v>870</v>
      </c>
      <c r="CO59" s="17" t="s">
        <v>870</v>
      </c>
      <c r="CP59" s="17" t="s">
        <v>870</v>
      </c>
      <c r="CQ59" s="17" t="s">
        <v>870</v>
      </c>
      <c r="CR59" s="17" t="s">
        <v>870</v>
      </c>
      <c r="CS59" s="17" t="s">
        <v>870</v>
      </c>
      <c r="CT59" s="17" t="s">
        <v>870</v>
      </c>
      <c r="CU59" s="17" t="s">
        <v>870</v>
      </c>
      <c r="CV59" s="17" t="s">
        <v>870</v>
      </c>
      <c r="CW59" s="17" t="s">
        <v>870</v>
      </c>
      <c r="CX59" s="17" t="s">
        <v>870</v>
      </c>
      <c r="CY59" s="17" t="s">
        <v>870</v>
      </c>
      <c r="CZ59" s="17" t="s">
        <v>870</v>
      </c>
      <c r="DA59" s="17" t="s">
        <v>870</v>
      </c>
      <c r="DB59" s="17" t="s">
        <v>870</v>
      </c>
      <c r="DC59" s="17" t="s">
        <v>870</v>
      </c>
      <c r="DD59" s="17" t="s">
        <v>870</v>
      </c>
      <c r="DE59" s="17" t="s">
        <v>870</v>
      </c>
      <c r="DF59" s="17" t="s">
        <v>870</v>
      </c>
      <c r="DG59" s="17" t="s">
        <v>870</v>
      </c>
      <c r="DH59" s="63"/>
      <c r="DI59" s="63"/>
      <c r="DJ59" s="63"/>
      <c r="DK59" s="63"/>
      <c r="DL59" s="17" t="s">
        <v>870</v>
      </c>
      <c r="DM59" s="17" t="s">
        <v>870</v>
      </c>
      <c r="DN59" s="17" t="s">
        <v>870</v>
      </c>
      <c r="DO59" s="17" t="s">
        <v>870</v>
      </c>
      <c r="DP59" s="63"/>
      <c r="DQ59" s="63"/>
      <c r="DR59" s="17" t="s">
        <v>870</v>
      </c>
      <c r="DS59" s="17" t="s">
        <v>870</v>
      </c>
      <c r="DT59" s="17" t="s">
        <v>870</v>
      </c>
      <c r="DU59" s="17" t="s">
        <v>870</v>
      </c>
      <c r="DV59" s="17" t="s">
        <v>870</v>
      </c>
      <c r="DW59" s="17" t="s">
        <v>870</v>
      </c>
      <c r="DX59" s="17" t="s">
        <v>870</v>
      </c>
      <c r="DY59" s="17" t="s">
        <v>870</v>
      </c>
      <c r="DZ59" s="63"/>
      <c r="EA59" s="63"/>
      <c r="EB59" s="17" t="s">
        <v>870</v>
      </c>
      <c r="EC59" s="17" t="s">
        <v>870</v>
      </c>
      <c r="ED59" s="17" t="s">
        <v>870</v>
      </c>
      <c r="EE59" s="17" t="s">
        <v>870</v>
      </c>
      <c r="EF59" s="17" t="s">
        <v>870</v>
      </c>
      <c r="EG59" s="17" t="s">
        <v>870</v>
      </c>
      <c r="EH59" s="17" t="s">
        <v>870</v>
      </c>
      <c r="EI59" s="17" t="s">
        <v>870</v>
      </c>
      <c r="EJ59" s="17" t="s">
        <v>870</v>
      </c>
      <c r="EK59" s="17" t="s">
        <v>870</v>
      </c>
      <c r="EL59" s="17" t="s">
        <v>870</v>
      </c>
      <c r="EM59" s="17" t="s">
        <v>870</v>
      </c>
      <c r="EN59" s="17" t="s">
        <v>870</v>
      </c>
      <c r="EO59" s="17" t="s">
        <v>870</v>
      </c>
      <c r="EP59" s="17" t="s">
        <v>870</v>
      </c>
      <c r="EQ59" s="17" t="s">
        <v>870</v>
      </c>
      <c r="ER59" s="17" t="s">
        <v>870</v>
      </c>
      <c r="ES59" s="17" t="s">
        <v>870</v>
      </c>
      <c r="ET59" s="17" t="s">
        <v>870</v>
      </c>
      <c r="EU59" s="17" t="s">
        <v>870</v>
      </c>
      <c r="EV59" s="17" t="s">
        <v>870</v>
      </c>
      <c r="EW59" s="17" t="s">
        <v>870</v>
      </c>
      <c r="EX59" s="17" t="s">
        <v>870</v>
      </c>
      <c r="EY59" s="17" t="s">
        <v>870</v>
      </c>
      <c r="EZ59" s="17" t="s">
        <v>870</v>
      </c>
      <c r="FA59" s="17" t="s">
        <v>870</v>
      </c>
      <c r="FB59" s="17" t="s">
        <v>870</v>
      </c>
      <c r="FC59" s="17" t="s">
        <v>870</v>
      </c>
      <c r="FD59" s="17" t="s">
        <v>870</v>
      </c>
      <c r="FE59" s="17" t="s">
        <v>870</v>
      </c>
      <c r="FF59" s="17" t="s">
        <v>870</v>
      </c>
      <c r="FG59" s="17" t="s">
        <v>870</v>
      </c>
      <c r="FH59" s="63"/>
      <c r="FI59" s="17" t="s">
        <v>870</v>
      </c>
      <c r="FJ59" s="17" t="s">
        <v>870</v>
      </c>
      <c r="FK59" s="17" t="s">
        <v>870</v>
      </c>
      <c r="FL59" s="17" t="s">
        <v>870</v>
      </c>
      <c r="FM59" s="17" t="s">
        <v>870</v>
      </c>
      <c r="FN59" s="17" t="s">
        <v>870</v>
      </c>
      <c r="FO59" s="17" t="s">
        <v>870</v>
      </c>
      <c r="FP59" s="17" t="s">
        <v>870</v>
      </c>
      <c r="FQ59" s="17" t="s">
        <v>870</v>
      </c>
      <c r="FR59" s="17" t="s">
        <v>870</v>
      </c>
      <c r="FS59" s="17" t="s">
        <v>870</v>
      </c>
      <c r="FT59" s="17" t="s">
        <v>870</v>
      </c>
      <c r="FU59" s="17" t="s">
        <v>870</v>
      </c>
      <c r="FV59" s="63"/>
      <c r="FW59" s="62"/>
      <c r="FX59" s="17" t="s">
        <v>870</v>
      </c>
      <c r="FY59" s="17" t="s">
        <v>870</v>
      </c>
      <c r="FZ59" s="17" t="s">
        <v>870</v>
      </c>
      <c r="GA59" s="17" t="s">
        <v>870</v>
      </c>
      <c r="GB59" s="17" t="s">
        <v>870</v>
      </c>
      <c r="GC59" s="17" t="s">
        <v>870</v>
      </c>
      <c r="GD59" s="17" t="s">
        <v>870</v>
      </c>
      <c r="GE59" s="17" t="s">
        <v>870</v>
      </c>
      <c r="GF59" s="17" t="s">
        <v>870</v>
      </c>
      <c r="GG59" s="17" t="s">
        <v>870</v>
      </c>
      <c r="GH59" s="17" t="s">
        <v>870</v>
      </c>
      <c r="GI59" s="17" t="s">
        <v>870</v>
      </c>
      <c r="GJ59" s="17" t="s">
        <v>870</v>
      </c>
      <c r="GK59" s="17" t="s">
        <v>870</v>
      </c>
      <c r="GL59" s="17" t="s">
        <v>870</v>
      </c>
      <c r="GM59" s="17" t="s">
        <v>870</v>
      </c>
      <c r="GN59" s="17" t="s">
        <v>870</v>
      </c>
      <c r="GO59" s="17" t="s">
        <v>870</v>
      </c>
      <c r="GP59" s="17" t="s">
        <v>870</v>
      </c>
      <c r="GQ59" s="17" t="s">
        <v>870</v>
      </c>
      <c r="GR59" s="17" t="s">
        <v>870</v>
      </c>
      <c r="GS59" s="17" t="s">
        <v>870</v>
      </c>
      <c r="GT59" s="17" t="s">
        <v>870</v>
      </c>
      <c r="GU59" s="17" t="s">
        <v>870</v>
      </c>
      <c r="GV59" s="17" t="s">
        <v>870</v>
      </c>
      <c r="GW59" s="63"/>
      <c r="GX59" s="17" t="s">
        <v>870</v>
      </c>
      <c r="GY59" s="17" t="s">
        <v>870</v>
      </c>
      <c r="GZ59" s="17" t="s">
        <v>870</v>
      </c>
      <c r="HA59" s="17" t="s">
        <v>870</v>
      </c>
      <c r="HB59" s="17" t="s">
        <v>870</v>
      </c>
      <c r="HC59" s="17" t="s">
        <v>870</v>
      </c>
      <c r="HD59" s="17" t="s">
        <v>870</v>
      </c>
      <c r="HE59" s="17" t="s">
        <v>870</v>
      </c>
      <c r="HF59" s="62"/>
      <c r="HG59" s="63"/>
      <c r="HH59" s="17" t="s">
        <v>870</v>
      </c>
      <c r="HI59" s="17" t="s">
        <v>870</v>
      </c>
      <c r="HJ59" s="63"/>
      <c r="HK59" s="63"/>
      <c r="HL59" s="17" t="s">
        <v>870</v>
      </c>
      <c r="HM59" s="17" t="s">
        <v>870</v>
      </c>
      <c r="HN59" s="17" t="s">
        <v>870</v>
      </c>
      <c r="HO59" s="17" t="s">
        <v>870</v>
      </c>
      <c r="HP59" s="17" t="s">
        <v>870</v>
      </c>
      <c r="HQ59" s="17" t="s">
        <v>870</v>
      </c>
      <c r="HR59" s="17" t="s">
        <v>870</v>
      </c>
      <c r="HS59" s="17" t="s">
        <v>870</v>
      </c>
      <c r="HT59" s="17" t="s">
        <v>870</v>
      </c>
      <c r="HU59" s="17" t="s">
        <v>870</v>
      </c>
      <c r="HV59" s="17" t="s">
        <v>870</v>
      </c>
      <c r="HW59" s="17" t="s">
        <v>870</v>
      </c>
      <c r="HX59" s="17" t="s">
        <v>870</v>
      </c>
      <c r="HY59" s="17" t="s">
        <v>870</v>
      </c>
      <c r="HZ59" s="17" t="s">
        <v>870</v>
      </c>
      <c r="IA59" s="17" t="s">
        <v>870</v>
      </c>
      <c r="IB59" s="17" t="s">
        <v>870</v>
      </c>
      <c r="IC59" s="17" t="s">
        <v>870</v>
      </c>
      <c r="ID59" s="72" t="s">
        <v>1552</v>
      </c>
      <c r="IE59" s="17" t="s">
        <v>870</v>
      </c>
      <c r="IF59" s="17" t="s">
        <v>870</v>
      </c>
      <c r="IG59" s="63"/>
      <c r="IH59" s="17" t="s">
        <v>870</v>
      </c>
      <c r="II59" s="17" t="s">
        <v>870</v>
      </c>
      <c r="IJ59" s="17" t="s">
        <v>870</v>
      </c>
      <c r="IK59" s="17" t="s">
        <v>870</v>
      </c>
      <c r="IL59" s="17" t="s">
        <v>870</v>
      </c>
      <c r="IM59" s="17" t="s">
        <v>870</v>
      </c>
      <c r="IN59" s="17" t="s">
        <v>870</v>
      </c>
      <c r="IO59" s="17" t="s">
        <v>870</v>
      </c>
    </row>
    <row r="60" spans="1:249" x14ac:dyDescent="0.25">
      <c r="A60" t="s">
        <v>293</v>
      </c>
      <c r="B60" s="17" t="s">
        <v>870</v>
      </c>
      <c r="C60" s="17" t="s">
        <v>870</v>
      </c>
      <c r="D60" s="17" t="s">
        <v>870</v>
      </c>
      <c r="E60" s="17" t="s">
        <v>870</v>
      </c>
      <c r="F60" s="17" t="s">
        <v>870</v>
      </c>
      <c r="G60" s="17" t="s">
        <v>870</v>
      </c>
      <c r="H60" s="17" t="s">
        <v>870</v>
      </c>
      <c r="I60" s="17" t="s">
        <v>870</v>
      </c>
      <c r="J60" s="17" t="s">
        <v>870</v>
      </c>
      <c r="K60" s="17" t="s">
        <v>870</v>
      </c>
      <c r="L60" s="17" t="s">
        <v>870</v>
      </c>
      <c r="M60" s="17" t="s">
        <v>870</v>
      </c>
      <c r="N60" s="17" t="s">
        <v>870</v>
      </c>
      <c r="O60" s="17" t="s">
        <v>870</v>
      </c>
      <c r="P60" s="17" t="s">
        <v>870</v>
      </c>
      <c r="Q60" s="17" t="s">
        <v>870</v>
      </c>
      <c r="R60" s="17" t="s">
        <v>870</v>
      </c>
      <c r="S60" s="17" t="s">
        <v>870</v>
      </c>
      <c r="T60" s="17" t="s">
        <v>870</v>
      </c>
      <c r="U60" s="17" t="s">
        <v>870</v>
      </c>
      <c r="V60" s="17" t="s">
        <v>870</v>
      </c>
      <c r="W60" s="17" t="s">
        <v>870</v>
      </c>
      <c r="X60" s="17" t="s">
        <v>870</v>
      </c>
      <c r="Y60" s="17" t="s">
        <v>870</v>
      </c>
      <c r="Z60" s="17" t="s">
        <v>870</v>
      </c>
      <c r="AA60" s="17" t="s">
        <v>870</v>
      </c>
      <c r="AB60" s="17" t="s">
        <v>870</v>
      </c>
      <c r="AC60" s="17" t="s">
        <v>870</v>
      </c>
      <c r="AD60" s="17" t="s">
        <v>870</v>
      </c>
      <c r="AE60" s="17" t="s">
        <v>870</v>
      </c>
      <c r="AF60" s="17" t="s">
        <v>870</v>
      </c>
      <c r="AG60" s="17" t="s">
        <v>870</v>
      </c>
      <c r="AH60" s="17" t="s">
        <v>870</v>
      </c>
      <c r="AI60" s="17" t="s">
        <v>870</v>
      </c>
      <c r="AJ60" s="17" t="s">
        <v>870</v>
      </c>
      <c r="AK60" s="17" t="s">
        <v>870</v>
      </c>
      <c r="AL60" s="17" t="s">
        <v>870</v>
      </c>
      <c r="AM60" s="17" t="s">
        <v>870</v>
      </c>
      <c r="AN60" s="17" t="s">
        <v>870</v>
      </c>
      <c r="AO60" s="17" t="s">
        <v>870</v>
      </c>
      <c r="AP60" s="17" t="s">
        <v>870</v>
      </c>
      <c r="AQ60" s="17" t="s">
        <v>870</v>
      </c>
      <c r="AR60" s="17" t="s">
        <v>870</v>
      </c>
      <c r="AS60" s="17" t="s">
        <v>870</v>
      </c>
      <c r="AT60" s="17" t="s">
        <v>870</v>
      </c>
      <c r="AU60" s="17" t="s">
        <v>870</v>
      </c>
      <c r="AV60" s="17" t="s">
        <v>870</v>
      </c>
      <c r="AW60" s="17" t="s">
        <v>870</v>
      </c>
      <c r="AX60" s="17" t="s">
        <v>870</v>
      </c>
      <c r="AY60" s="17" t="s">
        <v>870</v>
      </c>
      <c r="AZ60" s="17" t="s">
        <v>870</v>
      </c>
      <c r="BA60" s="17" t="s">
        <v>870</v>
      </c>
      <c r="BB60" s="17" t="s">
        <v>870</v>
      </c>
      <c r="BC60" s="17" t="s">
        <v>870</v>
      </c>
      <c r="BD60" s="17" t="s">
        <v>870</v>
      </c>
      <c r="BE60" s="17" t="s">
        <v>870</v>
      </c>
      <c r="BF60" s="17" t="s">
        <v>870</v>
      </c>
      <c r="BG60" s="17" t="s">
        <v>870</v>
      </c>
      <c r="BH60" s="17" t="s">
        <v>870</v>
      </c>
      <c r="BI60" s="17" t="s">
        <v>870</v>
      </c>
      <c r="BJ60" s="17" t="s">
        <v>870</v>
      </c>
      <c r="BK60" s="17" t="s">
        <v>870</v>
      </c>
      <c r="BL60" s="17" t="s">
        <v>870</v>
      </c>
      <c r="BM60" s="17" t="s">
        <v>870</v>
      </c>
      <c r="BN60" s="17" t="s">
        <v>870</v>
      </c>
      <c r="BO60" s="17" t="s">
        <v>870</v>
      </c>
      <c r="BP60" s="17" t="s">
        <v>870</v>
      </c>
      <c r="BQ60" s="17" t="s">
        <v>870</v>
      </c>
      <c r="BR60" s="17" t="s">
        <v>870</v>
      </c>
      <c r="BS60" s="17" t="s">
        <v>870</v>
      </c>
      <c r="BT60" s="17" t="s">
        <v>870</v>
      </c>
      <c r="BU60" s="17" t="s">
        <v>870</v>
      </c>
      <c r="BV60" s="17" t="s">
        <v>870</v>
      </c>
      <c r="BW60" s="17" t="s">
        <v>870</v>
      </c>
      <c r="BX60" s="17" t="s">
        <v>870</v>
      </c>
      <c r="BY60" s="17" t="s">
        <v>870</v>
      </c>
      <c r="BZ60" s="17" t="s">
        <v>870</v>
      </c>
      <c r="CA60" s="17" t="s">
        <v>870</v>
      </c>
      <c r="CB60" s="17" t="s">
        <v>870</v>
      </c>
      <c r="CC60" s="17" t="s">
        <v>870</v>
      </c>
      <c r="CD60" s="17" t="s">
        <v>870</v>
      </c>
      <c r="CE60" s="17" t="s">
        <v>870</v>
      </c>
      <c r="CF60" s="17" t="s">
        <v>870</v>
      </c>
      <c r="CG60" s="17" t="s">
        <v>870</v>
      </c>
      <c r="CH60" s="17" t="s">
        <v>870</v>
      </c>
      <c r="CI60" s="17" t="s">
        <v>870</v>
      </c>
      <c r="CJ60" s="17" t="s">
        <v>870</v>
      </c>
      <c r="CK60" s="17" t="s">
        <v>870</v>
      </c>
      <c r="CL60" s="17" t="s">
        <v>870</v>
      </c>
      <c r="CM60" s="17" t="s">
        <v>870</v>
      </c>
      <c r="CN60" s="17" t="s">
        <v>870</v>
      </c>
      <c r="CO60" s="17" t="s">
        <v>870</v>
      </c>
      <c r="CP60" s="17" t="s">
        <v>870</v>
      </c>
      <c r="CQ60" s="17" t="s">
        <v>870</v>
      </c>
      <c r="CR60" s="17" t="s">
        <v>870</v>
      </c>
      <c r="CS60" s="17" t="s">
        <v>870</v>
      </c>
      <c r="CT60" s="17" t="s">
        <v>870</v>
      </c>
      <c r="CU60" s="17" t="s">
        <v>870</v>
      </c>
      <c r="CV60" s="17" t="s">
        <v>870</v>
      </c>
      <c r="CW60" s="17" t="s">
        <v>870</v>
      </c>
      <c r="CX60" s="17" t="s">
        <v>870</v>
      </c>
      <c r="CY60" s="17" t="s">
        <v>870</v>
      </c>
      <c r="CZ60" s="17" t="s">
        <v>870</v>
      </c>
      <c r="DA60" s="17" t="s">
        <v>870</v>
      </c>
      <c r="DB60" s="17" t="s">
        <v>870</v>
      </c>
      <c r="DC60" s="17" t="s">
        <v>870</v>
      </c>
      <c r="DD60" s="17" t="s">
        <v>870</v>
      </c>
      <c r="DE60" s="17" t="s">
        <v>870</v>
      </c>
      <c r="DF60" s="17" t="s">
        <v>870</v>
      </c>
      <c r="DG60" s="17" t="s">
        <v>870</v>
      </c>
      <c r="DH60" s="17" t="s">
        <v>870</v>
      </c>
      <c r="DI60" s="17" t="s">
        <v>870</v>
      </c>
      <c r="DJ60" s="17" t="s">
        <v>870</v>
      </c>
      <c r="DK60" s="17" t="s">
        <v>870</v>
      </c>
      <c r="DL60" s="63"/>
      <c r="DM60" s="63"/>
      <c r="DN60" s="63"/>
      <c r="DO60" s="63"/>
      <c r="DP60" s="17" t="s">
        <v>870</v>
      </c>
      <c r="DQ60" s="17" t="s">
        <v>870</v>
      </c>
      <c r="DR60" s="17" t="s">
        <v>870</v>
      </c>
      <c r="DS60" s="17" t="s">
        <v>870</v>
      </c>
      <c r="DT60" s="17" t="s">
        <v>870</v>
      </c>
      <c r="DU60" s="17" t="s">
        <v>870</v>
      </c>
      <c r="DV60" s="17" t="s">
        <v>870</v>
      </c>
      <c r="DW60" s="17" t="s">
        <v>870</v>
      </c>
      <c r="DX60" s="17" t="s">
        <v>870</v>
      </c>
      <c r="DY60" s="17" t="s">
        <v>870</v>
      </c>
      <c r="DZ60" s="17" t="s">
        <v>870</v>
      </c>
      <c r="EA60" s="17" t="s">
        <v>870</v>
      </c>
      <c r="EB60" s="17" t="s">
        <v>870</v>
      </c>
      <c r="EC60" s="17" t="s">
        <v>870</v>
      </c>
      <c r="ED60" s="17" t="s">
        <v>870</v>
      </c>
      <c r="EE60" s="17" t="s">
        <v>870</v>
      </c>
      <c r="EF60" s="17" t="s">
        <v>870</v>
      </c>
      <c r="EG60" s="17" t="s">
        <v>870</v>
      </c>
      <c r="EH60" s="17" t="s">
        <v>870</v>
      </c>
      <c r="EI60" s="17" t="s">
        <v>870</v>
      </c>
      <c r="EJ60" s="17" t="s">
        <v>870</v>
      </c>
      <c r="EK60" s="17" t="s">
        <v>870</v>
      </c>
      <c r="EL60" s="17" t="s">
        <v>870</v>
      </c>
      <c r="EM60" s="17" t="s">
        <v>870</v>
      </c>
      <c r="EN60" s="17" t="s">
        <v>870</v>
      </c>
      <c r="EO60" s="17" t="s">
        <v>870</v>
      </c>
      <c r="EP60" s="17" t="s">
        <v>870</v>
      </c>
      <c r="EQ60" s="17" t="s">
        <v>870</v>
      </c>
      <c r="ER60" s="17" t="s">
        <v>870</v>
      </c>
      <c r="ES60" s="17" t="s">
        <v>870</v>
      </c>
      <c r="ET60" s="17" t="s">
        <v>870</v>
      </c>
      <c r="EU60" s="17" t="s">
        <v>870</v>
      </c>
      <c r="EV60" s="17" t="s">
        <v>870</v>
      </c>
      <c r="EW60" s="17" t="s">
        <v>870</v>
      </c>
      <c r="EX60" s="17" t="s">
        <v>870</v>
      </c>
      <c r="EY60" s="17" t="s">
        <v>870</v>
      </c>
      <c r="EZ60" s="17" t="s">
        <v>870</v>
      </c>
      <c r="FA60" s="17" t="s">
        <v>870</v>
      </c>
      <c r="FB60" s="17" t="s">
        <v>870</v>
      </c>
      <c r="FC60" s="17" t="s">
        <v>870</v>
      </c>
      <c r="FD60" s="17" t="s">
        <v>870</v>
      </c>
      <c r="FE60" s="17" t="s">
        <v>870</v>
      </c>
      <c r="FF60" s="17" t="s">
        <v>870</v>
      </c>
      <c r="FG60" s="17" t="s">
        <v>870</v>
      </c>
      <c r="FH60" s="17" t="s">
        <v>870</v>
      </c>
      <c r="FI60" s="17" t="s">
        <v>870</v>
      </c>
      <c r="FJ60" s="17" t="s">
        <v>870</v>
      </c>
      <c r="FK60" s="17" t="s">
        <v>870</v>
      </c>
      <c r="FL60" s="17" t="s">
        <v>870</v>
      </c>
      <c r="FM60" s="17" t="s">
        <v>870</v>
      </c>
      <c r="FN60" s="17" t="s">
        <v>870</v>
      </c>
      <c r="FO60" s="17" t="s">
        <v>870</v>
      </c>
      <c r="FP60" s="17" t="s">
        <v>870</v>
      </c>
      <c r="FQ60" s="17" t="s">
        <v>870</v>
      </c>
      <c r="FR60" s="17" t="s">
        <v>870</v>
      </c>
      <c r="FS60" s="17" t="s">
        <v>870</v>
      </c>
      <c r="FT60" s="17" t="s">
        <v>870</v>
      </c>
      <c r="FU60" s="17" t="s">
        <v>870</v>
      </c>
      <c r="FV60" s="17" t="s">
        <v>870</v>
      </c>
      <c r="FW60" s="17" t="s">
        <v>870</v>
      </c>
      <c r="FX60" s="17" t="s">
        <v>870</v>
      </c>
      <c r="FY60" s="17" t="s">
        <v>870</v>
      </c>
      <c r="FZ60" s="17" t="s">
        <v>870</v>
      </c>
      <c r="GA60" s="17" t="s">
        <v>870</v>
      </c>
      <c r="GB60" s="17" t="s">
        <v>870</v>
      </c>
      <c r="GC60" s="17" t="s">
        <v>870</v>
      </c>
      <c r="GD60" s="17" t="s">
        <v>870</v>
      </c>
      <c r="GE60" s="17" t="s">
        <v>870</v>
      </c>
      <c r="GF60" s="17" t="s">
        <v>870</v>
      </c>
      <c r="GG60" s="17" t="s">
        <v>870</v>
      </c>
      <c r="GH60" s="17" t="s">
        <v>870</v>
      </c>
      <c r="GI60" s="17" t="s">
        <v>870</v>
      </c>
      <c r="GJ60" s="17" t="s">
        <v>870</v>
      </c>
      <c r="GK60" s="17" t="s">
        <v>870</v>
      </c>
      <c r="GL60" s="17" t="s">
        <v>870</v>
      </c>
      <c r="GM60" s="17" t="s">
        <v>870</v>
      </c>
      <c r="GN60" s="17" t="s">
        <v>870</v>
      </c>
      <c r="GO60" s="17" t="s">
        <v>870</v>
      </c>
      <c r="GP60" s="17" t="s">
        <v>870</v>
      </c>
      <c r="GQ60" s="17" t="s">
        <v>870</v>
      </c>
      <c r="GR60" s="17" t="s">
        <v>870</v>
      </c>
      <c r="GS60" s="17" t="s">
        <v>870</v>
      </c>
      <c r="GT60" s="17" t="s">
        <v>870</v>
      </c>
      <c r="GU60" s="17" t="s">
        <v>870</v>
      </c>
      <c r="GV60" s="17" t="s">
        <v>870</v>
      </c>
      <c r="GW60" s="17" t="s">
        <v>870</v>
      </c>
      <c r="GX60" s="17" t="s">
        <v>870</v>
      </c>
      <c r="GY60" s="17" t="s">
        <v>870</v>
      </c>
      <c r="GZ60" s="17" t="s">
        <v>870</v>
      </c>
      <c r="HA60" s="17" t="s">
        <v>870</v>
      </c>
      <c r="HB60" s="17" t="s">
        <v>870</v>
      </c>
      <c r="HC60" s="17" t="s">
        <v>870</v>
      </c>
      <c r="HD60" s="17" t="s">
        <v>870</v>
      </c>
      <c r="HE60" s="17" t="s">
        <v>870</v>
      </c>
      <c r="HF60" s="17" t="s">
        <v>870</v>
      </c>
      <c r="HG60" s="17" t="s">
        <v>870</v>
      </c>
      <c r="HH60" s="17" t="s">
        <v>870</v>
      </c>
      <c r="HI60" s="17" t="s">
        <v>870</v>
      </c>
      <c r="HJ60" s="17" t="s">
        <v>870</v>
      </c>
      <c r="HK60" s="17" t="s">
        <v>870</v>
      </c>
      <c r="HL60" s="17" t="s">
        <v>870</v>
      </c>
      <c r="HM60" s="17" t="s">
        <v>870</v>
      </c>
      <c r="HN60" s="17" t="s">
        <v>870</v>
      </c>
      <c r="HO60" s="17" t="s">
        <v>870</v>
      </c>
      <c r="HP60" s="17" t="s">
        <v>870</v>
      </c>
      <c r="HQ60" s="17" t="s">
        <v>870</v>
      </c>
      <c r="HR60" s="17" t="s">
        <v>870</v>
      </c>
      <c r="HS60" s="17" t="s">
        <v>870</v>
      </c>
      <c r="HT60" s="17" t="s">
        <v>870</v>
      </c>
      <c r="HU60" s="17" t="s">
        <v>870</v>
      </c>
      <c r="HV60" s="17" t="s">
        <v>870</v>
      </c>
      <c r="HW60" s="17" t="s">
        <v>870</v>
      </c>
      <c r="HX60" s="17" t="s">
        <v>870</v>
      </c>
      <c r="HY60" s="17" t="s">
        <v>870</v>
      </c>
      <c r="HZ60" s="17" t="s">
        <v>870</v>
      </c>
      <c r="IA60" s="17" t="s">
        <v>870</v>
      </c>
      <c r="IB60" s="17" t="s">
        <v>870</v>
      </c>
      <c r="IC60" s="17" t="s">
        <v>870</v>
      </c>
      <c r="ID60" s="72" t="s">
        <v>1552</v>
      </c>
      <c r="IE60" s="17" t="s">
        <v>870</v>
      </c>
      <c r="IF60" s="17" t="s">
        <v>870</v>
      </c>
      <c r="IG60" s="17" t="s">
        <v>870</v>
      </c>
      <c r="IH60" s="17" t="s">
        <v>870</v>
      </c>
      <c r="II60" s="17" t="s">
        <v>870</v>
      </c>
      <c r="IJ60" s="17" t="s">
        <v>870</v>
      </c>
      <c r="IK60" s="17" t="s">
        <v>870</v>
      </c>
      <c r="IL60" s="17" t="s">
        <v>870</v>
      </c>
      <c r="IM60" s="17" t="s">
        <v>870</v>
      </c>
      <c r="IN60" s="17" t="s">
        <v>870</v>
      </c>
      <c r="IO60" s="17" t="s">
        <v>870</v>
      </c>
    </row>
    <row r="61" spans="1:249" x14ac:dyDescent="0.25">
      <c r="A61" t="s">
        <v>87</v>
      </c>
      <c r="B61" s="17" t="s">
        <v>870</v>
      </c>
      <c r="C61" s="17" t="s">
        <v>870</v>
      </c>
      <c r="D61" s="17" t="s">
        <v>870</v>
      </c>
      <c r="E61" s="17" t="s">
        <v>870</v>
      </c>
      <c r="F61" s="17" t="s">
        <v>870</v>
      </c>
      <c r="G61" s="17" t="s">
        <v>870</v>
      </c>
      <c r="H61" s="17" t="s">
        <v>870</v>
      </c>
      <c r="I61" s="17" t="s">
        <v>870</v>
      </c>
      <c r="J61" s="17" t="s">
        <v>870</v>
      </c>
      <c r="K61" s="17" t="s">
        <v>870</v>
      </c>
      <c r="L61" s="17" t="s">
        <v>870</v>
      </c>
      <c r="M61" s="17" t="s">
        <v>870</v>
      </c>
      <c r="N61" s="17" t="s">
        <v>870</v>
      </c>
      <c r="O61" s="17" t="s">
        <v>870</v>
      </c>
      <c r="P61" s="17" t="s">
        <v>870</v>
      </c>
      <c r="Q61" s="17" t="s">
        <v>870</v>
      </c>
      <c r="R61" s="17" t="s">
        <v>870</v>
      </c>
      <c r="S61" s="17" t="s">
        <v>870</v>
      </c>
      <c r="T61" s="17" t="s">
        <v>870</v>
      </c>
      <c r="U61" s="17" t="s">
        <v>870</v>
      </c>
      <c r="V61" s="17" t="s">
        <v>870</v>
      </c>
      <c r="W61" s="17" t="s">
        <v>870</v>
      </c>
      <c r="X61" s="17" t="s">
        <v>870</v>
      </c>
      <c r="Y61" s="17" t="s">
        <v>870</v>
      </c>
      <c r="Z61" s="17" t="s">
        <v>870</v>
      </c>
      <c r="AA61" s="17" t="s">
        <v>870</v>
      </c>
      <c r="AB61" s="17" t="s">
        <v>870</v>
      </c>
      <c r="AC61" s="17" t="s">
        <v>870</v>
      </c>
      <c r="AD61" s="17" t="s">
        <v>870</v>
      </c>
      <c r="AE61" s="17" t="s">
        <v>870</v>
      </c>
      <c r="AF61" s="17" t="s">
        <v>870</v>
      </c>
      <c r="AG61" s="17" t="s">
        <v>870</v>
      </c>
      <c r="AH61" s="17" t="s">
        <v>870</v>
      </c>
      <c r="AI61" s="17" t="s">
        <v>870</v>
      </c>
      <c r="AJ61" s="17" t="s">
        <v>870</v>
      </c>
      <c r="AK61" s="17" t="s">
        <v>870</v>
      </c>
      <c r="AL61" s="17" t="s">
        <v>870</v>
      </c>
      <c r="AM61" s="17" t="s">
        <v>870</v>
      </c>
      <c r="AN61" s="17" t="s">
        <v>870</v>
      </c>
      <c r="AO61" s="17" t="s">
        <v>870</v>
      </c>
      <c r="AP61" s="17" t="s">
        <v>870</v>
      </c>
      <c r="AQ61" s="17" t="s">
        <v>870</v>
      </c>
      <c r="AR61" s="17" t="s">
        <v>870</v>
      </c>
      <c r="AS61" s="17" t="s">
        <v>870</v>
      </c>
      <c r="AT61" s="17" t="s">
        <v>870</v>
      </c>
      <c r="AU61" s="17" t="s">
        <v>870</v>
      </c>
      <c r="AV61" s="17" t="s">
        <v>870</v>
      </c>
      <c r="AW61" s="17" t="s">
        <v>870</v>
      </c>
      <c r="AX61" s="17" t="s">
        <v>870</v>
      </c>
      <c r="AY61" s="17" t="s">
        <v>870</v>
      </c>
      <c r="AZ61" s="17" t="s">
        <v>870</v>
      </c>
      <c r="BA61" s="17" t="s">
        <v>870</v>
      </c>
      <c r="BB61" s="17" t="s">
        <v>870</v>
      </c>
      <c r="BC61" s="17" t="s">
        <v>870</v>
      </c>
      <c r="BD61" s="17" t="s">
        <v>870</v>
      </c>
      <c r="BE61" s="17" t="s">
        <v>870</v>
      </c>
      <c r="BF61" s="17" t="s">
        <v>870</v>
      </c>
      <c r="BG61" s="17" t="s">
        <v>870</v>
      </c>
      <c r="BH61" s="63"/>
      <c r="BI61" s="17" t="s">
        <v>870</v>
      </c>
      <c r="BJ61" s="17" t="s">
        <v>870</v>
      </c>
      <c r="BK61" s="17" t="s">
        <v>870</v>
      </c>
      <c r="BL61" s="63"/>
      <c r="BM61" s="63"/>
      <c r="BN61" s="63"/>
      <c r="BO61" s="63"/>
      <c r="BP61" s="17" t="s">
        <v>870</v>
      </c>
      <c r="BQ61" s="17" t="s">
        <v>870</v>
      </c>
      <c r="BR61" s="17" t="s">
        <v>870</v>
      </c>
      <c r="BS61" s="17" t="s">
        <v>870</v>
      </c>
      <c r="BT61" s="17" t="s">
        <v>870</v>
      </c>
      <c r="BU61" s="17" t="s">
        <v>870</v>
      </c>
      <c r="BV61" s="17" t="s">
        <v>870</v>
      </c>
      <c r="BW61" s="17" t="s">
        <v>870</v>
      </c>
      <c r="BX61" s="63"/>
      <c r="BY61" s="63"/>
      <c r="BZ61" s="63"/>
      <c r="CA61" s="63"/>
      <c r="CB61" s="17" t="s">
        <v>870</v>
      </c>
      <c r="CC61" s="17" t="s">
        <v>870</v>
      </c>
      <c r="CD61" s="17" t="s">
        <v>870</v>
      </c>
      <c r="CE61" s="17" t="s">
        <v>870</v>
      </c>
      <c r="CF61" s="63"/>
      <c r="CG61" s="63"/>
      <c r="CH61" s="63"/>
      <c r="CI61" s="63"/>
      <c r="CJ61" s="63"/>
      <c r="CK61" s="63"/>
      <c r="CL61" s="63"/>
      <c r="CM61" s="63"/>
      <c r="CN61" s="63"/>
      <c r="CO61" s="63"/>
      <c r="CP61" s="62"/>
      <c r="CQ61" s="63"/>
      <c r="CR61" s="17" t="s">
        <v>870</v>
      </c>
      <c r="CS61" s="17" t="s">
        <v>870</v>
      </c>
      <c r="CT61" s="63"/>
      <c r="CU61" s="63"/>
      <c r="CV61" s="17" t="s">
        <v>870</v>
      </c>
      <c r="CW61" s="17" t="s">
        <v>870</v>
      </c>
      <c r="CX61" s="17" t="s">
        <v>870</v>
      </c>
      <c r="CY61" s="17" t="s">
        <v>870</v>
      </c>
      <c r="CZ61" s="17" t="s">
        <v>870</v>
      </c>
      <c r="DA61" s="17" t="s">
        <v>870</v>
      </c>
      <c r="DB61" s="17" t="s">
        <v>870</v>
      </c>
      <c r="DC61" s="17" t="s">
        <v>870</v>
      </c>
      <c r="DD61" s="17" t="s">
        <v>870</v>
      </c>
      <c r="DE61" s="17" t="s">
        <v>870</v>
      </c>
      <c r="DF61" s="17" t="s">
        <v>870</v>
      </c>
      <c r="DG61" s="17" t="s">
        <v>870</v>
      </c>
      <c r="DH61" s="17" t="s">
        <v>870</v>
      </c>
      <c r="DI61" s="17" t="s">
        <v>870</v>
      </c>
      <c r="DJ61" s="17" t="s">
        <v>870</v>
      </c>
      <c r="DK61" s="17" t="s">
        <v>870</v>
      </c>
      <c r="DL61" s="17" t="s">
        <v>870</v>
      </c>
      <c r="DM61" s="17" t="s">
        <v>870</v>
      </c>
      <c r="DN61" s="17" t="s">
        <v>870</v>
      </c>
      <c r="DO61" s="17" t="s">
        <v>870</v>
      </c>
      <c r="DP61" s="17" t="s">
        <v>870</v>
      </c>
      <c r="DQ61" s="17" t="s">
        <v>870</v>
      </c>
      <c r="DR61" s="17" t="s">
        <v>870</v>
      </c>
      <c r="DS61" s="17" t="s">
        <v>870</v>
      </c>
      <c r="DT61" s="17" t="s">
        <v>870</v>
      </c>
      <c r="DU61" s="17" t="s">
        <v>870</v>
      </c>
      <c r="DV61" s="17" t="s">
        <v>870</v>
      </c>
      <c r="DW61" s="17" t="s">
        <v>870</v>
      </c>
      <c r="DX61" s="17" t="s">
        <v>870</v>
      </c>
      <c r="DY61" s="17" t="s">
        <v>870</v>
      </c>
      <c r="DZ61" s="17" t="s">
        <v>870</v>
      </c>
      <c r="EA61" s="17" t="s">
        <v>870</v>
      </c>
      <c r="EB61" s="17" t="s">
        <v>870</v>
      </c>
      <c r="EC61" s="17" t="s">
        <v>870</v>
      </c>
      <c r="ED61" s="17" t="s">
        <v>870</v>
      </c>
      <c r="EE61" s="17" t="s">
        <v>870</v>
      </c>
      <c r="EF61" s="17" t="s">
        <v>870</v>
      </c>
      <c r="EG61" s="17" t="s">
        <v>870</v>
      </c>
      <c r="EH61" s="17" t="s">
        <v>870</v>
      </c>
      <c r="EI61" s="17" t="s">
        <v>870</v>
      </c>
      <c r="EJ61" s="17" t="s">
        <v>870</v>
      </c>
      <c r="EK61" s="17" t="s">
        <v>870</v>
      </c>
      <c r="EL61" s="17" t="s">
        <v>870</v>
      </c>
      <c r="EM61" s="17" t="s">
        <v>870</v>
      </c>
      <c r="EN61" s="17" t="s">
        <v>870</v>
      </c>
      <c r="EO61" s="17" t="s">
        <v>870</v>
      </c>
      <c r="EP61" s="17" t="s">
        <v>870</v>
      </c>
      <c r="EQ61" s="17" t="s">
        <v>870</v>
      </c>
      <c r="ER61" s="17" t="s">
        <v>870</v>
      </c>
      <c r="ES61" s="17" t="s">
        <v>870</v>
      </c>
      <c r="ET61" s="17" t="s">
        <v>870</v>
      </c>
      <c r="EU61" s="17" t="s">
        <v>870</v>
      </c>
      <c r="EV61" s="17" t="s">
        <v>870</v>
      </c>
      <c r="EW61" s="17" t="s">
        <v>870</v>
      </c>
      <c r="EX61" s="17" t="s">
        <v>870</v>
      </c>
      <c r="EY61" s="17" t="s">
        <v>870</v>
      </c>
      <c r="EZ61" s="17" t="s">
        <v>870</v>
      </c>
      <c r="FA61" s="17" t="s">
        <v>870</v>
      </c>
      <c r="FB61" s="17" t="s">
        <v>870</v>
      </c>
      <c r="FC61" s="17" t="s">
        <v>870</v>
      </c>
      <c r="FD61" s="17" t="s">
        <v>870</v>
      </c>
      <c r="FE61" s="17" t="s">
        <v>870</v>
      </c>
      <c r="FF61" s="17" t="s">
        <v>870</v>
      </c>
      <c r="FG61" s="17" t="s">
        <v>870</v>
      </c>
      <c r="FH61" s="17" t="s">
        <v>870</v>
      </c>
      <c r="FI61" s="17" t="s">
        <v>870</v>
      </c>
      <c r="FJ61" s="17" t="s">
        <v>870</v>
      </c>
      <c r="FK61" s="17" t="s">
        <v>870</v>
      </c>
      <c r="FL61" s="17" t="s">
        <v>870</v>
      </c>
      <c r="FM61" s="17" t="s">
        <v>870</v>
      </c>
      <c r="FN61" s="17" t="s">
        <v>870</v>
      </c>
      <c r="FO61" s="17" t="s">
        <v>870</v>
      </c>
      <c r="FP61" s="17" t="s">
        <v>870</v>
      </c>
      <c r="FQ61" s="17" t="s">
        <v>870</v>
      </c>
      <c r="FR61" s="17" t="s">
        <v>870</v>
      </c>
      <c r="FS61" s="17" t="s">
        <v>870</v>
      </c>
      <c r="FT61" s="17" t="s">
        <v>870</v>
      </c>
      <c r="FU61" s="17" t="s">
        <v>870</v>
      </c>
      <c r="FV61" s="17" t="s">
        <v>870</v>
      </c>
      <c r="FW61" s="17" t="s">
        <v>870</v>
      </c>
      <c r="FX61" s="17" t="s">
        <v>870</v>
      </c>
      <c r="FY61" s="17" t="s">
        <v>870</v>
      </c>
      <c r="FZ61" s="17" t="s">
        <v>870</v>
      </c>
      <c r="GA61" s="17" t="s">
        <v>870</v>
      </c>
      <c r="GB61" s="17" t="s">
        <v>870</v>
      </c>
      <c r="GC61" s="17" t="s">
        <v>870</v>
      </c>
      <c r="GD61" s="17" t="s">
        <v>870</v>
      </c>
      <c r="GE61" s="17" t="s">
        <v>870</v>
      </c>
      <c r="GF61" s="17" t="s">
        <v>870</v>
      </c>
      <c r="GG61" s="17" t="s">
        <v>870</v>
      </c>
      <c r="GH61" s="17" t="s">
        <v>870</v>
      </c>
      <c r="GI61" s="17" t="s">
        <v>870</v>
      </c>
      <c r="GJ61" s="17" t="s">
        <v>870</v>
      </c>
      <c r="GK61" s="17" t="s">
        <v>870</v>
      </c>
      <c r="GL61" s="17" t="s">
        <v>870</v>
      </c>
      <c r="GM61" s="17" t="s">
        <v>870</v>
      </c>
      <c r="GN61" s="17" t="s">
        <v>870</v>
      </c>
      <c r="GO61" s="17" t="s">
        <v>870</v>
      </c>
      <c r="GP61" s="17" t="s">
        <v>870</v>
      </c>
      <c r="GQ61" s="17" t="s">
        <v>870</v>
      </c>
      <c r="GR61" s="17" t="s">
        <v>870</v>
      </c>
      <c r="GS61" s="17" t="s">
        <v>870</v>
      </c>
      <c r="GT61" s="17" t="s">
        <v>870</v>
      </c>
      <c r="GU61" s="17" t="s">
        <v>870</v>
      </c>
      <c r="GV61" s="17" t="s">
        <v>870</v>
      </c>
      <c r="GW61" s="17" t="s">
        <v>870</v>
      </c>
      <c r="GX61" s="17" t="s">
        <v>870</v>
      </c>
      <c r="GY61" s="17" t="s">
        <v>870</v>
      </c>
      <c r="GZ61" s="17" t="s">
        <v>870</v>
      </c>
      <c r="HA61" s="17" t="s">
        <v>870</v>
      </c>
      <c r="HB61" s="17" t="s">
        <v>870</v>
      </c>
      <c r="HC61" s="17" t="s">
        <v>870</v>
      </c>
      <c r="HD61" s="17" t="s">
        <v>870</v>
      </c>
      <c r="HE61" s="17" t="s">
        <v>870</v>
      </c>
      <c r="HF61" s="17" t="s">
        <v>870</v>
      </c>
      <c r="HG61" s="17" t="s">
        <v>870</v>
      </c>
      <c r="HH61" s="17" t="s">
        <v>870</v>
      </c>
      <c r="HI61" s="17" t="s">
        <v>870</v>
      </c>
      <c r="HJ61" s="17" t="s">
        <v>870</v>
      </c>
      <c r="HK61" s="17" t="s">
        <v>870</v>
      </c>
      <c r="HL61" s="17" t="s">
        <v>870</v>
      </c>
      <c r="HM61" s="17" t="s">
        <v>870</v>
      </c>
      <c r="HN61" s="17" t="s">
        <v>870</v>
      </c>
      <c r="HO61" s="17" t="s">
        <v>870</v>
      </c>
      <c r="HP61" s="17" t="s">
        <v>870</v>
      </c>
      <c r="HQ61" s="17" t="s">
        <v>870</v>
      </c>
      <c r="HR61" s="17" t="s">
        <v>870</v>
      </c>
      <c r="HS61" s="17" t="s">
        <v>870</v>
      </c>
      <c r="HT61" s="17" t="s">
        <v>870</v>
      </c>
      <c r="HU61" s="17" t="s">
        <v>870</v>
      </c>
      <c r="HV61" s="17" t="s">
        <v>870</v>
      </c>
      <c r="HW61" s="17" t="s">
        <v>870</v>
      </c>
      <c r="HX61" s="17" t="s">
        <v>870</v>
      </c>
      <c r="HY61" s="17" t="s">
        <v>870</v>
      </c>
      <c r="HZ61" s="17" t="s">
        <v>870</v>
      </c>
      <c r="IA61" s="17" t="s">
        <v>870</v>
      </c>
      <c r="IB61" s="17" t="s">
        <v>870</v>
      </c>
      <c r="IC61" s="17" t="s">
        <v>870</v>
      </c>
      <c r="ID61" s="72" t="s">
        <v>1552</v>
      </c>
      <c r="IE61" s="17" t="s">
        <v>870</v>
      </c>
      <c r="IF61" s="17" t="s">
        <v>870</v>
      </c>
      <c r="IG61" s="17" t="s">
        <v>870</v>
      </c>
      <c r="IH61" s="17" t="s">
        <v>870</v>
      </c>
      <c r="II61" s="17" t="s">
        <v>870</v>
      </c>
      <c r="IJ61" s="17" t="s">
        <v>870</v>
      </c>
      <c r="IK61" s="17" t="s">
        <v>870</v>
      </c>
      <c r="IL61" s="17" t="s">
        <v>870</v>
      </c>
      <c r="IM61" s="17" t="s">
        <v>870</v>
      </c>
      <c r="IN61" s="17" t="s">
        <v>870</v>
      </c>
      <c r="IO61" s="17" t="s">
        <v>870</v>
      </c>
    </row>
    <row r="62" spans="1:249" x14ac:dyDescent="0.25">
      <c r="A62" t="s">
        <v>436</v>
      </c>
      <c r="B62" s="17" t="s">
        <v>870</v>
      </c>
      <c r="C62" s="17" t="s">
        <v>870</v>
      </c>
      <c r="D62" s="17" t="s">
        <v>870</v>
      </c>
      <c r="E62" s="17" t="s">
        <v>870</v>
      </c>
      <c r="F62" s="17" t="s">
        <v>870</v>
      </c>
      <c r="G62" s="17" t="s">
        <v>870</v>
      </c>
      <c r="H62" s="17" t="s">
        <v>870</v>
      </c>
      <c r="I62" s="17" t="s">
        <v>870</v>
      </c>
      <c r="J62" s="17" t="s">
        <v>870</v>
      </c>
      <c r="K62" s="17" t="s">
        <v>870</v>
      </c>
      <c r="L62" s="17" t="s">
        <v>870</v>
      </c>
      <c r="M62" s="17" t="s">
        <v>870</v>
      </c>
      <c r="N62" s="17" t="s">
        <v>870</v>
      </c>
      <c r="O62" s="17" t="s">
        <v>870</v>
      </c>
      <c r="P62" s="17" t="s">
        <v>870</v>
      </c>
      <c r="Q62" s="17" t="s">
        <v>870</v>
      </c>
      <c r="R62" s="17" t="s">
        <v>870</v>
      </c>
      <c r="S62" s="17" t="s">
        <v>870</v>
      </c>
      <c r="T62" s="17" t="s">
        <v>870</v>
      </c>
      <c r="U62" s="17" t="s">
        <v>870</v>
      </c>
      <c r="V62" s="17" t="s">
        <v>870</v>
      </c>
      <c r="W62" s="17" t="s">
        <v>870</v>
      </c>
      <c r="X62" s="17" t="s">
        <v>870</v>
      </c>
      <c r="Y62" s="17" t="s">
        <v>870</v>
      </c>
      <c r="Z62" s="17" t="s">
        <v>870</v>
      </c>
      <c r="AA62" s="17" t="s">
        <v>870</v>
      </c>
      <c r="AB62" s="17" t="s">
        <v>870</v>
      </c>
      <c r="AC62" s="17" t="s">
        <v>870</v>
      </c>
      <c r="AD62" s="17" t="s">
        <v>870</v>
      </c>
      <c r="AE62" s="17" t="s">
        <v>870</v>
      </c>
      <c r="AF62" s="17" t="s">
        <v>870</v>
      </c>
      <c r="AG62" s="17" t="s">
        <v>870</v>
      </c>
      <c r="AH62" s="17" t="s">
        <v>870</v>
      </c>
      <c r="AI62" s="17" t="s">
        <v>870</v>
      </c>
      <c r="AJ62" s="17" t="s">
        <v>870</v>
      </c>
      <c r="AK62" s="17" t="s">
        <v>870</v>
      </c>
      <c r="AL62" s="17" t="s">
        <v>870</v>
      </c>
      <c r="AM62" s="17" t="s">
        <v>870</v>
      </c>
      <c r="AN62" s="17" t="s">
        <v>870</v>
      </c>
      <c r="AO62" s="17" t="s">
        <v>870</v>
      </c>
      <c r="AP62" s="17" t="s">
        <v>870</v>
      </c>
      <c r="AQ62" s="17" t="s">
        <v>870</v>
      </c>
      <c r="AR62" s="17" t="s">
        <v>870</v>
      </c>
      <c r="AS62" s="17" t="s">
        <v>870</v>
      </c>
      <c r="AT62" s="17" t="s">
        <v>870</v>
      </c>
      <c r="AU62" s="17" t="s">
        <v>870</v>
      </c>
      <c r="AV62" s="17" t="s">
        <v>870</v>
      </c>
      <c r="AW62" s="17" t="s">
        <v>870</v>
      </c>
      <c r="AX62" s="17" t="s">
        <v>870</v>
      </c>
      <c r="AY62" s="17" t="s">
        <v>870</v>
      </c>
      <c r="AZ62" s="17" t="s">
        <v>870</v>
      </c>
      <c r="BA62" s="17" t="s">
        <v>870</v>
      </c>
      <c r="BB62" s="17" t="s">
        <v>870</v>
      </c>
      <c r="BC62" s="17" t="s">
        <v>870</v>
      </c>
      <c r="BD62" s="17" t="s">
        <v>870</v>
      </c>
      <c r="BE62" s="17" t="s">
        <v>870</v>
      </c>
      <c r="BF62" s="17" t="s">
        <v>870</v>
      </c>
      <c r="BG62" s="17" t="s">
        <v>870</v>
      </c>
      <c r="BH62" s="17" t="s">
        <v>870</v>
      </c>
      <c r="BI62" s="17" t="s">
        <v>870</v>
      </c>
      <c r="BJ62" s="17" t="s">
        <v>870</v>
      </c>
      <c r="BK62" s="17" t="s">
        <v>870</v>
      </c>
      <c r="BL62" s="17" t="s">
        <v>870</v>
      </c>
      <c r="BM62" s="17" t="s">
        <v>870</v>
      </c>
      <c r="BN62" s="17" t="s">
        <v>870</v>
      </c>
      <c r="BO62" s="17" t="s">
        <v>870</v>
      </c>
      <c r="BP62" s="17" t="s">
        <v>870</v>
      </c>
      <c r="BQ62" s="17" t="s">
        <v>870</v>
      </c>
      <c r="BR62" s="17" t="s">
        <v>870</v>
      </c>
      <c r="BS62" s="17" t="s">
        <v>870</v>
      </c>
      <c r="BT62" s="17" t="s">
        <v>870</v>
      </c>
      <c r="BU62" s="17" t="s">
        <v>870</v>
      </c>
      <c r="BV62" s="17" t="s">
        <v>870</v>
      </c>
      <c r="BW62" s="17" t="s">
        <v>870</v>
      </c>
      <c r="BX62" s="17" t="s">
        <v>870</v>
      </c>
      <c r="BY62" s="17" t="s">
        <v>870</v>
      </c>
      <c r="BZ62" s="17" t="s">
        <v>870</v>
      </c>
      <c r="CA62" s="17" t="s">
        <v>870</v>
      </c>
      <c r="CB62" s="17" t="s">
        <v>870</v>
      </c>
      <c r="CC62" s="17" t="s">
        <v>870</v>
      </c>
      <c r="CD62" s="17" t="s">
        <v>870</v>
      </c>
      <c r="CE62" s="17" t="s">
        <v>870</v>
      </c>
      <c r="CF62" s="17" t="s">
        <v>870</v>
      </c>
      <c r="CG62" s="17" t="s">
        <v>870</v>
      </c>
      <c r="CH62" s="17" t="s">
        <v>870</v>
      </c>
      <c r="CI62" s="17" t="s">
        <v>870</v>
      </c>
      <c r="CJ62" s="17" t="s">
        <v>870</v>
      </c>
      <c r="CK62" s="17" t="s">
        <v>870</v>
      </c>
      <c r="CL62" s="17" t="s">
        <v>870</v>
      </c>
      <c r="CM62" s="17" t="s">
        <v>870</v>
      </c>
      <c r="CN62" s="17" t="s">
        <v>870</v>
      </c>
      <c r="CO62" s="17" t="s">
        <v>870</v>
      </c>
      <c r="CP62" s="17" t="s">
        <v>870</v>
      </c>
      <c r="CQ62" s="17" t="s">
        <v>870</v>
      </c>
      <c r="CR62" s="17" t="s">
        <v>870</v>
      </c>
      <c r="CS62" s="17" t="s">
        <v>870</v>
      </c>
      <c r="CT62" s="17" t="s">
        <v>870</v>
      </c>
      <c r="CU62" s="17" t="s">
        <v>870</v>
      </c>
      <c r="CV62" s="17" t="s">
        <v>870</v>
      </c>
      <c r="CW62" s="17" t="s">
        <v>870</v>
      </c>
      <c r="CX62" s="17" t="s">
        <v>870</v>
      </c>
      <c r="CY62" s="17" t="s">
        <v>870</v>
      </c>
      <c r="CZ62" s="17" t="s">
        <v>870</v>
      </c>
      <c r="DA62" s="17" t="s">
        <v>870</v>
      </c>
      <c r="DB62" s="17" t="s">
        <v>870</v>
      </c>
      <c r="DC62" s="17" t="s">
        <v>870</v>
      </c>
      <c r="DD62" s="17" t="s">
        <v>870</v>
      </c>
      <c r="DE62" s="17" t="s">
        <v>870</v>
      </c>
      <c r="DF62" s="17" t="s">
        <v>870</v>
      </c>
      <c r="DG62" s="17" t="s">
        <v>870</v>
      </c>
      <c r="DH62" s="17" t="s">
        <v>870</v>
      </c>
      <c r="DI62" s="17" t="s">
        <v>870</v>
      </c>
      <c r="DJ62" s="17" t="s">
        <v>870</v>
      </c>
      <c r="DK62" s="17" t="s">
        <v>870</v>
      </c>
      <c r="DL62" s="17" t="s">
        <v>870</v>
      </c>
      <c r="DM62" s="17" t="s">
        <v>870</v>
      </c>
      <c r="DN62" s="17" t="s">
        <v>870</v>
      </c>
      <c r="DO62" s="17" t="s">
        <v>870</v>
      </c>
      <c r="DP62" s="17" t="s">
        <v>870</v>
      </c>
      <c r="DQ62" s="17" t="s">
        <v>870</v>
      </c>
      <c r="DR62" s="17" t="s">
        <v>870</v>
      </c>
      <c r="DS62" s="17" t="s">
        <v>870</v>
      </c>
      <c r="DT62" s="17" t="s">
        <v>870</v>
      </c>
      <c r="DU62" s="17" t="s">
        <v>870</v>
      </c>
      <c r="DV62" s="17" t="s">
        <v>870</v>
      </c>
      <c r="DW62" s="17" t="s">
        <v>870</v>
      </c>
      <c r="DX62" s="17" t="s">
        <v>870</v>
      </c>
      <c r="DY62" s="17" t="s">
        <v>870</v>
      </c>
      <c r="DZ62" s="17" t="s">
        <v>870</v>
      </c>
      <c r="EA62" s="17" t="s">
        <v>870</v>
      </c>
      <c r="EB62" s="17" t="s">
        <v>870</v>
      </c>
      <c r="EC62" s="17" t="s">
        <v>870</v>
      </c>
      <c r="ED62" s="17" t="s">
        <v>870</v>
      </c>
      <c r="EE62" s="17" t="s">
        <v>870</v>
      </c>
      <c r="EF62" s="17" t="s">
        <v>870</v>
      </c>
      <c r="EG62" s="17" t="s">
        <v>870</v>
      </c>
      <c r="EH62" s="17" t="s">
        <v>870</v>
      </c>
      <c r="EI62" s="17" t="s">
        <v>870</v>
      </c>
      <c r="EJ62" s="17" t="s">
        <v>870</v>
      </c>
      <c r="EK62" s="17" t="s">
        <v>870</v>
      </c>
      <c r="EL62" s="17" t="s">
        <v>870</v>
      </c>
      <c r="EM62" s="17" t="s">
        <v>870</v>
      </c>
      <c r="EN62" s="17" t="s">
        <v>870</v>
      </c>
      <c r="EO62" s="17" t="s">
        <v>870</v>
      </c>
      <c r="EP62" s="17" t="s">
        <v>870</v>
      </c>
      <c r="EQ62" s="17" t="s">
        <v>870</v>
      </c>
      <c r="ER62" s="17" t="s">
        <v>870</v>
      </c>
      <c r="ES62" s="17" t="s">
        <v>870</v>
      </c>
      <c r="ET62" s="17" t="s">
        <v>870</v>
      </c>
      <c r="EU62" s="17" t="s">
        <v>870</v>
      </c>
      <c r="EV62" s="17" t="s">
        <v>870</v>
      </c>
      <c r="EW62" s="17" t="s">
        <v>870</v>
      </c>
      <c r="EX62" s="17" t="s">
        <v>870</v>
      </c>
      <c r="EY62" s="17" t="s">
        <v>870</v>
      </c>
      <c r="EZ62" s="17" t="s">
        <v>870</v>
      </c>
      <c r="FA62" s="17" t="s">
        <v>870</v>
      </c>
      <c r="FB62" s="17" t="s">
        <v>870</v>
      </c>
      <c r="FC62" s="17" t="s">
        <v>870</v>
      </c>
      <c r="FD62" s="17" t="s">
        <v>870</v>
      </c>
      <c r="FE62" s="17" t="s">
        <v>870</v>
      </c>
      <c r="FF62" s="17" t="s">
        <v>870</v>
      </c>
      <c r="FG62" s="17" t="s">
        <v>870</v>
      </c>
      <c r="FH62" s="17" t="s">
        <v>870</v>
      </c>
      <c r="FI62" s="17" t="s">
        <v>870</v>
      </c>
      <c r="FJ62" s="17" t="s">
        <v>870</v>
      </c>
      <c r="FK62" s="17" t="s">
        <v>870</v>
      </c>
      <c r="FL62" s="63"/>
      <c r="FM62" s="63"/>
      <c r="FN62" s="63"/>
      <c r="FO62" s="63"/>
      <c r="FP62" s="17" t="s">
        <v>870</v>
      </c>
      <c r="FQ62" s="17" t="s">
        <v>870</v>
      </c>
      <c r="FR62" s="17" t="s">
        <v>870</v>
      </c>
      <c r="FS62" s="17" t="s">
        <v>870</v>
      </c>
      <c r="FT62" s="17" t="s">
        <v>870</v>
      </c>
      <c r="FU62" s="17" t="s">
        <v>870</v>
      </c>
      <c r="FV62" s="17" t="s">
        <v>870</v>
      </c>
      <c r="FW62" s="17" t="s">
        <v>870</v>
      </c>
      <c r="FX62" s="17" t="s">
        <v>870</v>
      </c>
      <c r="FY62" s="63"/>
      <c r="FZ62" s="63"/>
      <c r="GA62" s="63"/>
      <c r="GB62" s="17" t="s">
        <v>870</v>
      </c>
      <c r="GC62" s="17" t="s">
        <v>870</v>
      </c>
      <c r="GD62" s="17" t="s">
        <v>870</v>
      </c>
      <c r="GE62" s="17" t="s">
        <v>870</v>
      </c>
      <c r="GF62" s="17" t="s">
        <v>870</v>
      </c>
      <c r="GG62" s="17" t="s">
        <v>870</v>
      </c>
      <c r="GH62" s="17" t="s">
        <v>870</v>
      </c>
      <c r="GI62" s="17" t="s">
        <v>870</v>
      </c>
      <c r="GJ62" s="17" t="s">
        <v>870</v>
      </c>
      <c r="GK62" s="17" t="s">
        <v>870</v>
      </c>
      <c r="GL62" s="17" t="s">
        <v>870</v>
      </c>
      <c r="GM62" s="17" t="s">
        <v>870</v>
      </c>
      <c r="GN62" s="17" t="s">
        <v>870</v>
      </c>
      <c r="GO62" s="17" t="s">
        <v>870</v>
      </c>
      <c r="GP62" s="17" t="s">
        <v>870</v>
      </c>
      <c r="GQ62" s="17" t="s">
        <v>870</v>
      </c>
      <c r="GR62" s="17" t="s">
        <v>870</v>
      </c>
      <c r="GS62" s="17" t="s">
        <v>870</v>
      </c>
      <c r="GT62" s="17" t="s">
        <v>870</v>
      </c>
      <c r="GU62" s="17" t="s">
        <v>870</v>
      </c>
      <c r="GV62" s="17" t="s">
        <v>870</v>
      </c>
      <c r="GW62" s="17" t="s">
        <v>870</v>
      </c>
      <c r="GX62" s="17" t="s">
        <v>870</v>
      </c>
      <c r="GY62" s="17" t="s">
        <v>870</v>
      </c>
      <c r="GZ62" s="17" t="s">
        <v>870</v>
      </c>
      <c r="HA62" s="17" t="s">
        <v>870</v>
      </c>
      <c r="HB62" s="17" t="s">
        <v>870</v>
      </c>
      <c r="HC62" s="17" t="s">
        <v>870</v>
      </c>
      <c r="HD62" s="17" t="s">
        <v>870</v>
      </c>
      <c r="HE62" s="17" t="s">
        <v>870</v>
      </c>
      <c r="HF62" s="17" t="s">
        <v>870</v>
      </c>
      <c r="HG62" s="17" t="s">
        <v>870</v>
      </c>
      <c r="HH62" s="17" t="s">
        <v>870</v>
      </c>
      <c r="HI62" s="17" t="s">
        <v>870</v>
      </c>
      <c r="HJ62" s="17" t="s">
        <v>870</v>
      </c>
      <c r="HK62" s="17" t="s">
        <v>870</v>
      </c>
      <c r="HL62" s="17" t="s">
        <v>870</v>
      </c>
      <c r="HM62" s="17" t="s">
        <v>870</v>
      </c>
      <c r="HN62" s="17" t="s">
        <v>870</v>
      </c>
      <c r="HO62" s="17" t="s">
        <v>870</v>
      </c>
      <c r="HP62" s="63"/>
      <c r="HQ62" s="63"/>
      <c r="HR62" s="17" t="s">
        <v>870</v>
      </c>
      <c r="HS62" s="17" t="s">
        <v>870</v>
      </c>
      <c r="HT62" s="63"/>
      <c r="HU62" s="63"/>
      <c r="HV62" s="17" t="s">
        <v>870</v>
      </c>
      <c r="HW62" s="17" t="s">
        <v>870</v>
      </c>
      <c r="HX62" s="17" t="s">
        <v>870</v>
      </c>
      <c r="HY62" s="17" t="s">
        <v>870</v>
      </c>
      <c r="HZ62" s="17" t="s">
        <v>870</v>
      </c>
      <c r="IA62" s="17" t="s">
        <v>870</v>
      </c>
      <c r="IB62" s="17" t="s">
        <v>870</v>
      </c>
      <c r="IC62" s="17" t="s">
        <v>870</v>
      </c>
      <c r="ID62" s="72" t="s">
        <v>1552</v>
      </c>
      <c r="IE62" s="17" t="s">
        <v>870</v>
      </c>
      <c r="IF62" s="17" t="s">
        <v>870</v>
      </c>
      <c r="IG62" s="17" t="s">
        <v>870</v>
      </c>
      <c r="IH62" s="17" t="s">
        <v>870</v>
      </c>
      <c r="II62" s="17" t="s">
        <v>870</v>
      </c>
      <c r="IJ62" s="17" t="s">
        <v>870</v>
      </c>
      <c r="IK62" s="17" t="s">
        <v>870</v>
      </c>
      <c r="IL62" s="17" t="s">
        <v>870</v>
      </c>
      <c r="IM62" s="17" t="s">
        <v>870</v>
      </c>
      <c r="IN62" s="17" t="s">
        <v>870</v>
      </c>
      <c r="IO62" s="17" t="s">
        <v>870</v>
      </c>
    </row>
    <row r="63" spans="1:249" x14ac:dyDescent="0.25">
      <c r="A63" t="s">
        <v>250</v>
      </c>
      <c r="B63" s="17" t="s">
        <v>870</v>
      </c>
      <c r="C63" s="17" t="s">
        <v>870</v>
      </c>
      <c r="D63" s="17" t="s">
        <v>870</v>
      </c>
      <c r="E63" s="17" t="s">
        <v>870</v>
      </c>
      <c r="F63" s="17" t="s">
        <v>870</v>
      </c>
      <c r="G63" s="17" t="s">
        <v>870</v>
      </c>
      <c r="H63" s="17" t="s">
        <v>870</v>
      </c>
      <c r="I63" s="17" t="s">
        <v>870</v>
      </c>
      <c r="J63" s="17" t="s">
        <v>870</v>
      </c>
      <c r="K63" s="17" t="s">
        <v>870</v>
      </c>
      <c r="L63" s="17" t="s">
        <v>870</v>
      </c>
      <c r="M63" s="17" t="s">
        <v>870</v>
      </c>
      <c r="N63" s="17" t="s">
        <v>870</v>
      </c>
      <c r="O63" s="17" t="s">
        <v>870</v>
      </c>
      <c r="P63" s="17" t="s">
        <v>870</v>
      </c>
      <c r="Q63" s="17" t="s">
        <v>870</v>
      </c>
      <c r="R63" s="17" t="s">
        <v>870</v>
      </c>
      <c r="S63" s="17" t="s">
        <v>870</v>
      </c>
      <c r="T63" s="17" t="s">
        <v>870</v>
      </c>
      <c r="U63" s="17" t="s">
        <v>870</v>
      </c>
      <c r="V63" s="17" t="s">
        <v>870</v>
      </c>
      <c r="W63" s="17" t="s">
        <v>870</v>
      </c>
      <c r="X63" s="17" t="s">
        <v>870</v>
      </c>
      <c r="Y63" s="17" t="s">
        <v>870</v>
      </c>
      <c r="Z63" s="17" t="s">
        <v>870</v>
      </c>
      <c r="AA63" s="17" t="s">
        <v>870</v>
      </c>
      <c r="AB63" s="17" t="s">
        <v>870</v>
      </c>
      <c r="AC63" s="17" t="s">
        <v>870</v>
      </c>
      <c r="AD63" s="17" t="s">
        <v>870</v>
      </c>
      <c r="AE63" s="17" t="s">
        <v>870</v>
      </c>
      <c r="AF63" s="17" t="s">
        <v>870</v>
      </c>
      <c r="AG63" s="17" t="s">
        <v>870</v>
      </c>
      <c r="AH63" s="17" t="s">
        <v>870</v>
      </c>
      <c r="AI63" s="17" t="s">
        <v>870</v>
      </c>
      <c r="AJ63" s="17" t="s">
        <v>870</v>
      </c>
      <c r="AK63" s="17" t="s">
        <v>870</v>
      </c>
      <c r="AL63" s="17" t="s">
        <v>870</v>
      </c>
      <c r="AM63" s="17" t="s">
        <v>870</v>
      </c>
      <c r="AN63" s="17" t="s">
        <v>870</v>
      </c>
      <c r="AO63" s="17" t="s">
        <v>870</v>
      </c>
      <c r="AP63" s="17" t="s">
        <v>870</v>
      </c>
      <c r="AQ63" s="17" t="s">
        <v>870</v>
      </c>
      <c r="AR63" s="17" t="s">
        <v>870</v>
      </c>
      <c r="AS63" s="17" t="s">
        <v>870</v>
      </c>
      <c r="AT63" s="17" t="s">
        <v>870</v>
      </c>
      <c r="AU63" s="17" t="s">
        <v>870</v>
      </c>
      <c r="AV63" s="17" t="s">
        <v>870</v>
      </c>
      <c r="AW63" s="17" t="s">
        <v>870</v>
      </c>
      <c r="AX63" s="17" t="s">
        <v>870</v>
      </c>
      <c r="AY63" s="17" t="s">
        <v>870</v>
      </c>
      <c r="AZ63" s="17" t="s">
        <v>870</v>
      </c>
      <c r="BA63" s="17" t="s">
        <v>870</v>
      </c>
      <c r="BB63" s="17" t="s">
        <v>870</v>
      </c>
      <c r="BC63" s="17" t="s">
        <v>870</v>
      </c>
      <c r="BD63" s="17" t="s">
        <v>870</v>
      </c>
      <c r="BE63" s="17" t="s">
        <v>870</v>
      </c>
      <c r="BF63" s="17" t="s">
        <v>870</v>
      </c>
      <c r="BG63" s="17" t="s">
        <v>870</v>
      </c>
      <c r="BH63" s="17" t="s">
        <v>870</v>
      </c>
      <c r="BI63" s="17" t="s">
        <v>870</v>
      </c>
      <c r="BJ63" s="17" t="s">
        <v>870</v>
      </c>
      <c r="BK63" s="17" t="s">
        <v>870</v>
      </c>
      <c r="BL63" s="17" t="s">
        <v>870</v>
      </c>
      <c r="BM63" s="17" t="s">
        <v>870</v>
      </c>
      <c r="BN63" s="17" t="s">
        <v>870</v>
      </c>
      <c r="BO63" s="17" t="s">
        <v>870</v>
      </c>
      <c r="BP63" s="17" t="s">
        <v>870</v>
      </c>
      <c r="BQ63" s="17" t="s">
        <v>870</v>
      </c>
      <c r="BR63" s="17" t="s">
        <v>870</v>
      </c>
      <c r="BS63" s="17" t="s">
        <v>870</v>
      </c>
      <c r="BT63" s="17" t="s">
        <v>870</v>
      </c>
      <c r="BU63" s="17" t="s">
        <v>870</v>
      </c>
      <c r="BV63" s="17" t="s">
        <v>870</v>
      </c>
      <c r="BW63" s="17" t="s">
        <v>870</v>
      </c>
      <c r="BX63" s="17" t="s">
        <v>870</v>
      </c>
      <c r="BY63" s="17" t="s">
        <v>870</v>
      </c>
      <c r="BZ63" s="17" t="s">
        <v>870</v>
      </c>
      <c r="CA63" s="17" t="s">
        <v>870</v>
      </c>
      <c r="CB63" s="17" t="s">
        <v>870</v>
      </c>
      <c r="CC63" s="17" t="s">
        <v>870</v>
      </c>
      <c r="CD63" s="17" t="s">
        <v>870</v>
      </c>
      <c r="CE63" s="17" t="s">
        <v>870</v>
      </c>
      <c r="CF63" s="17" t="s">
        <v>870</v>
      </c>
      <c r="CG63" s="17" t="s">
        <v>870</v>
      </c>
      <c r="CH63" s="17" t="s">
        <v>870</v>
      </c>
      <c r="CI63" s="17" t="s">
        <v>870</v>
      </c>
      <c r="CJ63" s="17" t="s">
        <v>870</v>
      </c>
      <c r="CK63" s="17" t="s">
        <v>870</v>
      </c>
      <c r="CL63" s="17" t="s">
        <v>870</v>
      </c>
      <c r="CM63" s="17" t="s">
        <v>870</v>
      </c>
      <c r="CN63" s="17" t="s">
        <v>870</v>
      </c>
      <c r="CO63" s="17" t="s">
        <v>870</v>
      </c>
      <c r="CP63" s="17" t="s">
        <v>870</v>
      </c>
      <c r="CQ63" s="17" t="s">
        <v>870</v>
      </c>
      <c r="CR63" s="63"/>
      <c r="CS63" s="17" t="s">
        <v>870</v>
      </c>
      <c r="CT63" s="17" t="s">
        <v>870</v>
      </c>
      <c r="CU63" s="17" t="s">
        <v>870</v>
      </c>
      <c r="CV63" s="17" t="s">
        <v>870</v>
      </c>
      <c r="CW63" s="17" t="s">
        <v>870</v>
      </c>
      <c r="CX63" s="17" t="s">
        <v>870</v>
      </c>
      <c r="CY63" s="17" t="s">
        <v>870</v>
      </c>
      <c r="CZ63" s="17" t="s">
        <v>870</v>
      </c>
      <c r="DA63" s="17" t="s">
        <v>870</v>
      </c>
      <c r="DB63" s="17" t="s">
        <v>870</v>
      </c>
      <c r="DC63" s="17" t="s">
        <v>870</v>
      </c>
      <c r="DD63" s="17" t="s">
        <v>870</v>
      </c>
      <c r="DE63" s="17" t="s">
        <v>870</v>
      </c>
      <c r="DF63" s="17" t="s">
        <v>870</v>
      </c>
      <c r="DG63" s="17" t="s">
        <v>870</v>
      </c>
      <c r="DH63" s="17" t="s">
        <v>870</v>
      </c>
      <c r="DI63" s="17" t="s">
        <v>870</v>
      </c>
      <c r="DJ63" s="17" t="s">
        <v>870</v>
      </c>
      <c r="DK63" s="17" t="s">
        <v>870</v>
      </c>
      <c r="DL63" s="17" t="s">
        <v>870</v>
      </c>
      <c r="DM63" s="17" t="s">
        <v>870</v>
      </c>
      <c r="DN63" s="17" t="s">
        <v>870</v>
      </c>
      <c r="DO63" s="17" t="s">
        <v>870</v>
      </c>
      <c r="DP63" s="17" t="s">
        <v>870</v>
      </c>
      <c r="DQ63" s="17" t="s">
        <v>870</v>
      </c>
      <c r="DR63" s="17" t="s">
        <v>870</v>
      </c>
      <c r="DS63" s="17" t="s">
        <v>870</v>
      </c>
      <c r="DT63" s="17" t="s">
        <v>870</v>
      </c>
      <c r="DU63" s="17" t="s">
        <v>870</v>
      </c>
      <c r="DV63" s="17" t="s">
        <v>870</v>
      </c>
      <c r="DW63" s="17" t="s">
        <v>870</v>
      </c>
      <c r="DX63" s="17" t="s">
        <v>870</v>
      </c>
      <c r="DY63" s="17" t="s">
        <v>870</v>
      </c>
      <c r="DZ63" s="17" t="s">
        <v>870</v>
      </c>
      <c r="EA63" s="17" t="s">
        <v>870</v>
      </c>
      <c r="EB63" s="17" t="s">
        <v>870</v>
      </c>
      <c r="EC63" s="17" t="s">
        <v>870</v>
      </c>
      <c r="ED63" s="17" t="s">
        <v>870</v>
      </c>
      <c r="EE63" s="17" t="s">
        <v>870</v>
      </c>
      <c r="EF63" s="17" t="s">
        <v>870</v>
      </c>
      <c r="EG63" s="17" t="s">
        <v>870</v>
      </c>
      <c r="EH63" s="17" t="s">
        <v>870</v>
      </c>
      <c r="EI63" s="17" t="s">
        <v>870</v>
      </c>
      <c r="EJ63" s="17" t="s">
        <v>870</v>
      </c>
      <c r="EK63" s="17" t="s">
        <v>870</v>
      </c>
      <c r="EL63" s="17" t="s">
        <v>870</v>
      </c>
      <c r="EM63" s="17" t="s">
        <v>870</v>
      </c>
      <c r="EN63" s="17" t="s">
        <v>870</v>
      </c>
      <c r="EO63" s="17" t="s">
        <v>870</v>
      </c>
      <c r="EP63" s="17" t="s">
        <v>870</v>
      </c>
      <c r="EQ63" s="17" t="s">
        <v>870</v>
      </c>
      <c r="ER63" s="17" t="s">
        <v>870</v>
      </c>
      <c r="ES63" s="17" t="s">
        <v>870</v>
      </c>
      <c r="ET63" s="17" t="s">
        <v>870</v>
      </c>
      <c r="EU63" s="17" t="s">
        <v>870</v>
      </c>
      <c r="EV63" s="17" t="s">
        <v>870</v>
      </c>
      <c r="EW63" s="17" t="s">
        <v>870</v>
      </c>
      <c r="EX63" s="17" t="s">
        <v>870</v>
      </c>
      <c r="EY63" s="17" t="s">
        <v>870</v>
      </c>
      <c r="EZ63" s="17" t="s">
        <v>870</v>
      </c>
      <c r="FA63" s="17" t="s">
        <v>870</v>
      </c>
      <c r="FB63" s="17" t="s">
        <v>870</v>
      </c>
      <c r="FC63" s="17" t="s">
        <v>870</v>
      </c>
      <c r="FD63" s="17" t="s">
        <v>870</v>
      </c>
      <c r="FE63" s="17" t="s">
        <v>870</v>
      </c>
      <c r="FF63" s="17" t="s">
        <v>870</v>
      </c>
      <c r="FG63" s="17" t="s">
        <v>870</v>
      </c>
      <c r="FH63" s="17" t="s">
        <v>870</v>
      </c>
      <c r="FI63" s="17" t="s">
        <v>870</v>
      </c>
      <c r="FJ63" s="17" t="s">
        <v>870</v>
      </c>
      <c r="FK63" s="17" t="s">
        <v>870</v>
      </c>
      <c r="FL63" s="17" t="s">
        <v>870</v>
      </c>
      <c r="FM63" s="17" t="s">
        <v>870</v>
      </c>
      <c r="FN63" s="17" t="s">
        <v>870</v>
      </c>
      <c r="FO63" s="17" t="s">
        <v>870</v>
      </c>
      <c r="FP63" s="17" t="s">
        <v>870</v>
      </c>
      <c r="FQ63" s="17" t="s">
        <v>870</v>
      </c>
      <c r="FR63" s="17" t="s">
        <v>870</v>
      </c>
      <c r="FS63" s="17" t="s">
        <v>870</v>
      </c>
      <c r="FT63" s="17" t="s">
        <v>870</v>
      </c>
      <c r="FU63" s="17" t="s">
        <v>870</v>
      </c>
      <c r="FV63" s="17" t="s">
        <v>870</v>
      </c>
      <c r="FW63" s="17" t="s">
        <v>870</v>
      </c>
      <c r="FX63" s="17" t="s">
        <v>870</v>
      </c>
      <c r="FY63" s="17" t="s">
        <v>870</v>
      </c>
      <c r="FZ63" s="17" t="s">
        <v>870</v>
      </c>
      <c r="GA63" s="17" t="s">
        <v>870</v>
      </c>
      <c r="GB63" s="17" t="s">
        <v>870</v>
      </c>
      <c r="GC63" s="17" t="s">
        <v>870</v>
      </c>
      <c r="GD63" s="17" t="s">
        <v>870</v>
      </c>
      <c r="GE63" s="17" t="s">
        <v>870</v>
      </c>
      <c r="GF63" s="17" t="s">
        <v>870</v>
      </c>
      <c r="GG63" s="17" t="s">
        <v>870</v>
      </c>
      <c r="GH63" s="17" t="s">
        <v>870</v>
      </c>
      <c r="GI63" s="17" t="s">
        <v>870</v>
      </c>
      <c r="GJ63" s="17" t="s">
        <v>870</v>
      </c>
      <c r="GK63" s="17" t="s">
        <v>870</v>
      </c>
      <c r="GL63" s="17" t="s">
        <v>870</v>
      </c>
      <c r="GM63" s="17" t="s">
        <v>870</v>
      </c>
      <c r="GN63" s="17" t="s">
        <v>870</v>
      </c>
      <c r="GO63" s="17" t="s">
        <v>870</v>
      </c>
      <c r="GP63" s="17" t="s">
        <v>870</v>
      </c>
      <c r="GQ63" s="17" t="s">
        <v>870</v>
      </c>
      <c r="GR63" s="17" t="s">
        <v>870</v>
      </c>
      <c r="GS63" s="17" t="s">
        <v>870</v>
      </c>
      <c r="GT63" s="17" t="s">
        <v>870</v>
      </c>
      <c r="GU63" s="17" t="s">
        <v>870</v>
      </c>
      <c r="GV63" s="17" t="s">
        <v>870</v>
      </c>
      <c r="GW63" s="17" t="s">
        <v>870</v>
      </c>
      <c r="GX63" s="17" t="s">
        <v>870</v>
      </c>
      <c r="GY63" s="17" t="s">
        <v>870</v>
      </c>
      <c r="GZ63" s="17" t="s">
        <v>870</v>
      </c>
      <c r="HA63" s="17" t="s">
        <v>870</v>
      </c>
      <c r="HB63" s="17" t="s">
        <v>870</v>
      </c>
      <c r="HC63" s="17" t="s">
        <v>870</v>
      </c>
      <c r="HD63" s="17" t="s">
        <v>870</v>
      </c>
      <c r="HE63" s="17" t="s">
        <v>870</v>
      </c>
      <c r="HF63" s="17" t="s">
        <v>870</v>
      </c>
      <c r="HG63" s="17" t="s">
        <v>870</v>
      </c>
      <c r="HH63" s="17" t="s">
        <v>870</v>
      </c>
      <c r="HI63" s="17" t="s">
        <v>870</v>
      </c>
      <c r="HJ63" s="17" t="s">
        <v>870</v>
      </c>
      <c r="HK63" s="17" t="s">
        <v>870</v>
      </c>
      <c r="HL63" s="17" t="s">
        <v>870</v>
      </c>
      <c r="HM63" s="17" t="s">
        <v>870</v>
      </c>
      <c r="HN63" s="17" t="s">
        <v>870</v>
      </c>
      <c r="HO63" s="17" t="s">
        <v>870</v>
      </c>
      <c r="HP63" s="17" t="s">
        <v>870</v>
      </c>
      <c r="HQ63" s="17" t="s">
        <v>870</v>
      </c>
      <c r="HR63" s="17" t="s">
        <v>870</v>
      </c>
      <c r="HS63" s="17" t="s">
        <v>870</v>
      </c>
      <c r="HT63" s="17" t="s">
        <v>870</v>
      </c>
      <c r="HU63" s="17" t="s">
        <v>870</v>
      </c>
      <c r="HV63" s="17" t="s">
        <v>870</v>
      </c>
      <c r="HW63" s="17" t="s">
        <v>870</v>
      </c>
      <c r="HX63" s="17" t="s">
        <v>870</v>
      </c>
      <c r="HY63" s="17" t="s">
        <v>870</v>
      </c>
      <c r="HZ63" s="17" t="s">
        <v>870</v>
      </c>
      <c r="IA63" s="17" t="s">
        <v>870</v>
      </c>
      <c r="IB63" s="17" t="s">
        <v>870</v>
      </c>
      <c r="IC63" s="17" t="s">
        <v>870</v>
      </c>
      <c r="ID63" s="72" t="s">
        <v>1552</v>
      </c>
      <c r="IE63" s="17" t="s">
        <v>870</v>
      </c>
      <c r="IF63" s="17" t="s">
        <v>870</v>
      </c>
      <c r="IG63" s="17" t="s">
        <v>870</v>
      </c>
      <c r="IH63" s="17" t="s">
        <v>870</v>
      </c>
      <c r="II63" s="17" t="s">
        <v>870</v>
      </c>
      <c r="IJ63" s="17" t="s">
        <v>870</v>
      </c>
      <c r="IK63" s="17" t="s">
        <v>870</v>
      </c>
      <c r="IL63" s="17" t="s">
        <v>870</v>
      </c>
      <c r="IM63" s="17" t="s">
        <v>870</v>
      </c>
      <c r="IN63" s="17" t="s">
        <v>870</v>
      </c>
      <c r="IO63" s="17" t="s">
        <v>870</v>
      </c>
    </row>
    <row r="64" spans="1:249" x14ac:dyDescent="0.25">
      <c r="A64" t="s">
        <v>1178</v>
      </c>
      <c r="B64" s="17" t="s">
        <v>870</v>
      </c>
      <c r="C64" s="17" t="s">
        <v>870</v>
      </c>
      <c r="D64" s="17" t="s">
        <v>870</v>
      </c>
      <c r="E64" s="17" t="s">
        <v>870</v>
      </c>
      <c r="F64" s="17" t="s">
        <v>870</v>
      </c>
      <c r="G64" s="17" t="s">
        <v>870</v>
      </c>
      <c r="H64" s="17" t="s">
        <v>870</v>
      </c>
      <c r="I64" s="17" t="s">
        <v>870</v>
      </c>
      <c r="J64" s="17" t="s">
        <v>870</v>
      </c>
      <c r="K64" s="17" t="s">
        <v>870</v>
      </c>
      <c r="L64" s="17" t="s">
        <v>870</v>
      </c>
      <c r="M64" s="17" t="s">
        <v>870</v>
      </c>
      <c r="N64" s="17" t="s">
        <v>870</v>
      </c>
      <c r="O64" s="17" t="s">
        <v>870</v>
      </c>
      <c r="P64" s="17" t="s">
        <v>870</v>
      </c>
      <c r="Q64" s="17" t="s">
        <v>870</v>
      </c>
      <c r="R64" s="17" t="s">
        <v>870</v>
      </c>
      <c r="S64" s="17" t="s">
        <v>870</v>
      </c>
      <c r="T64" s="17" t="s">
        <v>870</v>
      </c>
      <c r="U64" s="17" t="s">
        <v>870</v>
      </c>
      <c r="V64" s="17" t="s">
        <v>870</v>
      </c>
      <c r="W64" s="17" t="s">
        <v>870</v>
      </c>
      <c r="X64" s="17" t="s">
        <v>870</v>
      </c>
      <c r="Y64" s="17" t="s">
        <v>870</v>
      </c>
      <c r="Z64" s="17" t="s">
        <v>870</v>
      </c>
      <c r="AA64" s="17" t="s">
        <v>870</v>
      </c>
      <c r="AB64" s="17" t="s">
        <v>870</v>
      </c>
      <c r="AC64" s="17" t="s">
        <v>870</v>
      </c>
      <c r="AD64" s="17" t="s">
        <v>870</v>
      </c>
      <c r="AE64" s="17" t="s">
        <v>870</v>
      </c>
      <c r="AF64" s="17" t="s">
        <v>870</v>
      </c>
      <c r="AG64" s="17" t="s">
        <v>870</v>
      </c>
      <c r="AH64" s="17" t="s">
        <v>870</v>
      </c>
      <c r="AI64" s="17" t="s">
        <v>870</v>
      </c>
      <c r="AJ64" s="17" t="s">
        <v>870</v>
      </c>
      <c r="AK64" s="17" t="s">
        <v>870</v>
      </c>
      <c r="AL64" s="17" t="s">
        <v>870</v>
      </c>
      <c r="AM64" s="17" t="s">
        <v>870</v>
      </c>
      <c r="AN64" s="17" t="s">
        <v>870</v>
      </c>
      <c r="AO64" s="17" t="s">
        <v>870</v>
      </c>
      <c r="AP64" s="17" t="s">
        <v>870</v>
      </c>
      <c r="AQ64" s="17" t="s">
        <v>870</v>
      </c>
      <c r="AR64" s="17" t="s">
        <v>870</v>
      </c>
      <c r="AS64" s="17" t="s">
        <v>870</v>
      </c>
      <c r="AT64" s="17" t="s">
        <v>870</v>
      </c>
      <c r="AU64" s="17" t="s">
        <v>870</v>
      </c>
      <c r="AV64" s="17" t="s">
        <v>870</v>
      </c>
      <c r="AW64" s="17" t="s">
        <v>870</v>
      </c>
      <c r="AX64" s="17" t="s">
        <v>870</v>
      </c>
      <c r="AY64" s="17" t="s">
        <v>870</v>
      </c>
      <c r="AZ64" s="17" t="s">
        <v>870</v>
      </c>
      <c r="BA64" s="17" t="s">
        <v>870</v>
      </c>
      <c r="BB64" s="17" t="s">
        <v>870</v>
      </c>
      <c r="BC64" s="17" t="s">
        <v>870</v>
      </c>
      <c r="BD64" s="17" t="s">
        <v>870</v>
      </c>
      <c r="BE64" s="17" t="s">
        <v>870</v>
      </c>
      <c r="BF64" s="17" t="s">
        <v>870</v>
      </c>
      <c r="BG64" s="17" t="s">
        <v>870</v>
      </c>
      <c r="BH64" s="17" t="s">
        <v>870</v>
      </c>
      <c r="BI64" s="17" t="s">
        <v>870</v>
      </c>
      <c r="BJ64" s="17" t="s">
        <v>870</v>
      </c>
      <c r="BK64" s="17" t="s">
        <v>870</v>
      </c>
      <c r="BL64" s="17" t="s">
        <v>870</v>
      </c>
      <c r="BM64" s="17" t="s">
        <v>870</v>
      </c>
      <c r="BN64" s="17" t="s">
        <v>870</v>
      </c>
      <c r="BO64" s="17" t="s">
        <v>870</v>
      </c>
      <c r="BP64" s="17" t="s">
        <v>870</v>
      </c>
      <c r="BQ64" s="17" t="s">
        <v>870</v>
      </c>
      <c r="BR64" s="17" t="s">
        <v>870</v>
      </c>
      <c r="BS64" s="17" t="s">
        <v>870</v>
      </c>
      <c r="BT64" s="17" t="s">
        <v>870</v>
      </c>
      <c r="BU64" s="17" t="s">
        <v>870</v>
      </c>
      <c r="BV64" s="17" t="s">
        <v>870</v>
      </c>
      <c r="BW64" s="17" t="s">
        <v>870</v>
      </c>
      <c r="BX64" s="17" t="s">
        <v>870</v>
      </c>
      <c r="BY64" s="17" t="s">
        <v>870</v>
      </c>
      <c r="BZ64" s="17" t="s">
        <v>870</v>
      </c>
      <c r="CA64" s="17" t="s">
        <v>870</v>
      </c>
      <c r="CB64" s="17" t="s">
        <v>870</v>
      </c>
      <c r="CC64" s="17" t="s">
        <v>870</v>
      </c>
      <c r="CD64" s="17" t="s">
        <v>870</v>
      </c>
      <c r="CE64" s="17" t="s">
        <v>870</v>
      </c>
      <c r="CF64" s="17" t="s">
        <v>870</v>
      </c>
      <c r="CG64" s="17" t="s">
        <v>870</v>
      </c>
      <c r="CH64" s="17" t="s">
        <v>870</v>
      </c>
      <c r="CI64" s="17" t="s">
        <v>870</v>
      </c>
      <c r="CJ64" s="17" t="s">
        <v>870</v>
      </c>
      <c r="CK64" s="17" t="s">
        <v>870</v>
      </c>
      <c r="CL64" s="17" t="s">
        <v>870</v>
      </c>
      <c r="CM64" s="17" t="s">
        <v>870</v>
      </c>
      <c r="CN64" s="17" t="s">
        <v>870</v>
      </c>
      <c r="CO64" s="17" t="s">
        <v>870</v>
      </c>
      <c r="CP64" s="17" t="s">
        <v>870</v>
      </c>
      <c r="CQ64" s="17" t="s">
        <v>870</v>
      </c>
      <c r="CR64" s="17" t="s">
        <v>870</v>
      </c>
      <c r="CS64" s="17" t="s">
        <v>870</v>
      </c>
      <c r="CT64" s="17" t="s">
        <v>870</v>
      </c>
      <c r="CU64" s="17" t="s">
        <v>870</v>
      </c>
      <c r="CV64" s="17" t="s">
        <v>870</v>
      </c>
      <c r="CW64" s="17" t="s">
        <v>870</v>
      </c>
      <c r="CX64" s="17" t="s">
        <v>870</v>
      </c>
      <c r="CY64" s="17" t="s">
        <v>870</v>
      </c>
      <c r="CZ64" s="17" t="s">
        <v>870</v>
      </c>
      <c r="DA64" s="17" t="s">
        <v>870</v>
      </c>
      <c r="DB64" s="17" t="s">
        <v>870</v>
      </c>
      <c r="DC64" s="17" t="s">
        <v>870</v>
      </c>
      <c r="DD64" s="17" t="s">
        <v>870</v>
      </c>
      <c r="DE64" s="17" t="s">
        <v>870</v>
      </c>
      <c r="DF64" s="17" t="s">
        <v>870</v>
      </c>
      <c r="DG64" s="17" t="s">
        <v>870</v>
      </c>
      <c r="DH64" s="17" t="s">
        <v>870</v>
      </c>
      <c r="DI64" s="17" t="s">
        <v>870</v>
      </c>
      <c r="DJ64" s="17" t="s">
        <v>870</v>
      </c>
      <c r="DK64" s="17" t="s">
        <v>870</v>
      </c>
      <c r="DL64" s="17" t="s">
        <v>870</v>
      </c>
      <c r="DM64" s="17" t="s">
        <v>870</v>
      </c>
      <c r="DN64" s="17" t="s">
        <v>870</v>
      </c>
      <c r="DO64" s="17" t="s">
        <v>870</v>
      </c>
      <c r="DP64" s="17" t="s">
        <v>870</v>
      </c>
      <c r="DQ64" s="17" t="s">
        <v>870</v>
      </c>
      <c r="DR64" s="17" t="s">
        <v>870</v>
      </c>
      <c r="DS64" s="17" t="s">
        <v>870</v>
      </c>
      <c r="DT64" s="17" t="s">
        <v>870</v>
      </c>
      <c r="DU64" s="17" t="s">
        <v>870</v>
      </c>
      <c r="DV64" s="17" t="s">
        <v>870</v>
      </c>
      <c r="DW64" s="17" t="s">
        <v>870</v>
      </c>
      <c r="DX64" s="17" t="s">
        <v>870</v>
      </c>
      <c r="DY64" s="17" t="s">
        <v>870</v>
      </c>
      <c r="DZ64" s="17" t="s">
        <v>870</v>
      </c>
      <c r="EA64" s="17" t="s">
        <v>870</v>
      </c>
      <c r="EB64" s="17" t="s">
        <v>870</v>
      </c>
      <c r="EC64" s="17" t="s">
        <v>870</v>
      </c>
      <c r="ED64" s="17" t="s">
        <v>870</v>
      </c>
      <c r="EE64" s="17" t="s">
        <v>870</v>
      </c>
      <c r="EF64" s="17" t="s">
        <v>870</v>
      </c>
      <c r="EG64" s="17" t="s">
        <v>870</v>
      </c>
      <c r="EH64" s="17" t="s">
        <v>870</v>
      </c>
      <c r="EI64" s="17" t="s">
        <v>870</v>
      </c>
      <c r="EJ64" s="17" t="s">
        <v>870</v>
      </c>
      <c r="EK64" s="17" t="s">
        <v>870</v>
      </c>
      <c r="EL64" s="17" t="s">
        <v>870</v>
      </c>
      <c r="EM64" s="17" t="s">
        <v>870</v>
      </c>
      <c r="EN64" s="17" t="s">
        <v>870</v>
      </c>
      <c r="EO64" s="17" t="s">
        <v>870</v>
      </c>
      <c r="EP64" s="17" t="s">
        <v>870</v>
      </c>
      <c r="EQ64" s="17" t="s">
        <v>870</v>
      </c>
      <c r="ER64" s="17" t="s">
        <v>870</v>
      </c>
      <c r="ES64" s="17" t="s">
        <v>870</v>
      </c>
      <c r="ET64" s="17" t="s">
        <v>870</v>
      </c>
      <c r="EU64" s="17" t="s">
        <v>870</v>
      </c>
      <c r="EV64" s="17" t="s">
        <v>870</v>
      </c>
      <c r="EW64" s="17" t="s">
        <v>870</v>
      </c>
      <c r="EX64" s="17" t="s">
        <v>870</v>
      </c>
      <c r="EY64" s="17" t="s">
        <v>870</v>
      </c>
      <c r="EZ64" s="17" t="s">
        <v>870</v>
      </c>
      <c r="FA64" s="17" t="s">
        <v>870</v>
      </c>
      <c r="FB64" s="17" t="s">
        <v>870</v>
      </c>
      <c r="FC64" s="17" t="s">
        <v>870</v>
      </c>
      <c r="FD64" s="17" t="s">
        <v>870</v>
      </c>
      <c r="FE64" s="17" t="s">
        <v>870</v>
      </c>
      <c r="FF64" s="17" t="s">
        <v>870</v>
      </c>
      <c r="FG64" s="17" t="s">
        <v>870</v>
      </c>
      <c r="FH64" s="17" t="s">
        <v>870</v>
      </c>
      <c r="FI64" s="17" t="s">
        <v>870</v>
      </c>
      <c r="FJ64" s="17" t="s">
        <v>870</v>
      </c>
      <c r="FK64" s="17" t="s">
        <v>870</v>
      </c>
      <c r="FL64" s="17" t="s">
        <v>870</v>
      </c>
      <c r="FM64" s="17" t="s">
        <v>870</v>
      </c>
      <c r="FN64" s="17" t="s">
        <v>870</v>
      </c>
      <c r="FO64" s="17" t="s">
        <v>870</v>
      </c>
      <c r="FP64" s="17" t="s">
        <v>870</v>
      </c>
      <c r="FQ64" s="17" t="s">
        <v>870</v>
      </c>
      <c r="FR64" s="17" t="s">
        <v>870</v>
      </c>
      <c r="FS64" s="17" t="s">
        <v>870</v>
      </c>
      <c r="FT64" s="17" t="s">
        <v>870</v>
      </c>
      <c r="FU64" s="17" t="s">
        <v>870</v>
      </c>
      <c r="FV64" s="17" t="s">
        <v>870</v>
      </c>
      <c r="FW64" s="17" t="s">
        <v>870</v>
      </c>
      <c r="FX64" s="17" t="s">
        <v>870</v>
      </c>
      <c r="FY64" s="17" t="s">
        <v>870</v>
      </c>
      <c r="FZ64" s="17" t="s">
        <v>870</v>
      </c>
      <c r="GA64" s="17" t="s">
        <v>870</v>
      </c>
      <c r="GB64" s="17" t="s">
        <v>870</v>
      </c>
      <c r="GC64" s="17" t="s">
        <v>870</v>
      </c>
      <c r="GD64" s="17" t="s">
        <v>870</v>
      </c>
      <c r="GE64" s="17" t="s">
        <v>870</v>
      </c>
      <c r="GF64" s="17" t="s">
        <v>870</v>
      </c>
      <c r="GG64" s="17" t="s">
        <v>870</v>
      </c>
      <c r="GH64" s="17" t="s">
        <v>870</v>
      </c>
      <c r="GI64" s="17" t="s">
        <v>870</v>
      </c>
      <c r="GJ64" s="17" t="s">
        <v>870</v>
      </c>
      <c r="GK64" s="17" t="s">
        <v>870</v>
      </c>
      <c r="GL64" s="17" t="s">
        <v>870</v>
      </c>
      <c r="GM64" s="17" t="s">
        <v>870</v>
      </c>
      <c r="GN64" s="17" t="s">
        <v>870</v>
      </c>
      <c r="GO64" s="17" t="s">
        <v>870</v>
      </c>
      <c r="GP64" s="17" t="s">
        <v>870</v>
      </c>
      <c r="GQ64" s="17" t="s">
        <v>870</v>
      </c>
      <c r="GR64" s="17" t="s">
        <v>870</v>
      </c>
      <c r="GS64" s="17" t="s">
        <v>870</v>
      </c>
      <c r="GT64" s="17" t="s">
        <v>870</v>
      </c>
      <c r="GU64" s="17" t="s">
        <v>870</v>
      </c>
      <c r="GV64" s="17" t="s">
        <v>870</v>
      </c>
      <c r="GW64" s="63"/>
      <c r="GX64" s="61" t="s">
        <v>2</v>
      </c>
      <c r="GY64" s="61" t="s">
        <v>2</v>
      </c>
      <c r="GZ64" s="61" t="s">
        <v>2</v>
      </c>
      <c r="HA64" s="62"/>
      <c r="HB64" s="61" t="s">
        <v>2</v>
      </c>
      <c r="HC64" s="61" t="s">
        <v>2</v>
      </c>
      <c r="HD64" s="17" t="s">
        <v>870</v>
      </c>
      <c r="HE64" s="17" t="s">
        <v>870</v>
      </c>
      <c r="HF64" s="61" t="s">
        <v>2</v>
      </c>
      <c r="HG64" s="61" t="s">
        <v>2</v>
      </c>
      <c r="HH64" s="17" t="s">
        <v>870</v>
      </c>
      <c r="HI64" s="17" t="s">
        <v>870</v>
      </c>
      <c r="HJ64" s="63"/>
      <c r="HK64" s="62"/>
      <c r="HL64" s="17" t="s">
        <v>870</v>
      </c>
      <c r="HM64" s="17" t="s">
        <v>870</v>
      </c>
      <c r="HN64" s="61" t="s">
        <v>2</v>
      </c>
      <c r="HO64" s="61" t="s">
        <v>2</v>
      </c>
      <c r="HP64" s="17" t="s">
        <v>870</v>
      </c>
      <c r="HQ64" s="17" t="s">
        <v>870</v>
      </c>
      <c r="HR64" s="17" t="s">
        <v>870</v>
      </c>
      <c r="HS64" s="17" t="s">
        <v>870</v>
      </c>
      <c r="HT64" s="17" t="s">
        <v>870</v>
      </c>
      <c r="HU64" s="17" t="s">
        <v>870</v>
      </c>
      <c r="HV64" s="17" t="s">
        <v>870</v>
      </c>
      <c r="HW64" s="17" t="s">
        <v>870</v>
      </c>
      <c r="HX64" s="17" t="s">
        <v>870</v>
      </c>
      <c r="HY64" s="17" t="s">
        <v>870</v>
      </c>
      <c r="HZ64" s="17" t="s">
        <v>870</v>
      </c>
      <c r="IA64" s="61" t="s">
        <v>2</v>
      </c>
      <c r="IB64" s="63"/>
      <c r="IC64" s="63"/>
      <c r="ID64" s="72" t="s">
        <v>1552</v>
      </c>
      <c r="IE64" s="17" t="s">
        <v>870</v>
      </c>
      <c r="IF64" s="61" t="s">
        <v>2</v>
      </c>
      <c r="IG64" s="61" t="s">
        <v>2</v>
      </c>
      <c r="IH64" s="17" t="s">
        <v>870</v>
      </c>
      <c r="II64" s="17" t="s">
        <v>870</v>
      </c>
      <c r="IJ64" s="17" t="s">
        <v>870</v>
      </c>
      <c r="IK64" s="17" t="s">
        <v>870</v>
      </c>
      <c r="IL64" s="63"/>
      <c r="IM64" s="61" t="s">
        <v>2</v>
      </c>
      <c r="IN64" s="17" t="s">
        <v>870</v>
      </c>
      <c r="IO64" s="17" t="s">
        <v>870</v>
      </c>
    </row>
    <row r="65" spans="1:249" x14ac:dyDescent="0.25">
      <c r="A65" t="s">
        <v>1188</v>
      </c>
      <c r="B65" s="17" t="s">
        <v>870</v>
      </c>
      <c r="C65" s="17" t="s">
        <v>870</v>
      </c>
      <c r="D65" s="17" t="s">
        <v>870</v>
      </c>
      <c r="E65" s="17" t="s">
        <v>870</v>
      </c>
      <c r="F65" s="17" t="s">
        <v>870</v>
      </c>
      <c r="G65" s="17" t="s">
        <v>870</v>
      </c>
      <c r="H65" s="17" t="s">
        <v>870</v>
      </c>
      <c r="I65" s="17" t="s">
        <v>870</v>
      </c>
      <c r="J65" s="17" t="s">
        <v>870</v>
      </c>
      <c r="K65" s="17" t="s">
        <v>870</v>
      </c>
      <c r="L65" s="17" t="s">
        <v>870</v>
      </c>
      <c r="M65" s="17" t="s">
        <v>870</v>
      </c>
      <c r="N65" s="17" t="s">
        <v>870</v>
      </c>
      <c r="O65" s="17" t="s">
        <v>870</v>
      </c>
      <c r="P65" s="17" t="s">
        <v>870</v>
      </c>
      <c r="Q65" s="17" t="s">
        <v>870</v>
      </c>
      <c r="R65" s="17" t="s">
        <v>870</v>
      </c>
      <c r="S65" s="17" t="s">
        <v>870</v>
      </c>
      <c r="T65" s="17" t="s">
        <v>870</v>
      </c>
      <c r="U65" s="17" t="s">
        <v>870</v>
      </c>
      <c r="V65" s="17" t="s">
        <v>870</v>
      </c>
      <c r="W65" s="17" t="s">
        <v>870</v>
      </c>
      <c r="X65" s="17" t="s">
        <v>870</v>
      </c>
      <c r="Y65" s="17" t="s">
        <v>870</v>
      </c>
      <c r="Z65" s="17" t="s">
        <v>870</v>
      </c>
      <c r="AA65" s="17" t="s">
        <v>870</v>
      </c>
      <c r="AB65" s="17" t="s">
        <v>870</v>
      </c>
      <c r="AC65" s="17" t="s">
        <v>870</v>
      </c>
      <c r="AD65" s="17" t="s">
        <v>870</v>
      </c>
      <c r="AE65" s="17" t="s">
        <v>870</v>
      </c>
      <c r="AF65" s="17" t="s">
        <v>870</v>
      </c>
      <c r="AG65" s="17" t="s">
        <v>870</v>
      </c>
      <c r="AH65" s="17" t="s">
        <v>870</v>
      </c>
      <c r="AI65" s="17" t="s">
        <v>870</v>
      </c>
      <c r="AJ65" s="17" t="s">
        <v>870</v>
      </c>
      <c r="AK65" s="17" t="s">
        <v>870</v>
      </c>
      <c r="AL65" s="17" t="s">
        <v>870</v>
      </c>
      <c r="AM65" s="17" t="s">
        <v>870</v>
      </c>
      <c r="AN65" s="17" t="s">
        <v>870</v>
      </c>
      <c r="AO65" s="17" t="s">
        <v>870</v>
      </c>
      <c r="AP65" s="17" t="s">
        <v>870</v>
      </c>
      <c r="AQ65" s="17" t="s">
        <v>870</v>
      </c>
      <c r="AR65" s="17" t="s">
        <v>870</v>
      </c>
      <c r="AS65" s="17" t="s">
        <v>870</v>
      </c>
      <c r="AT65" s="17" t="s">
        <v>870</v>
      </c>
      <c r="AU65" s="17" t="s">
        <v>870</v>
      </c>
      <c r="AV65" s="17" t="s">
        <v>870</v>
      </c>
      <c r="AW65" s="17" t="s">
        <v>870</v>
      </c>
      <c r="AX65" s="17" t="s">
        <v>870</v>
      </c>
      <c r="AY65" s="17" t="s">
        <v>870</v>
      </c>
      <c r="AZ65" s="17" t="s">
        <v>870</v>
      </c>
      <c r="BA65" s="17" t="s">
        <v>870</v>
      </c>
      <c r="BB65" s="17" t="s">
        <v>870</v>
      </c>
      <c r="BC65" s="17" t="s">
        <v>870</v>
      </c>
      <c r="BD65" s="17" t="s">
        <v>870</v>
      </c>
      <c r="BE65" s="17" t="s">
        <v>870</v>
      </c>
      <c r="BF65" s="17" t="s">
        <v>870</v>
      </c>
      <c r="BG65" s="17" t="s">
        <v>870</v>
      </c>
      <c r="BH65" s="17" t="s">
        <v>870</v>
      </c>
      <c r="BI65" s="17" t="s">
        <v>870</v>
      </c>
      <c r="BJ65" s="17" t="s">
        <v>870</v>
      </c>
      <c r="BK65" s="17" t="s">
        <v>870</v>
      </c>
      <c r="BL65" s="17" t="s">
        <v>870</v>
      </c>
      <c r="BM65" s="17" t="s">
        <v>870</v>
      </c>
      <c r="BN65" s="17" t="s">
        <v>870</v>
      </c>
      <c r="BO65" s="17" t="s">
        <v>870</v>
      </c>
      <c r="BP65" s="17" t="s">
        <v>870</v>
      </c>
      <c r="BQ65" s="17" t="s">
        <v>870</v>
      </c>
      <c r="BR65" s="17" t="s">
        <v>870</v>
      </c>
      <c r="BS65" s="17" t="s">
        <v>870</v>
      </c>
      <c r="BT65" s="17" t="s">
        <v>870</v>
      </c>
      <c r="BU65" s="17" t="s">
        <v>870</v>
      </c>
      <c r="BV65" s="17" t="s">
        <v>870</v>
      </c>
      <c r="BW65" s="17" t="s">
        <v>870</v>
      </c>
      <c r="BX65" s="17" t="s">
        <v>870</v>
      </c>
      <c r="BY65" s="17" t="s">
        <v>870</v>
      </c>
      <c r="BZ65" s="17" t="s">
        <v>870</v>
      </c>
      <c r="CA65" s="17" t="s">
        <v>870</v>
      </c>
      <c r="CB65" s="17" t="s">
        <v>870</v>
      </c>
      <c r="CC65" s="17" t="s">
        <v>870</v>
      </c>
      <c r="CD65" s="17" t="s">
        <v>870</v>
      </c>
      <c r="CE65" s="17" t="s">
        <v>870</v>
      </c>
      <c r="CF65" s="17" t="s">
        <v>870</v>
      </c>
      <c r="CG65" s="17" t="s">
        <v>870</v>
      </c>
      <c r="CH65" s="17" t="s">
        <v>870</v>
      </c>
      <c r="CI65" s="17" t="s">
        <v>870</v>
      </c>
      <c r="CJ65" s="17" t="s">
        <v>870</v>
      </c>
      <c r="CK65" s="17" t="s">
        <v>870</v>
      </c>
      <c r="CL65" s="17" t="s">
        <v>870</v>
      </c>
      <c r="CM65" s="17" t="s">
        <v>870</v>
      </c>
      <c r="CN65" s="17" t="s">
        <v>870</v>
      </c>
      <c r="CO65" s="17" t="s">
        <v>870</v>
      </c>
      <c r="CP65" s="17" t="s">
        <v>870</v>
      </c>
      <c r="CQ65" s="17" t="s">
        <v>870</v>
      </c>
      <c r="CR65" s="17" t="s">
        <v>870</v>
      </c>
      <c r="CS65" s="17" t="s">
        <v>870</v>
      </c>
      <c r="CT65" s="17" t="s">
        <v>870</v>
      </c>
      <c r="CU65" s="17" t="s">
        <v>870</v>
      </c>
      <c r="CV65" s="17" t="s">
        <v>870</v>
      </c>
      <c r="CW65" s="17" t="s">
        <v>870</v>
      </c>
      <c r="CX65" s="17" t="s">
        <v>870</v>
      </c>
      <c r="CY65" s="17" t="s">
        <v>870</v>
      </c>
      <c r="CZ65" s="17" t="s">
        <v>870</v>
      </c>
      <c r="DA65" s="17" t="s">
        <v>870</v>
      </c>
      <c r="DB65" s="17" t="s">
        <v>870</v>
      </c>
      <c r="DC65" s="17" t="s">
        <v>870</v>
      </c>
      <c r="DD65" s="17" t="s">
        <v>870</v>
      </c>
      <c r="DE65" s="17" t="s">
        <v>870</v>
      </c>
      <c r="DF65" s="17" t="s">
        <v>870</v>
      </c>
      <c r="DG65" s="17" t="s">
        <v>870</v>
      </c>
      <c r="DH65" s="17" t="s">
        <v>870</v>
      </c>
      <c r="DI65" s="17" t="s">
        <v>870</v>
      </c>
      <c r="DJ65" s="17" t="s">
        <v>870</v>
      </c>
      <c r="DK65" s="17" t="s">
        <v>870</v>
      </c>
      <c r="DL65" s="17" t="s">
        <v>870</v>
      </c>
      <c r="DM65" s="17" t="s">
        <v>870</v>
      </c>
      <c r="DN65" s="17" t="s">
        <v>870</v>
      </c>
      <c r="DO65" s="17" t="s">
        <v>870</v>
      </c>
      <c r="DP65" s="17" t="s">
        <v>870</v>
      </c>
      <c r="DQ65" s="17" t="s">
        <v>870</v>
      </c>
      <c r="DR65" s="17" t="s">
        <v>870</v>
      </c>
      <c r="DS65" s="17" t="s">
        <v>870</v>
      </c>
      <c r="DT65" s="17" t="s">
        <v>870</v>
      </c>
      <c r="DU65" s="17" t="s">
        <v>870</v>
      </c>
      <c r="DV65" s="17" t="s">
        <v>870</v>
      </c>
      <c r="DW65" s="17" t="s">
        <v>870</v>
      </c>
      <c r="DX65" s="17" t="s">
        <v>870</v>
      </c>
      <c r="DY65" s="17" t="s">
        <v>870</v>
      </c>
      <c r="DZ65" s="17" t="s">
        <v>870</v>
      </c>
      <c r="EA65" s="17" t="s">
        <v>870</v>
      </c>
      <c r="EB65" s="17" t="s">
        <v>870</v>
      </c>
      <c r="EC65" s="17" t="s">
        <v>870</v>
      </c>
      <c r="ED65" s="17" t="s">
        <v>870</v>
      </c>
      <c r="EE65" s="17" t="s">
        <v>870</v>
      </c>
      <c r="EF65" s="17" t="s">
        <v>870</v>
      </c>
      <c r="EG65" s="17" t="s">
        <v>870</v>
      </c>
      <c r="EH65" s="17" t="s">
        <v>870</v>
      </c>
      <c r="EI65" s="17" t="s">
        <v>870</v>
      </c>
      <c r="EJ65" s="17" t="s">
        <v>870</v>
      </c>
      <c r="EK65" s="17" t="s">
        <v>870</v>
      </c>
      <c r="EL65" s="17" t="s">
        <v>870</v>
      </c>
      <c r="EM65" s="17" t="s">
        <v>870</v>
      </c>
      <c r="EN65" s="17" t="s">
        <v>870</v>
      </c>
      <c r="EO65" s="17" t="s">
        <v>870</v>
      </c>
      <c r="EP65" s="17" t="s">
        <v>870</v>
      </c>
      <c r="EQ65" s="17" t="s">
        <v>870</v>
      </c>
      <c r="ER65" s="17" t="s">
        <v>870</v>
      </c>
      <c r="ES65" s="17" t="s">
        <v>870</v>
      </c>
      <c r="ET65" s="17" t="s">
        <v>870</v>
      </c>
      <c r="EU65" s="17" t="s">
        <v>870</v>
      </c>
      <c r="EV65" s="17" t="s">
        <v>870</v>
      </c>
      <c r="EW65" s="17" t="s">
        <v>870</v>
      </c>
      <c r="EX65" s="17" t="s">
        <v>870</v>
      </c>
      <c r="EY65" s="17" t="s">
        <v>870</v>
      </c>
      <c r="EZ65" s="17" t="s">
        <v>870</v>
      </c>
      <c r="FA65" s="17" t="s">
        <v>870</v>
      </c>
      <c r="FB65" s="17" t="s">
        <v>870</v>
      </c>
      <c r="FC65" s="17" t="s">
        <v>870</v>
      </c>
      <c r="FD65" s="17" t="s">
        <v>870</v>
      </c>
      <c r="FE65" s="17" t="s">
        <v>870</v>
      </c>
      <c r="FF65" s="17" t="s">
        <v>870</v>
      </c>
      <c r="FG65" s="17" t="s">
        <v>870</v>
      </c>
      <c r="FH65" s="17" t="s">
        <v>870</v>
      </c>
      <c r="FI65" s="17" t="s">
        <v>870</v>
      </c>
      <c r="FJ65" s="17" t="s">
        <v>870</v>
      </c>
      <c r="FK65" s="17" t="s">
        <v>870</v>
      </c>
      <c r="FL65" s="17" t="s">
        <v>870</v>
      </c>
      <c r="FM65" s="17" t="s">
        <v>870</v>
      </c>
      <c r="FN65" s="17" t="s">
        <v>870</v>
      </c>
      <c r="FO65" s="17" t="s">
        <v>870</v>
      </c>
      <c r="FP65" s="17" t="s">
        <v>870</v>
      </c>
      <c r="FQ65" s="17" t="s">
        <v>870</v>
      </c>
      <c r="FR65" s="17" t="s">
        <v>870</v>
      </c>
      <c r="FS65" s="17" t="s">
        <v>870</v>
      </c>
      <c r="FT65" s="17" t="s">
        <v>870</v>
      </c>
      <c r="FU65" s="17" t="s">
        <v>870</v>
      </c>
      <c r="FV65" s="17" t="s">
        <v>870</v>
      </c>
      <c r="FW65" s="17" t="s">
        <v>870</v>
      </c>
      <c r="FX65" s="17" t="s">
        <v>870</v>
      </c>
      <c r="FY65" s="17" t="s">
        <v>870</v>
      </c>
      <c r="FZ65" s="17" t="s">
        <v>870</v>
      </c>
      <c r="GA65" s="17" t="s">
        <v>870</v>
      </c>
      <c r="GB65" s="17" t="s">
        <v>870</v>
      </c>
      <c r="GC65" s="17" t="s">
        <v>870</v>
      </c>
      <c r="GD65" s="17" t="s">
        <v>870</v>
      </c>
      <c r="GE65" s="17" t="s">
        <v>870</v>
      </c>
      <c r="GF65" s="17" t="s">
        <v>870</v>
      </c>
      <c r="GG65" s="17" t="s">
        <v>870</v>
      </c>
      <c r="GH65" s="17" t="s">
        <v>870</v>
      </c>
      <c r="GI65" s="17" t="s">
        <v>870</v>
      </c>
      <c r="GJ65" s="17" t="s">
        <v>870</v>
      </c>
      <c r="GK65" s="17" t="s">
        <v>870</v>
      </c>
      <c r="GL65" s="17" t="s">
        <v>870</v>
      </c>
      <c r="GM65" s="17" t="s">
        <v>870</v>
      </c>
      <c r="GN65" s="17" t="s">
        <v>870</v>
      </c>
      <c r="GO65" s="17" t="s">
        <v>870</v>
      </c>
      <c r="GP65" s="17" t="s">
        <v>870</v>
      </c>
      <c r="GQ65" s="17" t="s">
        <v>870</v>
      </c>
      <c r="GR65" s="17" t="s">
        <v>870</v>
      </c>
      <c r="GS65" s="17" t="s">
        <v>870</v>
      </c>
      <c r="GT65" s="17" t="s">
        <v>870</v>
      </c>
      <c r="GU65" s="17" t="s">
        <v>870</v>
      </c>
      <c r="GV65" s="17" t="s">
        <v>870</v>
      </c>
      <c r="GW65" s="17" t="s">
        <v>870</v>
      </c>
      <c r="GX65" s="63"/>
      <c r="GY65" s="62"/>
      <c r="GZ65" s="17" t="s">
        <v>870</v>
      </c>
      <c r="HA65" s="17" t="s">
        <v>870</v>
      </c>
      <c r="HB65" s="17" t="s">
        <v>870</v>
      </c>
      <c r="HC65" s="17" t="s">
        <v>870</v>
      </c>
      <c r="HD65" s="63"/>
      <c r="HE65" s="63"/>
      <c r="HF65" s="17" t="s">
        <v>870</v>
      </c>
      <c r="HG65" s="17" t="s">
        <v>870</v>
      </c>
      <c r="HH65" s="17" t="s">
        <v>870</v>
      </c>
      <c r="HI65" s="17" t="s">
        <v>870</v>
      </c>
      <c r="HJ65" s="62"/>
      <c r="HK65" s="62"/>
      <c r="HL65" s="61" t="s">
        <v>2</v>
      </c>
      <c r="HM65" s="63"/>
      <c r="HN65" s="61" t="s">
        <v>2</v>
      </c>
      <c r="HO65" s="61" t="s">
        <v>2</v>
      </c>
      <c r="HP65" s="17" t="s">
        <v>870</v>
      </c>
      <c r="HQ65" s="17" t="s">
        <v>870</v>
      </c>
      <c r="HR65" s="17" t="s">
        <v>870</v>
      </c>
      <c r="HS65" s="17" t="s">
        <v>870</v>
      </c>
      <c r="HT65" s="17" t="s">
        <v>870</v>
      </c>
      <c r="HU65" s="17" t="s">
        <v>870</v>
      </c>
      <c r="HV65" s="17" t="s">
        <v>870</v>
      </c>
      <c r="HW65" s="17" t="s">
        <v>870</v>
      </c>
      <c r="HX65" s="17" t="s">
        <v>870</v>
      </c>
      <c r="HY65" s="17" t="s">
        <v>870</v>
      </c>
      <c r="HZ65" s="17" t="s">
        <v>870</v>
      </c>
      <c r="IA65" s="17" t="s">
        <v>870</v>
      </c>
      <c r="IB65" s="17" t="s">
        <v>870</v>
      </c>
      <c r="IC65" s="17" t="s">
        <v>870</v>
      </c>
      <c r="ID65" s="72" t="s">
        <v>1552</v>
      </c>
      <c r="IE65" s="17" t="s">
        <v>870</v>
      </c>
      <c r="IF65" s="17" t="s">
        <v>870</v>
      </c>
      <c r="IG65" s="17" t="s">
        <v>870</v>
      </c>
      <c r="IH65" s="17" t="s">
        <v>870</v>
      </c>
      <c r="II65" s="17" t="s">
        <v>870</v>
      </c>
      <c r="IJ65" s="17" t="s">
        <v>870</v>
      </c>
      <c r="IK65" s="17" t="s">
        <v>870</v>
      </c>
      <c r="IL65" s="62"/>
      <c r="IM65" s="63"/>
      <c r="IN65" s="61" t="s">
        <v>2</v>
      </c>
      <c r="IO65" s="62"/>
    </row>
    <row r="66" spans="1:249" x14ac:dyDescent="0.25">
      <c r="A66" t="s">
        <v>1191</v>
      </c>
      <c r="B66" s="17" t="s">
        <v>870</v>
      </c>
      <c r="C66" s="17" t="s">
        <v>870</v>
      </c>
      <c r="D66" s="17" t="s">
        <v>870</v>
      </c>
      <c r="E66" s="17" t="s">
        <v>870</v>
      </c>
      <c r="F66" s="17" t="s">
        <v>870</v>
      </c>
      <c r="G66" s="17" t="s">
        <v>870</v>
      </c>
      <c r="H66" s="17" t="s">
        <v>870</v>
      </c>
      <c r="I66" s="17" t="s">
        <v>870</v>
      </c>
      <c r="J66" s="17" t="s">
        <v>870</v>
      </c>
      <c r="K66" s="17" t="s">
        <v>870</v>
      </c>
      <c r="L66" s="17" t="s">
        <v>870</v>
      </c>
      <c r="M66" s="17" t="s">
        <v>870</v>
      </c>
      <c r="N66" s="17" t="s">
        <v>870</v>
      </c>
      <c r="O66" s="17" t="s">
        <v>870</v>
      </c>
      <c r="P66" s="17" t="s">
        <v>870</v>
      </c>
      <c r="Q66" s="17" t="s">
        <v>870</v>
      </c>
      <c r="R66" s="17" t="s">
        <v>870</v>
      </c>
      <c r="S66" s="17" t="s">
        <v>870</v>
      </c>
      <c r="T66" s="17" t="s">
        <v>870</v>
      </c>
      <c r="U66" s="17" t="s">
        <v>870</v>
      </c>
      <c r="V66" s="17" t="s">
        <v>870</v>
      </c>
      <c r="W66" s="17" t="s">
        <v>870</v>
      </c>
      <c r="X66" s="17" t="s">
        <v>870</v>
      </c>
      <c r="Y66" s="17" t="s">
        <v>870</v>
      </c>
      <c r="Z66" s="17" t="s">
        <v>870</v>
      </c>
      <c r="AA66" s="17" t="s">
        <v>870</v>
      </c>
      <c r="AB66" s="17" t="s">
        <v>870</v>
      </c>
      <c r="AC66" s="17" t="s">
        <v>870</v>
      </c>
      <c r="AD66" s="17" t="s">
        <v>870</v>
      </c>
      <c r="AE66" s="17" t="s">
        <v>870</v>
      </c>
      <c r="AF66" s="17" t="s">
        <v>870</v>
      </c>
      <c r="AG66" s="17" t="s">
        <v>870</v>
      </c>
      <c r="AH66" s="17" t="s">
        <v>870</v>
      </c>
      <c r="AI66" s="17" t="s">
        <v>870</v>
      </c>
      <c r="AJ66" s="17" t="s">
        <v>870</v>
      </c>
      <c r="AK66" s="17" t="s">
        <v>870</v>
      </c>
      <c r="AL66" s="17" t="s">
        <v>870</v>
      </c>
      <c r="AM66" s="17" t="s">
        <v>870</v>
      </c>
      <c r="AN66" s="17" t="s">
        <v>870</v>
      </c>
      <c r="AO66" s="17" t="s">
        <v>870</v>
      </c>
      <c r="AP66" s="17" t="s">
        <v>870</v>
      </c>
      <c r="AQ66" s="17" t="s">
        <v>870</v>
      </c>
      <c r="AR66" s="17" t="s">
        <v>870</v>
      </c>
      <c r="AS66" s="17" t="s">
        <v>870</v>
      </c>
      <c r="AT66" s="17" t="s">
        <v>870</v>
      </c>
      <c r="AU66" s="17" t="s">
        <v>870</v>
      </c>
      <c r="AV66" s="17" t="s">
        <v>870</v>
      </c>
      <c r="AW66" s="17" t="s">
        <v>870</v>
      </c>
      <c r="AX66" s="17" t="s">
        <v>870</v>
      </c>
      <c r="AY66" s="17" t="s">
        <v>870</v>
      </c>
      <c r="AZ66" s="17" t="s">
        <v>870</v>
      </c>
      <c r="BA66" s="17" t="s">
        <v>870</v>
      </c>
      <c r="BB66" s="17" t="s">
        <v>870</v>
      </c>
      <c r="BC66" s="17" t="s">
        <v>870</v>
      </c>
      <c r="BD66" s="17" t="s">
        <v>870</v>
      </c>
      <c r="BE66" s="17" t="s">
        <v>870</v>
      </c>
      <c r="BF66" s="17" t="s">
        <v>870</v>
      </c>
      <c r="BG66" s="17" t="s">
        <v>870</v>
      </c>
      <c r="BH66" s="17" t="s">
        <v>870</v>
      </c>
      <c r="BI66" s="17" t="s">
        <v>870</v>
      </c>
      <c r="BJ66" s="17" t="s">
        <v>870</v>
      </c>
      <c r="BK66" s="17" t="s">
        <v>870</v>
      </c>
      <c r="BL66" s="17" t="s">
        <v>870</v>
      </c>
      <c r="BM66" s="17" t="s">
        <v>870</v>
      </c>
      <c r="BN66" s="17" t="s">
        <v>870</v>
      </c>
      <c r="BO66" s="17" t="s">
        <v>870</v>
      </c>
      <c r="BP66" s="17" t="s">
        <v>870</v>
      </c>
      <c r="BQ66" s="17" t="s">
        <v>870</v>
      </c>
      <c r="BR66" s="17" t="s">
        <v>870</v>
      </c>
      <c r="BS66" s="17" t="s">
        <v>870</v>
      </c>
      <c r="BT66" s="17" t="s">
        <v>870</v>
      </c>
      <c r="BU66" s="17" t="s">
        <v>870</v>
      </c>
      <c r="BV66" s="17" t="s">
        <v>870</v>
      </c>
      <c r="BW66" s="17" t="s">
        <v>870</v>
      </c>
      <c r="BX66" s="17" t="s">
        <v>870</v>
      </c>
      <c r="BY66" s="17" t="s">
        <v>870</v>
      </c>
      <c r="BZ66" s="17" t="s">
        <v>870</v>
      </c>
      <c r="CA66" s="17" t="s">
        <v>870</v>
      </c>
      <c r="CB66" s="17" t="s">
        <v>870</v>
      </c>
      <c r="CC66" s="17" t="s">
        <v>870</v>
      </c>
      <c r="CD66" s="17" t="s">
        <v>870</v>
      </c>
      <c r="CE66" s="17" t="s">
        <v>870</v>
      </c>
      <c r="CF66" s="17" t="s">
        <v>870</v>
      </c>
      <c r="CG66" s="17" t="s">
        <v>870</v>
      </c>
      <c r="CH66" s="17" t="s">
        <v>870</v>
      </c>
      <c r="CI66" s="17" t="s">
        <v>870</v>
      </c>
      <c r="CJ66" s="17" t="s">
        <v>870</v>
      </c>
      <c r="CK66" s="17" t="s">
        <v>870</v>
      </c>
      <c r="CL66" s="17" t="s">
        <v>870</v>
      </c>
      <c r="CM66" s="17" t="s">
        <v>870</v>
      </c>
      <c r="CN66" s="17" t="s">
        <v>870</v>
      </c>
      <c r="CO66" s="17" t="s">
        <v>870</v>
      </c>
      <c r="CP66" s="17" t="s">
        <v>870</v>
      </c>
      <c r="CQ66" s="17" t="s">
        <v>870</v>
      </c>
      <c r="CR66" s="17" t="s">
        <v>870</v>
      </c>
      <c r="CS66" s="17" t="s">
        <v>870</v>
      </c>
      <c r="CT66" s="17" t="s">
        <v>870</v>
      </c>
      <c r="CU66" s="17" t="s">
        <v>870</v>
      </c>
      <c r="CV66" s="17" t="s">
        <v>870</v>
      </c>
      <c r="CW66" s="17" t="s">
        <v>870</v>
      </c>
      <c r="CX66" s="17" t="s">
        <v>870</v>
      </c>
      <c r="CY66" s="17" t="s">
        <v>870</v>
      </c>
      <c r="CZ66" s="17" t="s">
        <v>870</v>
      </c>
      <c r="DA66" s="17" t="s">
        <v>870</v>
      </c>
      <c r="DB66" s="17" t="s">
        <v>870</v>
      </c>
      <c r="DC66" s="17" t="s">
        <v>870</v>
      </c>
      <c r="DD66" s="17" t="s">
        <v>870</v>
      </c>
      <c r="DE66" s="17" t="s">
        <v>870</v>
      </c>
      <c r="DF66" s="17" t="s">
        <v>870</v>
      </c>
      <c r="DG66" s="17" t="s">
        <v>870</v>
      </c>
      <c r="DH66" s="17" t="s">
        <v>870</v>
      </c>
      <c r="DI66" s="17" t="s">
        <v>870</v>
      </c>
      <c r="DJ66" s="17" t="s">
        <v>870</v>
      </c>
      <c r="DK66" s="17" t="s">
        <v>870</v>
      </c>
      <c r="DL66" s="17" t="s">
        <v>870</v>
      </c>
      <c r="DM66" s="17" t="s">
        <v>870</v>
      </c>
      <c r="DN66" s="17" t="s">
        <v>870</v>
      </c>
      <c r="DO66" s="17" t="s">
        <v>870</v>
      </c>
      <c r="DP66" s="17" t="s">
        <v>870</v>
      </c>
      <c r="DQ66" s="17" t="s">
        <v>870</v>
      </c>
      <c r="DR66" s="17" t="s">
        <v>870</v>
      </c>
      <c r="DS66" s="17" t="s">
        <v>870</v>
      </c>
      <c r="DT66" s="17" t="s">
        <v>870</v>
      </c>
      <c r="DU66" s="17" t="s">
        <v>870</v>
      </c>
      <c r="DV66" s="17" t="s">
        <v>870</v>
      </c>
      <c r="DW66" s="17" t="s">
        <v>870</v>
      </c>
      <c r="DX66" s="17" t="s">
        <v>870</v>
      </c>
      <c r="DY66" s="17" t="s">
        <v>870</v>
      </c>
      <c r="DZ66" s="17" t="s">
        <v>870</v>
      </c>
      <c r="EA66" s="17" t="s">
        <v>870</v>
      </c>
      <c r="EB66" s="17" t="s">
        <v>870</v>
      </c>
      <c r="EC66" s="17" t="s">
        <v>870</v>
      </c>
      <c r="ED66" s="17" t="s">
        <v>870</v>
      </c>
      <c r="EE66" s="17" t="s">
        <v>870</v>
      </c>
      <c r="EF66" s="17" t="s">
        <v>870</v>
      </c>
      <c r="EG66" s="17" t="s">
        <v>870</v>
      </c>
      <c r="EH66" s="17" t="s">
        <v>870</v>
      </c>
      <c r="EI66" s="17" t="s">
        <v>870</v>
      </c>
      <c r="EJ66" s="17" t="s">
        <v>870</v>
      </c>
      <c r="EK66" s="17" t="s">
        <v>870</v>
      </c>
      <c r="EL66" s="17" t="s">
        <v>870</v>
      </c>
      <c r="EM66" s="17" t="s">
        <v>870</v>
      </c>
      <c r="EN66" s="17" t="s">
        <v>870</v>
      </c>
      <c r="EO66" s="17" t="s">
        <v>870</v>
      </c>
      <c r="EP66" s="17" t="s">
        <v>870</v>
      </c>
      <c r="EQ66" s="17" t="s">
        <v>870</v>
      </c>
      <c r="ER66" s="17" t="s">
        <v>870</v>
      </c>
      <c r="ES66" s="17" t="s">
        <v>870</v>
      </c>
      <c r="ET66" s="17" t="s">
        <v>870</v>
      </c>
      <c r="EU66" s="17" t="s">
        <v>870</v>
      </c>
      <c r="EV66" s="17" t="s">
        <v>870</v>
      </c>
      <c r="EW66" s="17" t="s">
        <v>870</v>
      </c>
      <c r="EX66" s="17" t="s">
        <v>870</v>
      </c>
      <c r="EY66" s="17" t="s">
        <v>870</v>
      </c>
      <c r="EZ66" s="17" t="s">
        <v>870</v>
      </c>
      <c r="FA66" s="17" t="s">
        <v>870</v>
      </c>
      <c r="FB66" s="17" t="s">
        <v>870</v>
      </c>
      <c r="FC66" s="17" t="s">
        <v>870</v>
      </c>
      <c r="FD66" s="17" t="s">
        <v>870</v>
      </c>
      <c r="FE66" s="17" t="s">
        <v>870</v>
      </c>
      <c r="FF66" s="17" t="s">
        <v>870</v>
      </c>
      <c r="FG66" s="17" t="s">
        <v>870</v>
      </c>
      <c r="FH66" s="17" t="s">
        <v>870</v>
      </c>
      <c r="FI66" s="17" t="s">
        <v>870</v>
      </c>
      <c r="FJ66" s="17" t="s">
        <v>870</v>
      </c>
      <c r="FK66" s="17" t="s">
        <v>870</v>
      </c>
      <c r="FL66" s="17" t="s">
        <v>870</v>
      </c>
      <c r="FM66" s="17" t="s">
        <v>870</v>
      </c>
      <c r="FN66" s="17" t="s">
        <v>870</v>
      </c>
      <c r="FO66" s="17" t="s">
        <v>870</v>
      </c>
      <c r="FP66" s="17" t="s">
        <v>870</v>
      </c>
      <c r="FQ66" s="17" t="s">
        <v>870</v>
      </c>
      <c r="FR66" s="17" t="s">
        <v>870</v>
      </c>
      <c r="FS66" s="17" t="s">
        <v>870</v>
      </c>
      <c r="FT66" s="17" t="s">
        <v>870</v>
      </c>
      <c r="FU66" s="17" t="s">
        <v>870</v>
      </c>
      <c r="FV66" s="17" t="s">
        <v>870</v>
      </c>
      <c r="FW66" s="17" t="s">
        <v>870</v>
      </c>
      <c r="FX66" s="17" t="s">
        <v>870</v>
      </c>
      <c r="FY66" s="17" t="s">
        <v>870</v>
      </c>
      <c r="FZ66" s="17" t="s">
        <v>870</v>
      </c>
      <c r="GA66" s="17" t="s">
        <v>870</v>
      </c>
      <c r="GB66" s="17" t="s">
        <v>870</v>
      </c>
      <c r="GC66" s="17" t="s">
        <v>870</v>
      </c>
      <c r="GD66" s="17" t="s">
        <v>870</v>
      </c>
      <c r="GE66" s="17" t="s">
        <v>870</v>
      </c>
      <c r="GF66" s="17" t="s">
        <v>870</v>
      </c>
      <c r="GG66" s="17" t="s">
        <v>870</v>
      </c>
      <c r="GH66" s="17" t="s">
        <v>870</v>
      </c>
      <c r="GI66" s="17" t="s">
        <v>870</v>
      </c>
      <c r="GJ66" s="17" t="s">
        <v>870</v>
      </c>
      <c r="GK66" s="17" t="s">
        <v>870</v>
      </c>
      <c r="GL66" s="17" t="s">
        <v>870</v>
      </c>
      <c r="GM66" s="17" t="s">
        <v>870</v>
      </c>
      <c r="GN66" s="17" t="s">
        <v>870</v>
      </c>
      <c r="GO66" s="17" t="s">
        <v>870</v>
      </c>
      <c r="GP66" s="17" t="s">
        <v>870</v>
      </c>
      <c r="GQ66" s="17" t="s">
        <v>870</v>
      </c>
      <c r="GR66" s="17" t="s">
        <v>870</v>
      </c>
      <c r="GS66" s="17" t="s">
        <v>870</v>
      </c>
      <c r="GT66" s="17" t="s">
        <v>870</v>
      </c>
      <c r="GU66" s="17" t="s">
        <v>870</v>
      </c>
      <c r="GV66" s="17" t="s">
        <v>870</v>
      </c>
      <c r="GW66" s="17" t="s">
        <v>870</v>
      </c>
      <c r="GX66" s="17" t="s">
        <v>870</v>
      </c>
      <c r="GY66" s="17" t="s">
        <v>870</v>
      </c>
      <c r="GZ66" s="61" t="s">
        <v>2</v>
      </c>
      <c r="HA66" s="63"/>
      <c r="HB66" s="63"/>
      <c r="HC66" s="63"/>
      <c r="HD66" s="63"/>
      <c r="HE66" s="61" t="s">
        <v>2</v>
      </c>
      <c r="HF66" s="17" t="s">
        <v>870</v>
      </c>
      <c r="HG66" s="17" t="s">
        <v>870</v>
      </c>
      <c r="HH66" s="61" t="s">
        <v>2</v>
      </c>
      <c r="HI66" s="63"/>
      <c r="HJ66" s="17" t="s">
        <v>870</v>
      </c>
      <c r="HK66" s="17" t="s">
        <v>870</v>
      </c>
      <c r="HL66" s="17" t="s">
        <v>870</v>
      </c>
      <c r="HM66" s="17" t="s">
        <v>870</v>
      </c>
      <c r="HN66" s="63"/>
      <c r="HO66" s="61" t="s">
        <v>2</v>
      </c>
      <c r="HP66" s="17" t="s">
        <v>870</v>
      </c>
      <c r="HQ66" s="17" t="s">
        <v>870</v>
      </c>
      <c r="HR66" s="17" t="s">
        <v>870</v>
      </c>
      <c r="HS66" s="17" t="s">
        <v>870</v>
      </c>
      <c r="HT66" s="17" t="s">
        <v>870</v>
      </c>
      <c r="HU66" s="17" t="s">
        <v>870</v>
      </c>
      <c r="HV66" s="63"/>
      <c r="HW66" s="61" t="s">
        <v>2</v>
      </c>
      <c r="HX66" s="63"/>
      <c r="HY66" s="63"/>
      <c r="HZ66" s="17" t="s">
        <v>870</v>
      </c>
      <c r="IA66" s="17" t="s">
        <v>870</v>
      </c>
      <c r="IB66" s="17" t="s">
        <v>870</v>
      </c>
      <c r="IC66" s="17" t="s">
        <v>870</v>
      </c>
      <c r="ID66" s="72" t="s">
        <v>1552</v>
      </c>
      <c r="IE66" s="17" t="s">
        <v>870</v>
      </c>
      <c r="IF66" s="63"/>
      <c r="IG66" s="61" t="s">
        <v>2</v>
      </c>
      <c r="IH66" s="63"/>
      <c r="II66" s="62"/>
      <c r="IJ66" s="63"/>
      <c r="IK66" s="62"/>
      <c r="IL66" s="17" t="s">
        <v>870</v>
      </c>
      <c r="IM66" s="17" t="s">
        <v>870</v>
      </c>
      <c r="IN66" s="63"/>
      <c r="IO66" s="61" t="s">
        <v>2</v>
      </c>
    </row>
    <row r="67" spans="1:249" x14ac:dyDescent="0.25">
      <c r="A67" t="s">
        <v>1182</v>
      </c>
      <c r="B67" s="17" t="s">
        <v>870</v>
      </c>
      <c r="C67" s="17" t="s">
        <v>870</v>
      </c>
      <c r="D67" s="17" t="s">
        <v>870</v>
      </c>
      <c r="E67" s="17" t="s">
        <v>870</v>
      </c>
      <c r="F67" s="17" t="s">
        <v>870</v>
      </c>
      <c r="G67" s="17" t="s">
        <v>870</v>
      </c>
      <c r="H67" s="17" t="s">
        <v>870</v>
      </c>
      <c r="I67" s="17" t="s">
        <v>870</v>
      </c>
      <c r="J67" s="17" t="s">
        <v>870</v>
      </c>
      <c r="K67" s="17" t="s">
        <v>870</v>
      </c>
      <c r="L67" s="17" t="s">
        <v>870</v>
      </c>
      <c r="M67" s="17" t="s">
        <v>870</v>
      </c>
      <c r="N67" s="17" t="s">
        <v>870</v>
      </c>
      <c r="O67" s="17" t="s">
        <v>870</v>
      </c>
      <c r="P67" s="17" t="s">
        <v>870</v>
      </c>
      <c r="Q67" s="17" t="s">
        <v>870</v>
      </c>
      <c r="R67" s="17" t="s">
        <v>870</v>
      </c>
      <c r="S67" s="17" t="s">
        <v>870</v>
      </c>
      <c r="T67" s="17" t="s">
        <v>870</v>
      </c>
      <c r="U67" s="17" t="s">
        <v>870</v>
      </c>
      <c r="V67" s="17" t="s">
        <v>870</v>
      </c>
      <c r="W67" s="17" t="s">
        <v>870</v>
      </c>
      <c r="X67" s="17" t="s">
        <v>870</v>
      </c>
      <c r="Y67" s="17" t="s">
        <v>870</v>
      </c>
      <c r="Z67" s="17" t="s">
        <v>870</v>
      </c>
      <c r="AA67" s="17" t="s">
        <v>870</v>
      </c>
      <c r="AB67" s="17" t="s">
        <v>870</v>
      </c>
      <c r="AC67" s="17" t="s">
        <v>870</v>
      </c>
      <c r="AD67" s="17" t="s">
        <v>870</v>
      </c>
      <c r="AE67" s="17" t="s">
        <v>870</v>
      </c>
      <c r="AF67" s="17" t="s">
        <v>870</v>
      </c>
      <c r="AG67" s="17" t="s">
        <v>870</v>
      </c>
      <c r="AH67" s="17" t="s">
        <v>870</v>
      </c>
      <c r="AI67" s="17" t="s">
        <v>870</v>
      </c>
      <c r="AJ67" s="17" t="s">
        <v>870</v>
      </c>
      <c r="AK67" s="17" t="s">
        <v>870</v>
      </c>
      <c r="AL67" s="17" t="s">
        <v>870</v>
      </c>
      <c r="AM67" s="17" t="s">
        <v>870</v>
      </c>
      <c r="AN67" s="17" t="s">
        <v>870</v>
      </c>
      <c r="AO67" s="17" t="s">
        <v>870</v>
      </c>
      <c r="AP67" s="17" t="s">
        <v>870</v>
      </c>
      <c r="AQ67" s="17" t="s">
        <v>870</v>
      </c>
      <c r="AR67" s="17" t="s">
        <v>870</v>
      </c>
      <c r="AS67" s="17" t="s">
        <v>870</v>
      </c>
      <c r="AT67" s="17" t="s">
        <v>870</v>
      </c>
      <c r="AU67" s="17" t="s">
        <v>870</v>
      </c>
      <c r="AV67" s="17" t="s">
        <v>870</v>
      </c>
      <c r="AW67" s="17" t="s">
        <v>870</v>
      </c>
      <c r="AX67" s="17" t="s">
        <v>870</v>
      </c>
      <c r="AY67" s="17" t="s">
        <v>870</v>
      </c>
      <c r="AZ67" s="17" t="s">
        <v>870</v>
      </c>
      <c r="BA67" s="17" t="s">
        <v>870</v>
      </c>
      <c r="BB67" s="17" t="s">
        <v>870</v>
      </c>
      <c r="BC67" s="17" t="s">
        <v>870</v>
      </c>
      <c r="BD67" s="17" t="s">
        <v>870</v>
      </c>
      <c r="BE67" s="17" t="s">
        <v>870</v>
      </c>
      <c r="BF67" s="17" t="s">
        <v>870</v>
      </c>
      <c r="BG67" s="17" t="s">
        <v>870</v>
      </c>
      <c r="BH67" s="17" t="s">
        <v>870</v>
      </c>
      <c r="BI67" s="17" t="s">
        <v>870</v>
      </c>
      <c r="BJ67" s="17" t="s">
        <v>870</v>
      </c>
      <c r="BK67" s="17" t="s">
        <v>870</v>
      </c>
      <c r="BL67" s="17" t="s">
        <v>870</v>
      </c>
      <c r="BM67" s="17" t="s">
        <v>870</v>
      </c>
      <c r="BN67" s="17" t="s">
        <v>870</v>
      </c>
      <c r="BO67" s="17" t="s">
        <v>870</v>
      </c>
      <c r="BP67" s="17" t="s">
        <v>870</v>
      </c>
      <c r="BQ67" s="17" t="s">
        <v>870</v>
      </c>
      <c r="BR67" s="17" t="s">
        <v>870</v>
      </c>
      <c r="BS67" s="17" t="s">
        <v>870</v>
      </c>
      <c r="BT67" s="17" t="s">
        <v>870</v>
      </c>
      <c r="BU67" s="17" t="s">
        <v>870</v>
      </c>
      <c r="BV67" s="17" t="s">
        <v>870</v>
      </c>
      <c r="BW67" s="17" t="s">
        <v>870</v>
      </c>
      <c r="BX67" s="17" t="s">
        <v>870</v>
      </c>
      <c r="BY67" s="17" t="s">
        <v>870</v>
      </c>
      <c r="BZ67" s="17" t="s">
        <v>870</v>
      </c>
      <c r="CA67" s="17" t="s">
        <v>870</v>
      </c>
      <c r="CB67" s="17" t="s">
        <v>870</v>
      </c>
      <c r="CC67" s="17" t="s">
        <v>870</v>
      </c>
      <c r="CD67" s="17" t="s">
        <v>870</v>
      </c>
      <c r="CE67" s="17" t="s">
        <v>870</v>
      </c>
      <c r="CF67" s="17" t="s">
        <v>870</v>
      </c>
      <c r="CG67" s="17" t="s">
        <v>870</v>
      </c>
      <c r="CH67" s="17" t="s">
        <v>870</v>
      </c>
      <c r="CI67" s="17" t="s">
        <v>870</v>
      </c>
      <c r="CJ67" s="17" t="s">
        <v>870</v>
      </c>
      <c r="CK67" s="17" t="s">
        <v>870</v>
      </c>
      <c r="CL67" s="17" t="s">
        <v>870</v>
      </c>
      <c r="CM67" s="17" t="s">
        <v>870</v>
      </c>
      <c r="CN67" s="17" t="s">
        <v>870</v>
      </c>
      <c r="CO67" s="17" t="s">
        <v>870</v>
      </c>
      <c r="CP67" s="17" t="s">
        <v>870</v>
      </c>
      <c r="CQ67" s="17" t="s">
        <v>870</v>
      </c>
      <c r="CR67" s="17" t="s">
        <v>870</v>
      </c>
      <c r="CS67" s="17" t="s">
        <v>870</v>
      </c>
      <c r="CT67" s="17" t="s">
        <v>870</v>
      </c>
      <c r="CU67" s="17" t="s">
        <v>870</v>
      </c>
      <c r="CV67" s="17" t="s">
        <v>870</v>
      </c>
      <c r="CW67" s="17" t="s">
        <v>870</v>
      </c>
      <c r="CX67" s="17" t="s">
        <v>870</v>
      </c>
      <c r="CY67" s="17" t="s">
        <v>870</v>
      </c>
      <c r="CZ67" s="17" t="s">
        <v>870</v>
      </c>
      <c r="DA67" s="17" t="s">
        <v>870</v>
      </c>
      <c r="DB67" s="17" t="s">
        <v>870</v>
      </c>
      <c r="DC67" s="17" t="s">
        <v>870</v>
      </c>
      <c r="DD67" s="17" t="s">
        <v>870</v>
      </c>
      <c r="DE67" s="17" t="s">
        <v>870</v>
      </c>
      <c r="DF67" s="17" t="s">
        <v>870</v>
      </c>
      <c r="DG67" s="17" t="s">
        <v>870</v>
      </c>
      <c r="DH67" s="17" t="s">
        <v>870</v>
      </c>
      <c r="DI67" s="17" t="s">
        <v>870</v>
      </c>
      <c r="DJ67" s="17" t="s">
        <v>870</v>
      </c>
      <c r="DK67" s="17" t="s">
        <v>870</v>
      </c>
      <c r="DL67" s="17" t="s">
        <v>870</v>
      </c>
      <c r="DM67" s="17" t="s">
        <v>870</v>
      </c>
      <c r="DN67" s="17" t="s">
        <v>870</v>
      </c>
      <c r="DO67" s="17" t="s">
        <v>870</v>
      </c>
      <c r="DP67" s="17" t="s">
        <v>870</v>
      </c>
      <c r="DQ67" s="17" t="s">
        <v>870</v>
      </c>
      <c r="DR67" s="17" t="s">
        <v>870</v>
      </c>
      <c r="DS67" s="17" t="s">
        <v>870</v>
      </c>
      <c r="DT67" s="17" t="s">
        <v>870</v>
      </c>
      <c r="DU67" s="17" t="s">
        <v>870</v>
      </c>
      <c r="DV67" s="17" t="s">
        <v>870</v>
      </c>
      <c r="DW67" s="17" t="s">
        <v>870</v>
      </c>
      <c r="DX67" s="17" t="s">
        <v>870</v>
      </c>
      <c r="DY67" s="17" t="s">
        <v>870</v>
      </c>
      <c r="DZ67" s="17" t="s">
        <v>870</v>
      </c>
      <c r="EA67" s="17" t="s">
        <v>870</v>
      </c>
      <c r="EB67" s="17" t="s">
        <v>870</v>
      </c>
      <c r="EC67" s="17" t="s">
        <v>870</v>
      </c>
      <c r="ED67" s="17" t="s">
        <v>870</v>
      </c>
      <c r="EE67" s="17" t="s">
        <v>870</v>
      </c>
      <c r="EF67" s="17" t="s">
        <v>870</v>
      </c>
      <c r="EG67" s="17" t="s">
        <v>870</v>
      </c>
      <c r="EH67" s="17" t="s">
        <v>870</v>
      </c>
      <c r="EI67" s="17" t="s">
        <v>870</v>
      </c>
      <c r="EJ67" s="17" t="s">
        <v>870</v>
      </c>
      <c r="EK67" s="17" t="s">
        <v>870</v>
      </c>
      <c r="EL67" s="17" t="s">
        <v>870</v>
      </c>
      <c r="EM67" s="17" t="s">
        <v>870</v>
      </c>
      <c r="EN67" s="17" t="s">
        <v>870</v>
      </c>
      <c r="EO67" s="17" t="s">
        <v>870</v>
      </c>
      <c r="EP67" s="17" t="s">
        <v>870</v>
      </c>
      <c r="EQ67" s="17" t="s">
        <v>870</v>
      </c>
      <c r="ER67" s="17" t="s">
        <v>870</v>
      </c>
      <c r="ES67" s="17" t="s">
        <v>870</v>
      </c>
      <c r="ET67" s="17" t="s">
        <v>870</v>
      </c>
      <c r="EU67" s="17" t="s">
        <v>870</v>
      </c>
      <c r="EV67" s="17" t="s">
        <v>870</v>
      </c>
      <c r="EW67" s="17" t="s">
        <v>870</v>
      </c>
      <c r="EX67" s="17" t="s">
        <v>870</v>
      </c>
      <c r="EY67" s="17" t="s">
        <v>870</v>
      </c>
      <c r="EZ67" s="17" t="s">
        <v>870</v>
      </c>
      <c r="FA67" s="17" t="s">
        <v>870</v>
      </c>
      <c r="FB67" s="17" t="s">
        <v>870</v>
      </c>
      <c r="FC67" s="17" t="s">
        <v>870</v>
      </c>
      <c r="FD67" s="17" t="s">
        <v>870</v>
      </c>
      <c r="FE67" s="17" t="s">
        <v>870</v>
      </c>
      <c r="FF67" s="17" t="s">
        <v>870</v>
      </c>
      <c r="FG67" s="17" t="s">
        <v>870</v>
      </c>
      <c r="FH67" s="17" t="s">
        <v>870</v>
      </c>
      <c r="FI67" s="17" t="s">
        <v>870</v>
      </c>
      <c r="FJ67" s="17" t="s">
        <v>870</v>
      </c>
      <c r="FK67" s="17" t="s">
        <v>870</v>
      </c>
      <c r="FL67" s="17" t="s">
        <v>870</v>
      </c>
      <c r="FM67" s="17" t="s">
        <v>870</v>
      </c>
      <c r="FN67" s="17" t="s">
        <v>870</v>
      </c>
      <c r="FO67" s="17" t="s">
        <v>870</v>
      </c>
      <c r="FP67" s="17" t="s">
        <v>870</v>
      </c>
      <c r="FQ67" s="17" t="s">
        <v>870</v>
      </c>
      <c r="FR67" s="17" t="s">
        <v>870</v>
      </c>
      <c r="FS67" s="17" t="s">
        <v>870</v>
      </c>
      <c r="FT67" s="17" t="s">
        <v>870</v>
      </c>
      <c r="FU67" s="17" t="s">
        <v>870</v>
      </c>
      <c r="FV67" s="17" t="s">
        <v>870</v>
      </c>
      <c r="FW67" s="17" t="s">
        <v>870</v>
      </c>
      <c r="FX67" s="17" t="s">
        <v>870</v>
      </c>
      <c r="FY67" s="17" t="s">
        <v>870</v>
      </c>
      <c r="FZ67" s="17" t="s">
        <v>870</v>
      </c>
      <c r="GA67" s="17" t="s">
        <v>870</v>
      </c>
      <c r="GB67" s="17" t="s">
        <v>870</v>
      </c>
      <c r="GC67" s="17" t="s">
        <v>870</v>
      </c>
      <c r="GD67" s="17" t="s">
        <v>870</v>
      </c>
      <c r="GE67" s="17" t="s">
        <v>870</v>
      </c>
      <c r="GF67" s="17" t="s">
        <v>870</v>
      </c>
      <c r="GG67" s="17" t="s">
        <v>870</v>
      </c>
      <c r="GH67" s="17" t="s">
        <v>870</v>
      </c>
      <c r="GI67" s="17" t="s">
        <v>870</v>
      </c>
      <c r="GJ67" s="17" t="s">
        <v>870</v>
      </c>
      <c r="GK67" s="17" t="s">
        <v>870</v>
      </c>
      <c r="GL67" s="17" t="s">
        <v>870</v>
      </c>
      <c r="GM67" s="17" t="s">
        <v>870</v>
      </c>
      <c r="GN67" s="17" t="s">
        <v>870</v>
      </c>
      <c r="GO67" s="17" t="s">
        <v>870</v>
      </c>
      <c r="GP67" s="17" t="s">
        <v>870</v>
      </c>
      <c r="GQ67" s="17" t="s">
        <v>870</v>
      </c>
      <c r="GR67" s="17" t="s">
        <v>870</v>
      </c>
      <c r="GS67" s="17" t="s">
        <v>870</v>
      </c>
      <c r="GT67" s="17" t="s">
        <v>870</v>
      </c>
      <c r="GU67" s="17" t="s">
        <v>870</v>
      </c>
      <c r="GV67" s="17" t="s">
        <v>870</v>
      </c>
      <c r="GW67" s="17" t="s">
        <v>870</v>
      </c>
      <c r="GX67" s="17" t="s">
        <v>870</v>
      </c>
      <c r="GY67" s="17" t="s">
        <v>870</v>
      </c>
      <c r="GZ67" s="63"/>
      <c r="HA67" s="63"/>
      <c r="HB67" s="17" t="s">
        <v>870</v>
      </c>
      <c r="HC67" s="17" t="s">
        <v>870</v>
      </c>
      <c r="HD67" s="63"/>
      <c r="HE67" s="63"/>
      <c r="HF67" s="17" t="s">
        <v>870</v>
      </c>
      <c r="HG67" s="17" t="s">
        <v>870</v>
      </c>
      <c r="HH67" s="63"/>
      <c r="HI67" s="63"/>
      <c r="HJ67" s="17" t="s">
        <v>870</v>
      </c>
      <c r="HK67" s="17" t="s">
        <v>870</v>
      </c>
      <c r="HL67" s="63"/>
      <c r="HM67" s="63"/>
      <c r="HN67" s="62"/>
      <c r="HO67" s="63"/>
      <c r="HP67" s="17" t="s">
        <v>870</v>
      </c>
      <c r="HQ67" s="17" t="s">
        <v>870</v>
      </c>
      <c r="HR67" s="17" t="s">
        <v>870</v>
      </c>
      <c r="HS67" s="17" t="s">
        <v>870</v>
      </c>
      <c r="HT67" s="17" t="s">
        <v>870</v>
      </c>
      <c r="HU67" s="17" t="s">
        <v>870</v>
      </c>
      <c r="HV67" s="17" t="s">
        <v>870</v>
      </c>
      <c r="HW67" s="17" t="s">
        <v>870</v>
      </c>
      <c r="HX67" s="61" t="s">
        <v>2</v>
      </c>
      <c r="HY67" s="61" t="s">
        <v>2</v>
      </c>
      <c r="HZ67" s="63"/>
      <c r="IA67" s="62"/>
      <c r="IB67" s="63"/>
      <c r="IC67" s="63"/>
      <c r="ID67" s="72" t="s">
        <v>1552</v>
      </c>
      <c r="IE67" s="17" t="s">
        <v>870</v>
      </c>
      <c r="IF67" s="17" t="s">
        <v>870</v>
      </c>
      <c r="IG67" s="17" t="s">
        <v>870</v>
      </c>
      <c r="IH67" s="61" t="s">
        <v>2</v>
      </c>
      <c r="II67" s="63"/>
      <c r="IJ67" s="61" t="s">
        <v>2</v>
      </c>
      <c r="IK67" s="61" t="s">
        <v>2</v>
      </c>
      <c r="IL67" s="63"/>
      <c r="IM67" s="63"/>
      <c r="IN67" s="17" t="s">
        <v>870</v>
      </c>
      <c r="IO67" s="17" t="s">
        <v>870</v>
      </c>
    </row>
    <row r="68" spans="1:249" x14ac:dyDescent="0.25">
      <c r="A68" t="s">
        <v>1193</v>
      </c>
      <c r="B68" s="17" t="s">
        <v>870</v>
      </c>
      <c r="C68" s="17" t="s">
        <v>870</v>
      </c>
      <c r="D68" s="17" t="s">
        <v>870</v>
      </c>
      <c r="E68" s="17" t="s">
        <v>870</v>
      </c>
      <c r="F68" s="17" t="s">
        <v>870</v>
      </c>
      <c r="G68" s="17" t="s">
        <v>870</v>
      </c>
      <c r="H68" s="17" t="s">
        <v>870</v>
      </c>
      <c r="I68" s="17" t="s">
        <v>870</v>
      </c>
      <c r="J68" s="17" t="s">
        <v>870</v>
      </c>
      <c r="K68" s="17" t="s">
        <v>870</v>
      </c>
      <c r="L68" s="17" t="s">
        <v>870</v>
      </c>
      <c r="M68" s="17" t="s">
        <v>870</v>
      </c>
      <c r="N68" s="17" t="s">
        <v>870</v>
      </c>
      <c r="O68" s="17" t="s">
        <v>870</v>
      </c>
      <c r="P68" s="17" t="s">
        <v>870</v>
      </c>
      <c r="Q68" s="17" t="s">
        <v>870</v>
      </c>
      <c r="R68" s="17" t="s">
        <v>870</v>
      </c>
      <c r="S68" s="17" t="s">
        <v>870</v>
      </c>
      <c r="T68" s="17" t="s">
        <v>870</v>
      </c>
      <c r="U68" s="17" t="s">
        <v>870</v>
      </c>
      <c r="V68" s="17" t="s">
        <v>870</v>
      </c>
      <c r="W68" s="17" t="s">
        <v>870</v>
      </c>
      <c r="X68" s="17" t="s">
        <v>870</v>
      </c>
      <c r="Y68" s="17" t="s">
        <v>870</v>
      </c>
      <c r="Z68" s="17" t="s">
        <v>870</v>
      </c>
      <c r="AA68" s="17" t="s">
        <v>870</v>
      </c>
      <c r="AB68" s="17" t="s">
        <v>870</v>
      </c>
      <c r="AC68" s="17" t="s">
        <v>870</v>
      </c>
      <c r="AD68" s="17" t="s">
        <v>870</v>
      </c>
      <c r="AE68" s="17" t="s">
        <v>870</v>
      </c>
      <c r="AF68" s="17" t="s">
        <v>870</v>
      </c>
      <c r="AG68" s="17" t="s">
        <v>870</v>
      </c>
      <c r="AH68" s="17" t="s">
        <v>870</v>
      </c>
      <c r="AI68" s="17" t="s">
        <v>870</v>
      </c>
      <c r="AJ68" s="17" t="s">
        <v>870</v>
      </c>
      <c r="AK68" s="17" t="s">
        <v>870</v>
      </c>
      <c r="AL68" s="17" t="s">
        <v>870</v>
      </c>
      <c r="AM68" s="17" t="s">
        <v>870</v>
      </c>
      <c r="AN68" s="17" t="s">
        <v>870</v>
      </c>
      <c r="AO68" s="17" t="s">
        <v>870</v>
      </c>
      <c r="AP68" s="17" t="s">
        <v>870</v>
      </c>
      <c r="AQ68" s="17" t="s">
        <v>870</v>
      </c>
      <c r="AR68" s="17" t="s">
        <v>870</v>
      </c>
      <c r="AS68" s="17" t="s">
        <v>870</v>
      </c>
      <c r="AT68" s="17" t="s">
        <v>870</v>
      </c>
      <c r="AU68" s="17" t="s">
        <v>870</v>
      </c>
      <c r="AV68" s="17" t="s">
        <v>870</v>
      </c>
      <c r="AW68" s="17" t="s">
        <v>870</v>
      </c>
      <c r="AX68" s="17" t="s">
        <v>870</v>
      </c>
      <c r="AY68" s="17" t="s">
        <v>870</v>
      </c>
      <c r="AZ68" s="17" t="s">
        <v>870</v>
      </c>
      <c r="BA68" s="17" t="s">
        <v>870</v>
      </c>
      <c r="BB68" s="17" t="s">
        <v>870</v>
      </c>
      <c r="BC68" s="17" t="s">
        <v>870</v>
      </c>
      <c r="BD68" s="17" t="s">
        <v>870</v>
      </c>
      <c r="BE68" s="17" t="s">
        <v>870</v>
      </c>
      <c r="BF68" s="17" t="s">
        <v>870</v>
      </c>
      <c r="BG68" s="17" t="s">
        <v>870</v>
      </c>
      <c r="BH68" s="17" t="s">
        <v>870</v>
      </c>
      <c r="BI68" s="17" t="s">
        <v>870</v>
      </c>
      <c r="BJ68" s="17" t="s">
        <v>870</v>
      </c>
      <c r="BK68" s="17" t="s">
        <v>870</v>
      </c>
      <c r="BL68" s="17" t="s">
        <v>870</v>
      </c>
      <c r="BM68" s="17" t="s">
        <v>870</v>
      </c>
      <c r="BN68" s="17" t="s">
        <v>870</v>
      </c>
      <c r="BO68" s="17" t="s">
        <v>870</v>
      </c>
      <c r="BP68" s="17" t="s">
        <v>870</v>
      </c>
      <c r="BQ68" s="17" t="s">
        <v>870</v>
      </c>
      <c r="BR68" s="17" t="s">
        <v>870</v>
      </c>
      <c r="BS68" s="17" t="s">
        <v>870</v>
      </c>
      <c r="BT68" s="17" t="s">
        <v>870</v>
      </c>
      <c r="BU68" s="17" t="s">
        <v>870</v>
      </c>
      <c r="BV68" s="17" t="s">
        <v>870</v>
      </c>
      <c r="BW68" s="17" t="s">
        <v>870</v>
      </c>
      <c r="BX68" s="17" t="s">
        <v>870</v>
      </c>
      <c r="BY68" s="17" t="s">
        <v>870</v>
      </c>
      <c r="BZ68" s="17" t="s">
        <v>870</v>
      </c>
      <c r="CA68" s="17" t="s">
        <v>870</v>
      </c>
      <c r="CB68" s="17" t="s">
        <v>870</v>
      </c>
      <c r="CC68" s="17" t="s">
        <v>870</v>
      </c>
      <c r="CD68" s="17" t="s">
        <v>870</v>
      </c>
      <c r="CE68" s="17" t="s">
        <v>870</v>
      </c>
      <c r="CF68" s="17" t="s">
        <v>870</v>
      </c>
      <c r="CG68" s="17" t="s">
        <v>870</v>
      </c>
      <c r="CH68" s="17" t="s">
        <v>870</v>
      </c>
      <c r="CI68" s="17" t="s">
        <v>870</v>
      </c>
      <c r="CJ68" s="17" t="s">
        <v>870</v>
      </c>
      <c r="CK68" s="17" t="s">
        <v>870</v>
      </c>
      <c r="CL68" s="17" t="s">
        <v>870</v>
      </c>
      <c r="CM68" s="17" t="s">
        <v>870</v>
      </c>
      <c r="CN68" s="17" t="s">
        <v>870</v>
      </c>
      <c r="CO68" s="17" t="s">
        <v>870</v>
      </c>
      <c r="CP68" s="17" t="s">
        <v>870</v>
      </c>
      <c r="CQ68" s="17" t="s">
        <v>870</v>
      </c>
      <c r="CR68" s="17" t="s">
        <v>870</v>
      </c>
      <c r="CS68" s="17" t="s">
        <v>870</v>
      </c>
      <c r="CT68" s="17" t="s">
        <v>870</v>
      </c>
      <c r="CU68" s="17" t="s">
        <v>870</v>
      </c>
      <c r="CV68" s="17" t="s">
        <v>870</v>
      </c>
      <c r="CW68" s="17" t="s">
        <v>870</v>
      </c>
      <c r="CX68" s="17" t="s">
        <v>870</v>
      </c>
      <c r="CY68" s="17" t="s">
        <v>870</v>
      </c>
      <c r="CZ68" s="17" t="s">
        <v>870</v>
      </c>
      <c r="DA68" s="17" t="s">
        <v>870</v>
      </c>
      <c r="DB68" s="17" t="s">
        <v>870</v>
      </c>
      <c r="DC68" s="17" t="s">
        <v>870</v>
      </c>
      <c r="DD68" s="17" t="s">
        <v>870</v>
      </c>
      <c r="DE68" s="17" t="s">
        <v>870</v>
      </c>
      <c r="DF68" s="17" t="s">
        <v>870</v>
      </c>
      <c r="DG68" s="17" t="s">
        <v>870</v>
      </c>
      <c r="DH68" s="17" t="s">
        <v>870</v>
      </c>
      <c r="DI68" s="17" t="s">
        <v>870</v>
      </c>
      <c r="DJ68" s="17" t="s">
        <v>870</v>
      </c>
      <c r="DK68" s="17" t="s">
        <v>870</v>
      </c>
      <c r="DL68" s="17" t="s">
        <v>870</v>
      </c>
      <c r="DM68" s="17" t="s">
        <v>870</v>
      </c>
      <c r="DN68" s="17" t="s">
        <v>870</v>
      </c>
      <c r="DO68" s="17" t="s">
        <v>870</v>
      </c>
      <c r="DP68" s="17" t="s">
        <v>870</v>
      </c>
      <c r="DQ68" s="17" t="s">
        <v>870</v>
      </c>
      <c r="DR68" s="17" t="s">
        <v>870</v>
      </c>
      <c r="DS68" s="17" t="s">
        <v>870</v>
      </c>
      <c r="DT68" s="17" t="s">
        <v>870</v>
      </c>
      <c r="DU68" s="17" t="s">
        <v>870</v>
      </c>
      <c r="DV68" s="17" t="s">
        <v>870</v>
      </c>
      <c r="DW68" s="17" t="s">
        <v>870</v>
      </c>
      <c r="DX68" s="17" t="s">
        <v>870</v>
      </c>
      <c r="DY68" s="17" t="s">
        <v>870</v>
      </c>
      <c r="DZ68" s="17" t="s">
        <v>870</v>
      </c>
      <c r="EA68" s="17" t="s">
        <v>870</v>
      </c>
      <c r="EB68" s="17" t="s">
        <v>870</v>
      </c>
      <c r="EC68" s="17" t="s">
        <v>870</v>
      </c>
      <c r="ED68" s="17" t="s">
        <v>870</v>
      </c>
      <c r="EE68" s="17" t="s">
        <v>870</v>
      </c>
      <c r="EF68" s="17" t="s">
        <v>870</v>
      </c>
      <c r="EG68" s="17" t="s">
        <v>870</v>
      </c>
      <c r="EH68" s="17" t="s">
        <v>870</v>
      </c>
      <c r="EI68" s="17" t="s">
        <v>870</v>
      </c>
      <c r="EJ68" s="17" t="s">
        <v>870</v>
      </c>
      <c r="EK68" s="17" t="s">
        <v>870</v>
      </c>
      <c r="EL68" s="17" t="s">
        <v>870</v>
      </c>
      <c r="EM68" s="17" t="s">
        <v>870</v>
      </c>
      <c r="EN68" s="17" t="s">
        <v>870</v>
      </c>
      <c r="EO68" s="17" t="s">
        <v>870</v>
      </c>
      <c r="EP68" s="17" t="s">
        <v>870</v>
      </c>
      <c r="EQ68" s="17" t="s">
        <v>870</v>
      </c>
      <c r="ER68" s="17" t="s">
        <v>870</v>
      </c>
      <c r="ES68" s="17" t="s">
        <v>870</v>
      </c>
      <c r="ET68" s="17" t="s">
        <v>870</v>
      </c>
      <c r="EU68" s="17" t="s">
        <v>870</v>
      </c>
      <c r="EV68" s="17" t="s">
        <v>870</v>
      </c>
      <c r="EW68" s="17" t="s">
        <v>870</v>
      </c>
      <c r="EX68" s="17" t="s">
        <v>870</v>
      </c>
      <c r="EY68" s="17" t="s">
        <v>870</v>
      </c>
      <c r="EZ68" s="17" t="s">
        <v>870</v>
      </c>
      <c r="FA68" s="17" t="s">
        <v>870</v>
      </c>
      <c r="FB68" s="17" t="s">
        <v>870</v>
      </c>
      <c r="FC68" s="17" t="s">
        <v>870</v>
      </c>
      <c r="FD68" s="17" t="s">
        <v>870</v>
      </c>
      <c r="FE68" s="17" t="s">
        <v>870</v>
      </c>
      <c r="FF68" s="17" t="s">
        <v>870</v>
      </c>
      <c r="FG68" s="17" t="s">
        <v>870</v>
      </c>
      <c r="FH68" s="17" t="s">
        <v>870</v>
      </c>
      <c r="FI68" s="17" t="s">
        <v>870</v>
      </c>
      <c r="FJ68" s="17" t="s">
        <v>870</v>
      </c>
      <c r="FK68" s="17" t="s">
        <v>870</v>
      </c>
      <c r="FL68" s="17" t="s">
        <v>870</v>
      </c>
      <c r="FM68" s="17" t="s">
        <v>870</v>
      </c>
      <c r="FN68" s="17" t="s">
        <v>870</v>
      </c>
      <c r="FO68" s="17" t="s">
        <v>870</v>
      </c>
      <c r="FP68" s="17" t="s">
        <v>870</v>
      </c>
      <c r="FQ68" s="17" t="s">
        <v>870</v>
      </c>
      <c r="FR68" s="17" t="s">
        <v>870</v>
      </c>
      <c r="FS68" s="17" t="s">
        <v>870</v>
      </c>
      <c r="FT68" s="17" t="s">
        <v>870</v>
      </c>
      <c r="FU68" s="17" t="s">
        <v>870</v>
      </c>
      <c r="FV68" s="17" t="s">
        <v>870</v>
      </c>
      <c r="FW68" s="17" t="s">
        <v>870</v>
      </c>
      <c r="FX68" s="17" t="s">
        <v>870</v>
      </c>
      <c r="FY68" s="17" t="s">
        <v>870</v>
      </c>
      <c r="FZ68" s="17" t="s">
        <v>870</v>
      </c>
      <c r="GA68" s="17" t="s">
        <v>870</v>
      </c>
      <c r="GB68" s="17" t="s">
        <v>870</v>
      </c>
      <c r="GC68" s="17" t="s">
        <v>870</v>
      </c>
      <c r="GD68" s="17" t="s">
        <v>870</v>
      </c>
      <c r="GE68" s="17" t="s">
        <v>870</v>
      </c>
      <c r="GF68" s="17" t="s">
        <v>870</v>
      </c>
      <c r="GG68" s="17" t="s">
        <v>870</v>
      </c>
      <c r="GH68" s="17" t="s">
        <v>870</v>
      </c>
      <c r="GI68" s="17" t="s">
        <v>870</v>
      </c>
      <c r="GJ68" s="17" t="s">
        <v>870</v>
      </c>
      <c r="GK68" s="17" t="s">
        <v>870</v>
      </c>
      <c r="GL68" s="17" t="s">
        <v>870</v>
      </c>
      <c r="GM68" s="17" t="s">
        <v>870</v>
      </c>
      <c r="GN68" s="17" t="s">
        <v>870</v>
      </c>
      <c r="GO68" s="17" t="s">
        <v>870</v>
      </c>
      <c r="GP68" s="17" t="s">
        <v>870</v>
      </c>
      <c r="GQ68" s="17" t="s">
        <v>870</v>
      </c>
      <c r="GR68" s="17" t="s">
        <v>870</v>
      </c>
      <c r="GS68" s="17" t="s">
        <v>870</v>
      </c>
      <c r="GT68" s="17" t="s">
        <v>870</v>
      </c>
      <c r="GU68" s="17" t="s">
        <v>870</v>
      </c>
      <c r="GV68" s="17" t="s">
        <v>870</v>
      </c>
      <c r="GW68" s="17" t="s">
        <v>870</v>
      </c>
      <c r="GX68" s="17" t="s">
        <v>870</v>
      </c>
      <c r="GY68" s="17" t="s">
        <v>870</v>
      </c>
      <c r="GZ68" s="17" t="s">
        <v>870</v>
      </c>
      <c r="HA68" s="17" t="s">
        <v>870</v>
      </c>
      <c r="HB68" s="17" t="s">
        <v>870</v>
      </c>
      <c r="HC68" s="17" t="s">
        <v>870</v>
      </c>
      <c r="HD68" s="17" t="s">
        <v>870</v>
      </c>
      <c r="HE68" s="17" t="s">
        <v>870</v>
      </c>
      <c r="HF68" s="17" t="s">
        <v>870</v>
      </c>
      <c r="HG68" s="17" t="s">
        <v>870</v>
      </c>
      <c r="HH68" s="63"/>
      <c r="HI68" s="63"/>
      <c r="HJ68" s="17" t="s">
        <v>870</v>
      </c>
      <c r="HK68" s="17" t="s">
        <v>870</v>
      </c>
      <c r="HL68" s="61" t="s">
        <v>2</v>
      </c>
      <c r="HM68" s="63"/>
      <c r="HN68" s="62"/>
      <c r="HO68" s="63"/>
      <c r="HP68" s="17" t="s">
        <v>870</v>
      </c>
      <c r="HQ68" s="17" t="s">
        <v>870</v>
      </c>
      <c r="HR68" s="17" t="s">
        <v>870</v>
      </c>
      <c r="HS68" s="17" t="s">
        <v>870</v>
      </c>
      <c r="HT68" s="17" t="s">
        <v>870</v>
      </c>
      <c r="HU68" s="17" t="s">
        <v>870</v>
      </c>
      <c r="HV68" s="17" t="s">
        <v>870</v>
      </c>
      <c r="HW68" s="17" t="s">
        <v>870</v>
      </c>
      <c r="HX68" s="17" t="s">
        <v>870</v>
      </c>
      <c r="HY68" s="17" t="s">
        <v>870</v>
      </c>
      <c r="HZ68" s="63"/>
      <c r="IA68" s="63"/>
      <c r="IB68" s="63"/>
      <c r="IC68" s="63"/>
      <c r="ID68" s="72" t="s">
        <v>1552</v>
      </c>
      <c r="IE68" s="17" t="s">
        <v>870</v>
      </c>
      <c r="IF68" s="17" t="s">
        <v>870</v>
      </c>
      <c r="IG68" s="63"/>
      <c r="IH68" s="17" t="s">
        <v>870</v>
      </c>
      <c r="II68" s="17" t="s">
        <v>870</v>
      </c>
      <c r="IJ68" s="62"/>
      <c r="IK68" s="63"/>
      <c r="IL68" s="17" t="s">
        <v>870</v>
      </c>
      <c r="IM68" s="17" t="s">
        <v>870</v>
      </c>
      <c r="IN68" s="62"/>
      <c r="IO68" s="63"/>
    </row>
    <row r="69" spans="1:249" x14ac:dyDescent="0.25">
      <c r="A69" t="s">
        <v>1369</v>
      </c>
      <c r="B69" s="17" t="s">
        <v>870</v>
      </c>
      <c r="C69" s="17" t="s">
        <v>870</v>
      </c>
      <c r="D69" s="17" t="s">
        <v>870</v>
      </c>
      <c r="E69" s="17" t="s">
        <v>870</v>
      </c>
      <c r="F69" s="17" t="s">
        <v>870</v>
      </c>
      <c r="G69" s="17" t="s">
        <v>870</v>
      </c>
      <c r="H69" s="17" t="s">
        <v>870</v>
      </c>
      <c r="I69" s="17" t="s">
        <v>870</v>
      </c>
      <c r="J69" s="17" t="s">
        <v>870</v>
      </c>
      <c r="K69" s="17" t="s">
        <v>870</v>
      </c>
      <c r="L69" s="17" t="s">
        <v>870</v>
      </c>
      <c r="M69" s="17" t="s">
        <v>870</v>
      </c>
      <c r="N69" s="17" t="s">
        <v>870</v>
      </c>
      <c r="O69" s="17" t="s">
        <v>870</v>
      </c>
      <c r="P69" s="17" t="s">
        <v>870</v>
      </c>
      <c r="Q69" s="17" t="s">
        <v>870</v>
      </c>
      <c r="R69" s="17" t="s">
        <v>870</v>
      </c>
      <c r="S69" s="17" t="s">
        <v>870</v>
      </c>
      <c r="T69" s="17" t="s">
        <v>870</v>
      </c>
      <c r="U69" s="17" t="s">
        <v>870</v>
      </c>
      <c r="V69" s="17" t="s">
        <v>870</v>
      </c>
      <c r="W69" s="17" t="s">
        <v>870</v>
      </c>
      <c r="X69" s="17" t="s">
        <v>870</v>
      </c>
      <c r="Y69" s="17" t="s">
        <v>870</v>
      </c>
      <c r="Z69" s="17" t="s">
        <v>870</v>
      </c>
      <c r="AA69" s="17" t="s">
        <v>870</v>
      </c>
      <c r="AB69" s="17" t="s">
        <v>870</v>
      </c>
      <c r="AC69" s="17" t="s">
        <v>870</v>
      </c>
      <c r="AD69" s="17" t="s">
        <v>870</v>
      </c>
      <c r="AE69" s="17" t="s">
        <v>870</v>
      </c>
      <c r="AF69" s="17" t="s">
        <v>870</v>
      </c>
      <c r="AG69" s="17" t="s">
        <v>870</v>
      </c>
      <c r="AH69" s="17" t="s">
        <v>870</v>
      </c>
      <c r="AI69" s="17" t="s">
        <v>870</v>
      </c>
      <c r="AJ69" s="17" t="s">
        <v>870</v>
      </c>
      <c r="AK69" s="17" t="s">
        <v>870</v>
      </c>
      <c r="AL69" s="17" t="s">
        <v>870</v>
      </c>
      <c r="AM69" s="17" t="s">
        <v>870</v>
      </c>
      <c r="AN69" s="17" t="s">
        <v>870</v>
      </c>
      <c r="AO69" s="17" t="s">
        <v>870</v>
      </c>
      <c r="AP69" s="17" t="s">
        <v>870</v>
      </c>
      <c r="AQ69" s="17" t="s">
        <v>870</v>
      </c>
      <c r="AR69" s="17" t="s">
        <v>870</v>
      </c>
      <c r="AS69" s="17" t="s">
        <v>870</v>
      </c>
      <c r="AT69" s="17" t="s">
        <v>870</v>
      </c>
      <c r="AU69" s="17" t="s">
        <v>870</v>
      </c>
      <c r="AV69" s="17" t="s">
        <v>870</v>
      </c>
      <c r="AW69" s="17" t="s">
        <v>870</v>
      </c>
      <c r="AX69" s="17" t="s">
        <v>870</v>
      </c>
      <c r="AY69" s="17" t="s">
        <v>870</v>
      </c>
      <c r="AZ69" s="17" t="s">
        <v>870</v>
      </c>
      <c r="BA69" s="17" t="s">
        <v>870</v>
      </c>
      <c r="BB69" s="17" t="s">
        <v>870</v>
      </c>
      <c r="BC69" s="17" t="s">
        <v>870</v>
      </c>
      <c r="BD69" s="17" t="s">
        <v>870</v>
      </c>
      <c r="BE69" s="17" t="s">
        <v>870</v>
      </c>
      <c r="BF69" s="17" t="s">
        <v>870</v>
      </c>
      <c r="BG69" s="17" t="s">
        <v>870</v>
      </c>
      <c r="BH69" s="17" t="s">
        <v>870</v>
      </c>
      <c r="BI69" s="17" t="s">
        <v>870</v>
      </c>
      <c r="BJ69" s="17" t="s">
        <v>870</v>
      </c>
      <c r="BK69" s="17" t="s">
        <v>870</v>
      </c>
      <c r="BL69" s="17" t="s">
        <v>870</v>
      </c>
      <c r="BM69" s="17" t="s">
        <v>870</v>
      </c>
      <c r="BN69" s="17" t="s">
        <v>870</v>
      </c>
      <c r="BO69" s="17" t="s">
        <v>870</v>
      </c>
      <c r="BP69" s="17" t="s">
        <v>870</v>
      </c>
      <c r="BQ69" s="17" t="s">
        <v>870</v>
      </c>
      <c r="BR69" s="17" t="s">
        <v>870</v>
      </c>
      <c r="BS69" s="17" t="s">
        <v>870</v>
      </c>
      <c r="BT69" s="17" t="s">
        <v>870</v>
      </c>
      <c r="BU69" s="17" t="s">
        <v>870</v>
      </c>
      <c r="BV69" s="17" t="s">
        <v>870</v>
      </c>
      <c r="BW69" s="17" t="s">
        <v>870</v>
      </c>
      <c r="BX69" s="17" t="s">
        <v>870</v>
      </c>
      <c r="BY69" s="17" t="s">
        <v>870</v>
      </c>
      <c r="BZ69" s="17" t="s">
        <v>870</v>
      </c>
      <c r="CA69" s="17" t="s">
        <v>870</v>
      </c>
      <c r="CB69" s="17" t="s">
        <v>870</v>
      </c>
      <c r="CC69" s="17" t="s">
        <v>870</v>
      </c>
      <c r="CD69" s="17" t="s">
        <v>870</v>
      </c>
      <c r="CE69" s="17" t="s">
        <v>870</v>
      </c>
      <c r="CF69" s="17" t="s">
        <v>870</v>
      </c>
      <c r="CG69" s="17" t="s">
        <v>870</v>
      </c>
      <c r="CH69" s="17" t="s">
        <v>870</v>
      </c>
      <c r="CI69" s="17" t="s">
        <v>870</v>
      </c>
      <c r="CJ69" s="17" t="s">
        <v>870</v>
      </c>
      <c r="CK69" s="17" t="s">
        <v>870</v>
      </c>
      <c r="CL69" s="17" t="s">
        <v>870</v>
      </c>
      <c r="CM69" s="17" t="s">
        <v>870</v>
      </c>
      <c r="CN69" s="17" t="s">
        <v>870</v>
      </c>
      <c r="CO69" s="17" t="s">
        <v>870</v>
      </c>
      <c r="CP69" s="17" t="s">
        <v>870</v>
      </c>
      <c r="CQ69" s="17" t="s">
        <v>870</v>
      </c>
      <c r="CR69" s="17" t="s">
        <v>870</v>
      </c>
      <c r="CS69" s="17" t="s">
        <v>870</v>
      </c>
      <c r="CT69" s="17" t="s">
        <v>870</v>
      </c>
      <c r="CU69" s="17" t="s">
        <v>870</v>
      </c>
      <c r="CV69" s="17" t="s">
        <v>870</v>
      </c>
      <c r="CW69" s="17" t="s">
        <v>870</v>
      </c>
      <c r="CX69" s="17" t="s">
        <v>870</v>
      </c>
      <c r="CY69" s="17" t="s">
        <v>870</v>
      </c>
      <c r="CZ69" s="17" t="s">
        <v>870</v>
      </c>
      <c r="DA69" s="17" t="s">
        <v>870</v>
      </c>
      <c r="DB69" s="17" t="s">
        <v>870</v>
      </c>
      <c r="DC69" s="17" t="s">
        <v>870</v>
      </c>
      <c r="DD69" s="17" t="s">
        <v>870</v>
      </c>
      <c r="DE69" s="17" t="s">
        <v>870</v>
      </c>
      <c r="DF69" s="17" t="s">
        <v>870</v>
      </c>
      <c r="DG69" s="17" t="s">
        <v>870</v>
      </c>
      <c r="DH69" s="17" t="s">
        <v>870</v>
      </c>
      <c r="DI69" s="17" t="s">
        <v>870</v>
      </c>
      <c r="DJ69" s="17" t="s">
        <v>870</v>
      </c>
      <c r="DK69" s="17" t="s">
        <v>870</v>
      </c>
      <c r="DL69" s="17" t="s">
        <v>870</v>
      </c>
      <c r="DM69" s="17" t="s">
        <v>870</v>
      </c>
      <c r="DN69" s="17" t="s">
        <v>870</v>
      </c>
      <c r="DO69" s="17" t="s">
        <v>870</v>
      </c>
      <c r="DP69" s="17" t="s">
        <v>870</v>
      </c>
      <c r="DQ69" s="17" t="s">
        <v>870</v>
      </c>
      <c r="DR69" s="17" t="s">
        <v>870</v>
      </c>
      <c r="DS69" s="17" t="s">
        <v>870</v>
      </c>
      <c r="DT69" s="17" t="s">
        <v>870</v>
      </c>
      <c r="DU69" s="17" t="s">
        <v>870</v>
      </c>
      <c r="DV69" s="17" t="s">
        <v>870</v>
      </c>
      <c r="DW69" s="17" t="s">
        <v>870</v>
      </c>
      <c r="DX69" s="17" t="s">
        <v>870</v>
      </c>
      <c r="DY69" s="17" t="s">
        <v>870</v>
      </c>
      <c r="DZ69" s="17" t="s">
        <v>870</v>
      </c>
      <c r="EA69" s="17" t="s">
        <v>870</v>
      </c>
      <c r="EB69" s="17" t="s">
        <v>870</v>
      </c>
      <c r="EC69" s="17" t="s">
        <v>870</v>
      </c>
      <c r="ED69" s="17" t="s">
        <v>870</v>
      </c>
      <c r="EE69" s="17" t="s">
        <v>870</v>
      </c>
      <c r="EF69" s="17" t="s">
        <v>870</v>
      </c>
      <c r="EG69" s="17" t="s">
        <v>870</v>
      </c>
      <c r="EH69" s="17" t="s">
        <v>870</v>
      </c>
      <c r="EI69" s="17" t="s">
        <v>870</v>
      </c>
      <c r="EJ69" s="17" t="s">
        <v>870</v>
      </c>
      <c r="EK69" s="17" t="s">
        <v>870</v>
      </c>
      <c r="EL69" s="17" t="s">
        <v>870</v>
      </c>
      <c r="EM69" s="17" t="s">
        <v>870</v>
      </c>
      <c r="EN69" s="17" t="s">
        <v>870</v>
      </c>
      <c r="EO69" s="17" t="s">
        <v>870</v>
      </c>
      <c r="EP69" s="17" t="s">
        <v>870</v>
      </c>
      <c r="EQ69" s="17" t="s">
        <v>870</v>
      </c>
      <c r="ER69" s="17" t="s">
        <v>870</v>
      </c>
      <c r="ES69" s="17" t="s">
        <v>870</v>
      </c>
      <c r="ET69" s="17" t="s">
        <v>870</v>
      </c>
      <c r="EU69" s="17" t="s">
        <v>870</v>
      </c>
      <c r="EV69" s="17" t="s">
        <v>870</v>
      </c>
      <c r="EW69" s="17" t="s">
        <v>870</v>
      </c>
      <c r="EX69" s="17" t="s">
        <v>870</v>
      </c>
      <c r="EY69" s="17" t="s">
        <v>870</v>
      </c>
      <c r="EZ69" s="17" t="s">
        <v>870</v>
      </c>
      <c r="FA69" s="17" t="s">
        <v>870</v>
      </c>
      <c r="FB69" s="17" t="s">
        <v>870</v>
      </c>
      <c r="FC69" s="17" t="s">
        <v>870</v>
      </c>
      <c r="FD69" s="17" t="s">
        <v>870</v>
      </c>
      <c r="FE69" s="17" t="s">
        <v>870</v>
      </c>
      <c r="FF69" s="17" t="s">
        <v>870</v>
      </c>
      <c r="FG69" s="17" t="s">
        <v>870</v>
      </c>
      <c r="FH69" s="17" t="s">
        <v>870</v>
      </c>
      <c r="FI69" s="17" t="s">
        <v>870</v>
      </c>
      <c r="FJ69" s="17" t="s">
        <v>870</v>
      </c>
      <c r="FK69" s="17" t="s">
        <v>870</v>
      </c>
      <c r="FL69" s="17" t="s">
        <v>870</v>
      </c>
      <c r="FM69" s="17" t="s">
        <v>870</v>
      </c>
      <c r="FN69" s="17" t="s">
        <v>870</v>
      </c>
      <c r="FO69" s="17" t="s">
        <v>870</v>
      </c>
      <c r="FP69" s="17" t="s">
        <v>870</v>
      </c>
      <c r="FQ69" s="17" t="s">
        <v>870</v>
      </c>
      <c r="FR69" s="17" t="s">
        <v>870</v>
      </c>
      <c r="FS69" s="17" t="s">
        <v>870</v>
      </c>
      <c r="FT69" s="17" t="s">
        <v>870</v>
      </c>
      <c r="FU69" s="17" t="s">
        <v>870</v>
      </c>
      <c r="FV69" s="17" t="s">
        <v>870</v>
      </c>
      <c r="FW69" s="17" t="s">
        <v>870</v>
      </c>
      <c r="FX69" s="17" t="s">
        <v>870</v>
      </c>
      <c r="FY69" s="17" t="s">
        <v>870</v>
      </c>
      <c r="FZ69" s="17" t="s">
        <v>870</v>
      </c>
      <c r="GA69" s="17" t="s">
        <v>870</v>
      </c>
      <c r="GB69" s="17" t="s">
        <v>870</v>
      </c>
      <c r="GC69" s="17" t="s">
        <v>870</v>
      </c>
      <c r="GD69" s="17" t="s">
        <v>870</v>
      </c>
      <c r="GE69" s="17" t="s">
        <v>870</v>
      </c>
      <c r="GF69" s="17" t="s">
        <v>870</v>
      </c>
      <c r="GG69" s="17" t="s">
        <v>870</v>
      </c>
      <c r="GH69" s="17" t="s">
        <v>870</v>
      </c>
      <c r="GI69" s="17" t="s">
        <v>870</v>
      </c>
      <c r="GJ69" s="17" t="s">
        <v>870</v>
      </c>
      <c r="GK69" s="17" t="s">
        <v>870</v>
      </c>
      <c r="GL69" s="17" t="s">
        <v>870</v>
      </c>
      <c r="GM69" s="17" t="s">
        <v>870</v>
      </c>
      <c r="GN69" s="17" t="s">
        <v>870</v>
      </c>
      <c r="GO69" s="17" t="s">
        <v>870</v>
      </c>
      <c r="GP69" s="17" t="s">
        <v>870</v>
      </c>
      <c r="GQ69" s="17" t="s">
        <v>870</v>
      </c>
      <c r="GR69" s="17" t="s">
        <v>870</v>
      </c>
      <c r="GS69" s="17" t="s">
        <v>870</v>
      </c>
      <c r="GT69" s="17" t="s">
        <v>870</v>
      </c>
      <c r="GU69" s="17" t="s">
        <v>870</v>
      </c>
      <c r="GV69" s="17" t="s">
        <v>870</v>
      </c>
      <c r="GW69" s="17" t="s">
        <v>870</v>
      </c>
      <c r="GX69" s="17" t="s">
        <v>870</v>
      </c>
      <c r="GY69" s="17" t="s">
        <v>870</v>
      </c>
      <c r="GZ69" s="17" t="s">
        <v>870</v>
      </c>
      <c r="HA69" s="17" t="s">
        <v>870</v>
      </c>
      <c r="HB69" s="17" t="s">
        <v>870</v>
      </c>
      <c r="HC69" s="17" t="s">
        <v>870</v>
      </c>
      <c r="HD69" s="17" t="s">
        <v>870</v>
      </c>
      <c r="HE69" s="17" t="s">
        <v>870</v>
      </c>
      <c r="HF69" s="17" t="s">
        <v>870</v>
      </c>
      <c r="HG69" s="17" t="s">
        <v>870</v>
      </c>
      <c r="HH69" s="17" t="s">
        <v>870</v>
      </c>
      <c r="HI69" s="17" t="s">
        <v>870</v>
      </c>
      <c r="HJ69" s="17" t="s">
        <v>870</v>
      </c>
      <c r="HK69" s="17" t="s">
        <v>870</v>
      </c>
      <c r="HL69" s="17" t="s">
        <v>870</v>
      </c>
      <c r="HM69" s="17" t="s">
        <v>870</v>
      </c>
      <c r="HN69" s="63"/>
      <c r="HO69" s="63"/>
      <c r="HP69" s="17" t="s">
        <v>870</v>
      </c>
      <c r="HQ69" s="17" t="s">
        <v>870</v>
      </c>
      <c r="HR69" s="17" t="s">
        <v>870</v>
      </c>
      <c r="HS69" s="17" t="s">
        <v>870</v>
      </c>
      <c r="HT69" s="17" t="s">
        <v>870</v>
      </c>
      <c r="HU69" s="17" t="s">
        <v>870</v>
      </c>
      <c r="HV69" s="17" t="s">
        <v>870</v>
      </c>
      <c r="HW69" s="17" t="s">
        <v>870</v>
      </c>
      <c r="HX69" s="17" t="s">
        <v>870</v>
      </c>
      <c r="HY69" s="17" t="s">
        <v>870</v>
      </c>
      <c r="HZ69" s="17" t="s">
        <v>870</v>
      </c>
      <c r="IA69" s="17" t="s">
        <v>870</v>
      </c>
      <c r="IB69" s="17" t="s">
        <v>870</v>
      </c>
      <c r="IC69" s="17" t="s">
        <v>870</v>
      </c>
      <c r="ID69" s="72" t="s">
        <v>1552</v>
      </c>
      <c r="IE69" s="17" t="s">
        <v>870</v>
      </c>
      <c r="IF69" s="17" t="s">
        <v>870</v>
      </c>
      <c r="IG69" s="17" t="s">
        <v>870</v>
      </c>
      <c r="IH69" s="17" t="s">
        <v>870</v>
      </c>
      <c r="II69" s="17" t="s">
        <v>870</v>
      </c>
      <c r="IJ69" s="63"/>
      <c r="IK69" s="63"/>
      <c r="IL69" s="63"/>
      <c r="IM69" s="63"/>
      <c r="IN69" s="17" t="s">
        <v>870</v>
      </c>
      <c r="IO69" s="17" t="s">
        <v>870</v>
      </c>
    </row>
    <row r="70" spans="1:249" x14ac:dyDescent="0.25">
      <c r="A70" t="s">
        <v>1478</v>
      </c>
      <c r="B70" s="17" t="s">
        <v>870</v>
      </c>
      <c r="C70" s="17" t="s">
        <v>870</v>
      </c>
      <c r="D70" s="17" t="s">
        <v>870</v>
      </c>
      <c r="E70" s="17" t="s">
        <v>870</v>
      </c>
      <c r="F70" s="17" t="s">
        <v>870</v>
      </c>
      <c r="G70" s="17" t="s">
        <v>870</v>
      </c>
      <c r="H70" s="17" t="s">
        <v>870</v>
      </c>
      <c r="I70" s="17" t="s">
        <v>870</v>
      </c>
      <c r="J70" s="17" t="s">
        <v>870</v>
      </c>
      <c r="K70" s="17" t="s">
        <v>870</v>
      </c>
      <c r="L70" s="17" t="s">
        <v>870</v>
      </c>
      <c r="M70" s="17" t="s">
        <v>870</v>
      </c>
      <c r="N70" s="17" t="s">
        <v>870</v>
      </c>
      <c r="O70" s="17" t="s">
        <v>870</v>
      </c>
      <c r="P70" s="17" t="s">
        <v>870</v>
      </c>
      <c r="Q70" s="17" t="s">
        <v>870</v>
      </c>
      <c r="R70" s="17" t="s">
        <v>870</v>
      </c>
      <c r="S70" s="17" t="s">
        <v>870</v>
      </c>
      <c r="T70" s="17" t="s">
        <v>870</v>
      </c>
      <c r="U70" s="17" t="s">
        <v>870</v>
      </c>
      <c r="V70" s="17" t="s">
        <v>870</v>
      </c>
      <c r="W70" s="17" t="s">
        <v>870</v>
      </c>
      <c r="X70" s="17" t="s">
        <v>870</v>
      </c>
      <c r="Y70" s="17" t="s">
        <v>870</v>
      </c>
      <c r="Z70" s="17" t="s">
        <v>870</v>
      </c>
      <c r="AA70" s="17" t="s">
        <v>870</v>
      </c>
      <c r="AB70" s="17" t="s">
        <v>870</v>
      </c>
      <c r="AC70" s="17" t="s">
        <v>870</v>
      </c>
      <c r="AD70" s="17" t="s">
        <v>870</v>
      </c>
      <c r="AE70" s="17" t="s">
        <v>870</v>
      </c>
      <c r="AF70" s="17" t="s">
        <v>870</v>
      </c>
      <c r="AG70" s="17" t="s">
        <v>870</v>
      </c>
      <c r="AH70" s="17" t="s">
        <v>870</v>
      </c>
      <c r="AI70" s="17" t="s">
        <v>870</v>
      </c>
      <c r="AJ70" s="17" t="s">
        <v>870</v>
      </c>
      <c r="AK70" s="17" t="s">
        <v>870</v>
      </c>
      <c r="AL70" s="17" t="s">
        <v>870</v>
      </c>
      <c r="AM70" s="17" t="s">
        <v>870</v>
      </c>
      <c r="AN70" s="17" t="s">
        <v>870</v>
      </c>
      <c r="AO70" s="17" t="s">
        <v>870</v>
      </c>
      <c r="AP70" s="17" t="s">
        <v>870</v>
      </c>
      <c r="AQ70" s="17" t="s">
        <v>870</v>
      </c>
      <c r="AR70" s="17" t="s">
        <v>870</v>
      </c>
      <c r="AS70" s="17" t="s">
        <v>870</v>
      </c>
      <c r="AT70" s="17" t="s">
        <v>870</v>
      </c>
      <c r="AU70" s="17" t="s">
        <v>870</v>
      </c>
      <c r="AV70" s="17" t="s">
        <v>870</v>
      </c>
      <c r="AW70" s="17" t="s">
        <v>870</v>
      </c>
      <c r="AX70" s="17" t="s">
        <v>870</v>
      </c>
      <c r="AY70" s="17" t="s">
        <v>870</v>
      </c>
      <c r="AZ70" s="17" t="s">
        <v>870</v>
      </c>
      <c r="BA70" s="17" t="s">
        <v>870</v>
      </c>
      <c r="BB70" s="17" t="s">
        <v>870</v>
      </c>
      <c r="BC70" s="17" t="s">
        <v>870</v>
      </c>
      <c r="BD70" s="17" t="s">
        <v>870</v>
      </c>
      <c r="BE70" s="17" t="s">
        <v>870</v>
      </c>
      <c r="BF70" s="17" t="s">
        <v>870</v>
      </c>
      <c r="BG70" s="17" t="s">
        <v>870</v>
      </c>
      <c r="BH70" s="17" t="s">
        <v>870</v>
      </c>
      <c r="BI70" s="17" t="s">
        <v>870</v>
      </c>
      <c r="BJ70" s="17" t="s">
        <v>870</v>
      </c>
      <c r="BK70" s="17" t="s">
        <v>870</v>
      </c>
      <c r="BL70" s="17" t="s">
        <v>870</v>
      </c>
      <c r="BM70" s="17" t="s">
        <v>870</v>
      </c>
      <c r="BN70" s="17" t="s">
        <v>870</v>
      </c>
      <c r="BO70" s="17" t="s">
        <v>870</v>
      </c>
      <c r="BP70" s="17" t="s">
        <v>870</v>
      </c>
      <c r="BQ70" s="17" t="s">
        <v>870</v>
      </c>
      <c r="BR70" s="17" t="s">
        <v>870</v>
      </c>
      <c r="BS70" s="17" t="s">
        <v>870</v>
      </c>
      <c r="BT70" s="17" t="s">
        <v>870</v>
      </c>
      <c r="BU70" s="17" t="s">
        <v>870</v>
      </c>
      <c r="BV70" s="17" t="s">
        <v>870</v>
      </c>
      <c r="BW70" s="17" t="s">
        <v>870</v>
      </c>
      <c r="BX70" s="17" t="s">
        <v>870</v>
      </c>
      <c r="BY70" s="17" t="s">
        <v>870</v>
      </c>
      <c r="BZ70" s="17" t="s">
        <v>870</v>
      </c>
      <c r="CA70" s="17" t="s">
        <v>870</v>
      </c>
      <c r="CB70" s="17" t="s">
        <v>870</v>
      </c>
      <c r="CC70" s="17" t="s">
        <v>870</v>
      </c>
      <c r="CD70" s="17" t="s">
        <v>870</v>
      </c>
      <c r="CE70" s="17" t="s">
        <v>870</v>
      </c>
      <c r="CF70" s="17" t="s">
        <v>870</v>
      </c>
      <c r="CG70" s="17" t="s">
        <v>870</v>
      </c>
      <c r="CH70" s="17" t="s">
        <v>870</v>
      </c>
      <c r="CI70" s="17" t="s">
        <v>870</v>
      </c>
      <c r="CJ70" s="17" t="s">
        <v>870</v>
      </c>
      <c r="CK70" s="17" t="s">
        <v>870</v>
      </c>
      <c r="CL70" s="17" t="s">
        <v>870</v>
      </c>
      <c r="CM70" s="17" t="s">
        <v>870</v>
      </c>
      <c r="CN70" s="17" t="s">
        <v>870</v>
      </c>
      <c r="CO70" s="17" t="s">
        <v>870</v>
      </c>
      <c r="CP70" s="17" t="s">
        <v>870</v>
      </c>
      <c r="CQ70" s="17" t="s">
        <v>870</v>
      </c>
      <c r="CR70" s="17" t="s">
        <v>870</v>
      </c>
      <c r="CS70" s="17" t="s">
        <v>870</v>
      </c>
      <c r="CT70" s="17" t="s">
        <v>870</v>
      </c>
      <c r="CU70" s="17" t="s">
        <v>870</v>
      </c>
      <c r="CV70" s="17" t="s">
        <v>870</v>
      </c>
      <c r="CW70" s="17" t="s">
        <v>870</v>
      </c>
      <c r="CX70" s="17" t="s">
        <v>870</v>
      </c>
      <c r="CY70" s="17" t="s">
        <v>870</v>
      </c>
      <c r="CZ70" s="17" t="s">
        <v>870</v>
      </c>
      <c r="DA70" s="17" t="s">
        <v>870</v>
      </c>
      <c r="DB70" s="17" t="s">
        <v>870</v>
      </c>
      <c r="DC70" s="17" t="s">
        <v>870</v>
      </c>
      <c r="DD70" s="17" t="s">
        <v>870</v>
      </c>
      <c r="DE70" s="17" t="s">
        <v>870</v>
      </c>
      <c r="DF70" s="17" t="s">
        <v>870</v>
      </c>
      <c r="DG70" s="17" t="s">
        <v>870</v>
      </c>
      <c r="DH70" s="17" t="s">
        <v>870</v>
      </c>
      <c r="DI70" s="17" t="s">
        <v>870</v>
      </c>
      <c r="DJ70" s="17" t="s">
        <v>870</v>
      </c>
      <c r="DK70" s="17" t="s">
        <v>870</v>
      </c>
      <c r="DL70" s="17" t="s">
        <v>870</v>
      </c>
      <c r="DM70" s="17" t="s">
        <v>870</v>
      </c>
      <c r="DN70" s="17" t="s">
        <v>870</v>
      </c>
      <c r="DO70" s="17" t="s">
        <v>870</v>
      </c>
      <c r="DP70" s="17" t="s">
        <v>870</v>
      </c>
      <c r="DQ70" s="17" t="s">
        <v>870</v>
      </c>
      <c r="DR70" s="17" t="s">
        <v>870</v>
      </c>
      <c r="DS70" s="17" t="s">
        <v>870</v>
      </c>
      <c r="DT70" s="17" t="s">
        <v>870</v>
      </c>
      <c r="DU70" s="17" t="s">
        <v>870</v>
      </c>
      <c r="DV70" s="17" t="s">
        <v>870</v>
      </c>
      <c r="DW70" s="17" t="s">
        <v>870</v>
      </c>
      <c r="DX70" s="17" t="s">
        <v>870</v>
      </c>
      <c r="DY70" s="17" t="s">
        <v>870</v>
      </c>
      <c r="DZ70" s="17" t="s">
        <v>870</v>
      </c>
      <c r="EA70" s="17" t="s">
        <v>870</v>
      </c>
      <c r="EB70" s="17" t="s">
        <v>870</v>
      </c>
      <c r="EC70" s="17" t="s">
        <v>870</v>
      </c>
      <c r="ED70" s="17" t="s">
        <v>870</v>
      </c>
      <c r="EE70" s="17" t="s">
        <v>870</v>
      </c>
      <c r="EF70" s="17" t="s">
        <v>870</v>
      </c>
      <c r="EG70" s="17" t="s">
        <v>870</v>
      </c>
      <c r="EH70" s="17" t="s">
        <v>870</v>
      </c>
      <c r="EI70" s="17" t="s">
        <v>870</v>
      </c>
      <c r="EJ70" s="17" t="s">
        <v>870</v>
      </c>
      <c r="EK70" s="17" t="s">
        <v>870</v>
      </c>
      <c r="EL70" s="17" t="s">
        <v>870</v>
      </c>
      <c r="EM70" s="17" t="s">
        <v>870</v>
      </c>
      <c r="EN70" s="17" t="s">
        <v>870</v>
      </c>
      <c r="EO70" s="17" t="s">
        <v>870</v>
      </c>
      <c r="EP70" s="17" t="s">
        <v>870</v>
      </c>
      <c r="EQ70" s="17" t="s">
        <v>870</v>
      </c>
      <c r="ER70" s="17" t="s">
        <v>870</v>
      </c>
      <c r="ES70" s="17" t="s">
        <v>870</v>
      </c>
      <c r="ET70" s="17" t="s">
        <v>870</v>
      </c>
      <c r="EU70" s="17" t="s">
        <v>870</v>
      </c>
      <c r="EV70" s="17" t="s">
        <v>870</v>
      </c>
      <c r="EW70" s="17" t="s">
        <v>870</v>
      </c>
      <c r="EX70" s="17" t="s">
        <v>870</v>
      </c>
      <c r="EY70" s="17" t="s">
        <v>870</v>
      </c>
      <c r="EZ70" s="17" t="s">
        <v>870</v>
      </c>
      <c r="FA70" s="17" t="s">
        <v>870</v>
      </c>
      <c r="FB70" s="17" t="s">
        <v>870</v>
      </c>
      <c r="FC70" s="17" t="s">
        <v>870</v>
      </c>
      <c r="FD70" s="17" t="s">
        <v>870</v>
      </c>
      <c r="FE70" s="17" t="s">
        <v>870</v>
      </c>
      <c r="FF70" s="17" t="s">
        <v>870</v>
      </c>
      <c r="FG70" s="17" t="s">
        <v>870</v>
      </c>
      <c r="FH70" s="17" t="s">
        <v>870</v>
      </c>
      <c r="FI70" s="17" t="s">
        <v>870</v>
      </c>
      <c r="FJ70" s="17" t="s">
        <v>870</v>
      </c>
      <c r="FK70" s="17" t="s">
        <v>870</v>
      </c>
      <c r="FL70" s="17" t="s">
        <v>870</v>
      </c>
      <c r="FM70" s="17" t="s">
        <v>870</v>
      </c>
      <c r="FN70" s="17" t="s">
        <v>870</v>
      </c>
      <c r="FO70" s="17" t="s">
        <v>870</v>
      </c>
      <c r="FP70" s="17" t="s">
        <v>870</v>
      </c>
      <c r="FQ70" s="17" t="s">
        <v>870</v>
      </c>
      <c r="FR70" s="17" t="s">
        <v>870</v>
      </c>
      <c r="FS70" s="17" t="s">
        <v>870</v>
      </c>
      <c r="FT70" s="17" t="s">
        <v>870</v>
      </c>
      <c r="FU70" s="17" t="s">
        <v>870</v>
      </c>
      <c r="FV70" s="17" t="s">
        <v>870</v>
      </c>
      <c r="FW70" s="17" t="s">
        <v>870</v>
      </c>
      <c r="FX70" s="17" t="s">
        <v>870</v>
      </c>
      <c r="FY70" s="17" t="s">
        <v>870</v>
      </c>
      <c r="FZ70" s="17" t="s">
        <v>870</v>
      </c>
      <c r="GA70" s="17" t="s">
        <v>870</v>
      </c>
      <c r="GB70" s="17" t="s">
        <v>870</v>
      </c>
      <c r="GC70" s="17" t="s">
        <v>870</v>
      </c>
      <c r="GD70" s="17" t="s">
        <v>870</v>
      </c>
      <c r="GE70" s="17" t="s">
        <v>870</v>
      </c>
      <c r="GF70" s="17" t="s">
        <v>870</v>
      </c>
      <c r="GG70" s="17" t="s">
        <v>870</v>
      </c>
      <c r="GH70" s="17" t="s">
        <v>870</v>
      </c>
      <c r="GI70" s="17" t="s">
        <v>870</v>
      </c>
      <c r="GJ70" s="17" t="s">
        <v>870</v>
      </c>
      <c r="GK70" s="17" t="s">
        <v>870</v>
      </c>
      <c r="GL70" s="17" t="s">
        <v>870</v>
      </c>
      <c r="GM70" s="17" t="s">
        <v>870</v>
      </c>
      <c r="GN70" s="17" t="s">
        <v>870</v>
      </c>
      <c r="GO70" s="17" t="s">
        <v>870</v>
      </c>
      <c r="GP70" s="17" t="s">
        <v>870</v>
      </c>
      <c r="GQ70" s="17" t="s">
        <v>870</v>
      </c>
      <c r="GR70" s="17" t="s">
        <v>870</v>
      </c>
      <c r="GS70" s="17" t="s">
        <v>870</v>
      </c>
      <c r="GT70" s="17" t="s">
        <v>870</v>
      </c>
      <c r="GU70" s="17" t="s">
        <v>870</v>
      </c>
      <c r="GV70" s="17" t="s">
        <v>870</v>
      </c>
      <c r="GW70" s="17" t="s">
        <v>870</v>
      </c>
      <c r="GX70" s="17" t="s">
        <v>870</v>
      </c>
      <c r="GY70" s="17" t="s">
        <v>870</v>
      </c>
      <c r="GZ70" s="17" t="s">
        <v>870</v>
      </c>
      <c r="HA70" s="17" t="s">
        <v>870</v>
      </c>
      <c r="HB70" s="17" t="s">
        <v>870</v>
      </c>
      <c r="HC70" s="17" t="s">
        <v>870</v>
      </c>
      <c r="HD70" s="17" t="s">
        <v>870</v>
      </c>
      <c r="HE70" s="17" t="s">
        <v>870</v>
      </c>
      <c r="HF70" s="17" t="s">
        <v>870</v>
      </c>
      <c r="HG70" s="17" t="s">
        <v>870</v>
      </c>
      <c r="HH70" s="17" t="s">
        <v>870</v>
      </c>
      <c r="HI70" s="17" t="s">
        <v>870</v>
      </c>
      <c r="HJ70" s="17" t="s">
        <v>870</v>
      </c>
      <c r="HK70" s="17" t="s">
        <v>870</v>
      </c>
      <c r="HL70" s="17" t="s">
        <v>870</v>
      </c>
      <c r="HM70" s="17" t="s">
        <v>870</v>
      </c>
      <c r="HN70" s="17" t="s">
        <v>870</v>
      </c>
      <c r="HO70" s="17" t="s">
        <v>870</v>
      </c>
      <c r="HP70" s="63"/>
      <c r="HQ70" s="63"/>
      <c r="HR70" s="63"/>
      <c r="HS70" s="63"/>
      <c r="HT70" s="63"/>
      <c r="HU70" s="63"/>
      <c r="HV70" s="63"/>
      <c r="HW70" s="63"/>
      <c r="HX70" s="17" t="s">
        <v>870</v>
      </c>
      <c r="HY70" s="17" t="s">
        <v>870</v>
      </c>
      <c r="HZ70" s="17" t="s">
        <v>870</v>
      </c>
      <c r="IA70" s="17" t="s">
        <v>870</v>
      </c>
      <c r="IB70" s="17" t="s">
        <v>870</v>
      </c>
      <c r="IC70" s="17" t="s">
        <v>870</v>
      </c>
      <c r="ID70" s="72" t="s">
        <v>1552</v>
      </c>
      <c r="IE70" s="17" t="s">
        <v>870</v>
      </c>
      <c r="IF70" s="17" t="s">
        <v>870</v>
      </c>
      <c r="IG70" s="17" t="s">
        <v>870</v>
      </c>
      <c r="IH70" s="17" t="s">
        <v>870</v>
      </c>
      <c r="II70" s="17" t="s">
        <v>870</v>
      </c>
      <c r="IJ70" s="17" t="s">
        <v>870</v>
      </c>
      <c r="IK70" s="17" t="s">
        <v>870</v>
      </c>
      <c r="IL70" s="17" t="s">
        <v>870</v>
      </c>
      <c r="IM70" s="17" t="s">
        <v>870</v>
      </c>
      <c r="IN70" s="17" t="s">
        <v>870</v>
      </c>
      <c r="IO70" s="17" t="s">
        <v>870</v>
      </c>
    </row>
    <row r="71" spans="1:249" x14ac:dyDescent="0.25">
      <c r="A71" t="s">
        <v>1192</v>
      </c>
      <c r="B71" s="17" t="s">
        <v>870</v>
      </c>
      <c r="C71" s="17" t="s">
        <v>870</v>
      </c>
      <c r="D71" s="17" t="s">
        <v>870</v>
      </c>
      <c r="E71" s="17" t="s">
        <v>870</v>
      </c>
      <c r="F71" s="17" t="s">
        <v>870</v>
      </c>
      <c r="G71" s="17" t="s">
        <v>870</v>
      </c>
      <c r="H71" s="17" t="s">
        <v>870</v>
      </c>
      <c r="I71" s="17" t="s">
        <v>870</v>
      </c>
      <c r="J71" s="17" t="s">
        <v>870</v>
      </c>
      <c r="K71" s="17" t="s">
        <v>870</v>
      </c>
      <c r="L71" s="17" t="s">
        <v>870</v>
      </c>
      <c r="M71" s="17" t="s">
        <v>870</v>
      </c>
      <c r="N71" s="17" t="s">
        <v>870</v>
      </c>
      <c r="O71" s="17" t="s">
        <v>870</v>
      </c>
      <c r="P71" s="17" t="s">
        <v>870</v>
      </c>
      <c r="Q71" s="17" t="s">
        <v>870</v>
      </c>
      <c r="R71" s="17" t="s">
        <v>870</v>
      </c>
      <c r="S71" s="17" t="s">
        <v>870</v>
      </c>
      <c r="T71" s="17" t="s">
        <v>870</v>
      </c>
      <c r="U71" s="17" t="s">
        <v>870</v>
      </c>
      <c r="V71" s="17" t="s">
        <v>870</v>
      </c>
      <c r="W71" s="17" t="s">
        <v>870</v>
      </c>
      <c r="X71" s="17" t="s">
        <v>870</v>
      </c>
      <c r="Y71" s="17" t="s">
        <v>870</v>
      </c>
      <c r="Z71" s="17" t="s">
        <v>870</v>
      </c>
      <c r="AA71" s="17" t="s">
        <v>870</v>
      </c>
      <c r="AB71" s="17" t="s">
        <v>870</v>
      </c>
      <c r="AC71" s="17" t="s">
        <v>870</v>
      </c>
      <c r="AD71" s="17" t="s">
        <v>870</v>
      </c>
      <c r="AE71" s="17" t="s">
        <v>870</v>
      </c>
      <c r="AF71" s="17" t="s">
        <v>870</v>
      </c>
      <c r="AG71" s="17" t="s">
        <v>870</v>
      </c>
      <c r="AH71" s="17" t="s">
        <v>870</v>
      </c>
      <c r="AI71" s="17" t="s">
        <v>870</v>
      </c>
      <c r="AJ71" s="17" t="s">
        <v>870</v>
      </c>
      <c r="AK71" s="17" t="s">
        <v>870</v>
      </c>
      <c r="AL71" s="17" t="s">
        <v>870</v>
      </c>
      <c r="AM71" s="17" t="s">
        <v>870</v>
      </c>
      <c r="AN71" s="17" t="s">
        <v>870</v>
      </c>
      <c r="AO71" s="17" t="s">
        <v>870</v>
      </c>
      <c r="AP71" s="17" t="s">
        <v>870</v>
      </c>
      <c r="AQ71" s="17" t="s">
        <v>870</v>
      </c>
      <c r="AR71" s="17" t="s">
        <v>870</v>
      </c>
      <c r="AS71" s="17" t="s">
        <v>870</v>
      </c>
      <c r="AT71" s="17" t="s">
        <v>870</v>
      </c>
      <c r="AU71" s="17" t="s">
        <v>870</v>
      </c>
      <c r="AV71" s="17" t="s">
        <v>870</v>
      </c>
      <c r="AW71" s="17" t="s">
        <v>870</v>
      </c>
      <c r="AX71" s="17" t="s">
        <v>870</v>
      </c>
      <c r="AY71" s="17" t="s">
        <v>870</v>
      </c>
      <c r="AZ71" s="17" t="s">
        <v>870</v>
      </c>
      <c r="BA71" s="17" t="s">
        <v>870</v>
      </c>
      <c r="BB71" s="17" t="s">
        <v>870</v>
      </c>
      <c r="BC71" s="17" t="s">
        <v>870</v>
      </c>
      <c r="BD71" s="17" t="s">
        <v>870</v>
      </c>
      <c r="BE71" s="17" t="s">
        <v>870</v>
      </c>
      <c r="BF71" s="17" t="s">
        <v>870</v>
      </c>
      <c r="BG71" s="17" t="s">
        <v>870</v>
      </c>
      <c r="BH71" s="17" t="s">
        <v>870</v>
      </c>
      <c r="BI71" s="17" t="s">
        <v>870</v>
      </c>
      <c r="BJ71" s="17" t="s">
        <v>870</v>
      </c>
      <c r="BK71" s="17" t="s">
        <v>870</v>
      </c>
      <c r="BL71" s="17" t="s">
        <v>870</v>
      </c>
      <c r="BM71" s="17" t="s">
        <v>870</v>
      </c>
      <c r="BN71" s="17" t="s">
        <v>870</v>
      </c>
      <c r="BO71" s="17" t="s">
        <v>870</v>
      </c>
      <c r="BP71" s="17" t="s">
        <v>870</v>
      </c>
      <c r="BQ71" s="17" t="s">
        <v>870</v>
      </c>
      <c r="BR71" s="17" t="s">
        <v>870</v>
      </c>
      <c r="BS71" s="17" t="s">
        <v>870</v>
      </c>
      <c r="BT71" s="17" t="s">
        <v>870</v>
      </c>
      <c r="BU71" s="17" t="s">
        <v>870</v>
      </c>
      <c r="BV71" s="17" t="s">
        <v>870</v>
      </c>
      <c r="BW71" s="17" t="s">
        <v>870</v>
      </c>
      <c r="BX71" s="17" t="s">
        <v>870</v>
      </c>
      <c r="BY71" s="17" t="s">
        <v>870</v>
      </c>
      <c r="BZ71" s="17" t="s">
        <v>870</v>
      </c>
      <c r="CA71" s="17" t="s">
        <v>870</v>
      </c>
      <c r="CB71" s="17" t="s">
        <v>870</v>
      </c>
      <c r="CC71" s="17" t="s">
        <v>870</v>
      </c>
      <c r="CD71" s="17" t="s">
        <v>870</v>
      </c>
      <c r="CE71" s="17" t="s">
        <v>870</v>
      </c>
      <c r="CF71" s="17" t="s">
        <v>870</v>
      </c>
      <c r="CG71" s="17" t="s">
        <v>870</v>
      </c>
      <c r="CH71" s="17" t="s">
        <v>870</v>
      </c>
      <c r="CI71" s="17" t="s">
        <v>870</v>
      </c>
      <c r="CJ71" s="17" t="s">
        <v>870</v>
      </c>
      <c r="CK71" s="17" t="s">
        <v>870</v>
      </c>
      <c r="CL71" s="17" t="s">
        <v>870</v>
      </c>
      <c r="CM71" s="17" t="s">
        <v>870</v>
      </c>
      <c r="CN71" s="17" t="s">
        <v>870</v>
      </c>
      <c r="CO71" s="17" t="s">
        <v>870</v>
      </c>
      <c r="CP71" s="17" t="s">
        <v>870</v>
      </c>
      <c r="CQ71" s="17" t="s">
        <v>870</v>
      </c>
      <c r="CR71" s="17" t="s">
        <v>870</v>
      </c>
      <c r="CS71" s="17" t="s">
        <v>870</v>
      </c>
      <c r="CT71" s="17" t="s">
        <v>870</v>
      </c>
      <c r="CU71" s="17" t="s">
        <v>870</v>
      </c>
      <c r="CV71" s="17" t="s">
        <v>870</v>
      </c>
      <c r="CW71" s="17" t="s">
        <v>870</v>
      </c>
      <c r="CX71" s="17" t="s">
        <v>870</v>
      </c>
      <c r="CY71" s="17" t="s">
        <v>870</v>
      </c>
      <c r="CZ71" s="17" t="s">
        <v>870</v>
      </c>
      <c r="DA71" s="17" t="s">
        <v>870</v>
      </c>
      <c r="DB71" s="17" t="s">
        <v>870</v>
      </c>
      <c r="DC71" s="17" t="s">
        <v>870</v>
      </c>
      <c r="DD71" s="17" t="s">
        <v>870</v>
      </c>
      <c r="DE71" s="17" t="s">
        <v>870</v>
      </c>
      <c r="DF71" s="17" t="s">
        <v>870</v>
      </c>
      <c r="DG71" s="17" t="s">
        <v>870</v>
      </c>
      <c r="DH71" s="17" t="s">
        <v>870</v>
      </c>
      <c r="DI71" s="17" t="s">
        <v>870</v>
      </c>
      <c r="DJ71" s="17" t="s">
        <v>870</v>
      </c>
      <c r="DK71" s="17" t="s">
        <v>870</v>
      </c>
      <c r="DL71" s="17" t="s">
        <v>870</v>
      </c>
      <c r="DM71" s="17" t="s">
        <v>870</v>
      </c>
      <c r="DN71" s="17" t="s">
        <v>870</v>
      </c>
      <c r="DO71" s="17" t="s">
        <v>870</v>
      </c>
      <c r="DP71" s="17" t="s">
        <v>870</v>
      </c>
      <c r="DQ71" s="17" t="s">
        <v>870</v>
      </c>
      <c r="DR71" s="17" t="s">
        <v>870</v>
      </c>
      <c r="DS71" s="17" t="s">
        <v>870</v>
      </c>
      <c r="DT71" s="17" t="s">
        <v>870</v>
      </c>
      <c r="DU71" s="17" t="s">
        <v>870</v>
      </c>
      <c r="DV71" s="17" t="s">
        <v>870</v>
      </c>
      <c r="DW71" s="17" t="s">
        <v>870</v>
      </c>
      <c r="DX71" s="17" t="s">
        <v>870</v>
      </c>
      <c r="DY71" s="17" t="s">
        <v>870</v>
      </c>
      <c r="DZ71" s="17" t="s">
        <v>870</v>
      </c>
      <c r="EA71" s="17" t="s">
        <v>870</v>
      </c>
      <c r="EB71" s="17" t="s">
        <v>870</v>
      </c>
      <c r="EC71" s="17" t="s">
        <v>870</v>
      </c>
      <c r="ED71" s="17" t="s">
        <v>870</v>
      </c>
      <c r="EE71" s="17" t="s">
        <v>870</v>
      </c>
      <c r="EF71" s="17" t="s">
        <v>870</v>
      </c>
      <c r="EG71" s="17" t="s">
        <v>870</v>
      </c>
      <c r="EH71" s="17" t="s">
        <v>870</v>
      </c>
      <c r="EI71" s="17" t="s">
        <v>870</v>
      </c>
      <c r="EJ71" s="17" t="s">
        <v>870</v>
      </c>
      <c r="EK71" s="17" t="s">
        <v>870</v>
      </c>
      <c r="EL71" s="17" t="s">
        <v>870</v>
      </c>
      <c r="EM71" s="17" t="s">
        <v>870</v>
      </c>
      <c r="EN71" s="17" t="s">
        <v>870</v>
      </c>
      <c r="EO71" s="17" t="s">
        <v>870</v>
      </c>
      <c r="EP71" s="17" t="s">
        <v>870</v>
      </c>
      <c r="EQ71" s="17" t="s">
        <v>870</v>
      </c>
      <c r="ER71" s="17" t="s">
        <v>870</v>
      </c>
      <c r="ES71" s="17" t="s">
        <v>870</v>
      </c>
      <c r="ET71" s="17" t="s">
        <v>870</v>
      </c>
      <c r="EU71" s="17" t="s">
        <v>870</v>
      </c>
      <c r="EV71" s="17" t="s">
        <v>870</v>
      </c>
      <c r="EW71" s="17" t="s">
        <v>870</v>
      </c>
      <c r="EX71" s="17" t="s">
        <v>870</v>
      </c>
      <c r="EY71" s="17" t="s">
        <v>870</v>
      </c>
      <c r="EZ71" s="17" t="s">
        <v>870</v>
      </c>
      <c r="FA71" s="17" t="s">
        <v>870</v>
      </c>
      <c r="FB71" s="17" t="s">
        <v>870</v>
      </c>
      <c r="FC71" s="17" t="s">
        <v>870</v>
      </c>
      <c r="FD71" s="17" t="s">
        <v>870</v>
      </c>
      <c r="FE71" s="17" t="s">
        <v>870</v>
      </c>
      <c r="FF71" s="17" t="s">
        <v>870</v>
      </c>
      <c r="FG71" s="17" t="s">
        <v>870</v>
      </c>
      <c r="FH71" s="17" t="s">
        <v>870</v>
      </c>
      <c r="FI71" s="17" t="s">
        <v>870</v>
      </c>
      <c r="FJ71" s="17" t="s">
        <v>870</v>
      </c>
      <c r="FK71" s="17" t="s">
        <v>870</v>
      </c>
      <c r="FL71" s="17" t="s">
        <v>870</v>
      </c>
      <c r="FM71" s="17" t="s">
        <v>870</v>
      </c>
      <c r="FN71" s="17" t="s">
        <v>870</v>
      </c>
      <c r="FO71" s="17" t="s">
        <v>870</v>
      </c>
      <c r="FP71" s="17" t="s">
        <v>870</v>
      </c>
      <c r="FQ71" s="17" t="s">
        <v>870</v>
      </c>
      <c r="FR71" s="17" t="s">
        <v>870</v>
      </c>
      <c r="FS71" s="17" t="s">
        <v>870</v>
      </c>
      <c r="FT71" s="17" t="s">
        <v>870</v>
      </c>
      <c r="FU71" s="17" t="s">
        <v>870</v>
      </c>
      <c r="FV71" s="17" t="s">
        <v>870</v>
      </c>
      <c r="FW71" s="17" t="s">
        <v>870</v>
      </c>
      <c r="FX71" s="17" t="s">
        <v>870</v>
      </c>
      <c r="FY71" s="17" t="s">
        <v>870</v>
      </c>
      <c r="FZ71" s="17" t="s">
        <v>870</v>
      </c>
      <c r="GA71" s="17" t="s">
        <v>870</v>
      </c>
      <c r="GB71" s="17" t="s">
        <v>870</v>
      </c>
      <c r="GC71" s="17" t="s">
        <v>870</v>
      </c>
      <c r="GD71" s="17" t="s">
        <v>870</v>
      </c>
      <c r="GE71" s="17" t="s">
        <v>870</v>
      </c>
      <c r="GF71" s="17" t="s">
        <v>870</v>
      </c>
      <c r="GG71" s="17" t="s">
        <v>870</v>
      </c>
      <c r="GH71" s="17" t="s">
        <v>870</v>
      </c>
      <c r="GI71" s="17" t="s">
        <v>870</v>
      </c>
      <c r="GJ71" s="17" t="s">
        <v>870</v>
      </c>
      <c r="GK71" s="17" t="s">
        <v>870</v>
      </c>
      <c r="GL71" s="17" t="s">
        <v>870</v>
      </c>
      <c r="GM71" s="17" t="s">
        <v>870</v>
      </c>
      <c r="GN71" s="17" t="s">
        <v>870</v>
      </c>
      <c r="GO71" s="17" t="s">
        <v>870</v>
      </c>
      <c r="GP71" s="17" t="s">
        <v>870</v>
      </c>
      <c r="GQ71" s="17" t="s">
        <v>870</v>
      </c>
      <c r="GR71" s="17" t="s">
        <v>870</v>
      </c>
      <c r="GS71" s="17" t="s">
        <v>870</v>
      </c>
      <c r="GT71" s="17" t="s">
        <v>870</v>
      </c>
      <c r="GU71" s="17" t="s">
        <v>870</v>
      </c>
      <c r="GV71" s="17" t="s">
        <v>870</v>
      </c>
      <c r="GW71" s="17" t="s">
        <v>870</v>
      </c>
      <c r="GX71" s="17" t="s">
        <v>870</v>
      </c>
      <c r="GY71" s="17" t="s">
        <v>870</v>
      </c>
      <c r="GZ71" s="17" t="s">
        <v>870</v>
      </c>
      <c r="HA71" s="17" t="s">
        <v>870</v>
      </c>
      <c r="HB71" s="17" t="s">
        <v>870</v>
      </c>
      <c r="HC71" s="17" t="s">
        <v>870</v>
      </c>
      <c r="HD71" s="17" t="s">
        <v>870</v>
      </c>
      <c r="HE71" s="17" t="s">
        <v>870</v>
      </c>
      <c r="HF71" s="17" t="s">
        <v>870</v>
      </c>
      <c r="HG71" s="17" t="s">
        <v>870</v>
      </c>
      <c r="HH71" s="17" t="s">
        <v>870</v>
      </c>
      <c r="HI71" s="17" t="s">
        <v>870</v>
      </c>
      <c r="HJ71" s="17" t="s">
        <v>870</v>
      </c>
      <c r="HK71" s="17" t="s">
        <v>870</v>
      </c>
      <c r="HL71" s="17" t="s">
        <v>870</v>
      </c>
      <c r="HM71" s="17" t="s">
        <v>870</v>
      </c>
      <c r="HN71" s="17" t="s">
        <v>870</v>
      </c>
      <c r="HO71" s="17" t="s">
        <v>870</v>
      </c>
      <c r="HP71" s="63"/>
      <c r="HQ71" s="63"/>
      <c r="HR71" s="61" t="s">
        <v>2</v>
      </c>
      <c r="HS71" s="63"/>
      <c r="HT71" s="63"/>
      <c r="HU71" s="63"/>
      <c r="HV71" s="63"/>
      <c r="HW71" s="63"/>
      <c r="HX71" s="63"/>
      <c r="HY71" s="63"/>
      <c r="HZ71" s="62"/>
      <c r="IA71" s="63"/>
      <c r="IB71" s="63"/>
      <c r="IC71" s="63"/>
      <c r="ID71" s="72" t="s">
        <v>1552</v>
      </c>
      <c r="IE71" s="17" t="s">
        <v>870</v>
      </c>
      <c r="IF71" s="17" t="s">
        <v>870</v>
      </c>
      <c r="IG71" s="17" t="s">
        <v>870</v>
      </c>
      <c r="IH71" s="17" t="s">
        <v>870</v>
      </c>
      <c r="II71" s="17" t="s">
        <v>870</v>
      </c>
      <c r="IJ71" s="17" t="s">
        <v>870</v>
      </c>
      <c r="IK71" s="17" t="s">
        <v>870</v>
      </c>
      <c r="IL71" s="17" t="s">
        <v>870</v>
      </c>
      <c r="IM71" s="17" t="s">
        <v>870</v>
      </c>
      <c r="IN71" s="17" t="s">
        <v>870</v>
      </c>
      <c r="IO71" s="17" t="s">
        <v>870</v>
      </c>
    </row>
    <row r="72" spans="1:249" x14ac:dyDescent="0.25">
      <c r="A72" t="s">
        <v>1503</v>
      </c>
      <c r="B72" s="17" t="s">
        <v>870</v>
      </c>
      <c r="C72" s="17" t="s">
        <v>870</v>
      </c>
      <c r="D72" s="17" t="s">
        <v>870</v>
      </c>
      <c r="E72" s="17" t="s">
        <v>870</v>
      </c>
      <c r="F72" s="17" t="s">
        <v>870</v>
      </c>
      <c r="G72" s="17" t="s">
        <v>870</v>
      </c>
      <c r="H72" s="17" t="s">
        <v>870</v>
      </c>
      <c r="I72" s="17" t="s">
        <v>870</v>
      </c>
      <c r="J72" s="17" t="s">
        <v>870</v>
      </c>
      <c r="K72" s="17" t="s">
        <v>870</v>
      </c>
      <c r="L72" s="17" t="s">
        <v>870</v>
      </c>
      <c r="M72" s="17" t="s">
        <v>870</v>
      </c>
      <c r="N72" s="17" t="s">
        <v>870</v>
      </c>
      <c r="O72" s="17" t="s">
        <v>870</v>
      </c>
      <c r="P72" s="17" t="s">
        <v>870</v>
      </c>
      <c r="Q72" s="17" t="s">
        <v>870</v>
      </c>
      <c r="R72" s="17" t="s">
        <v>870</v>
      </c>
      <c r="S72" s="17" t="s">
        <v>870</v>
      </c>
      <c r="T72" s="17" t="s">
        <v>870</v>
      </c>
      <c r="U72" s="17" t="s">
        <v>870</v>
      </c>
      <c r="V72" s="17" t="s">
        <v>870</v>
      </c>
      <c r="W72" s="17" t="s">
        <v>870</v>
      </c>
      <c r="X72" s="17" t="s">
        <v>870</v>
      </c>
      <c r="Y72" s="17" t="s">
        <v>870</v>
      </c>
      <c r="Z72" s="17" t="s">
        <v>870</v>
      </c>
      <c r="AA72" s="17" t="s">
        <v>870</v>
      </c>
      <c r="AB72" s="17" t="s">
        <v>870</v>
      </c>
      <c r="AC72" s="17" t="s">
        <v>870</v>
      </c>
      <c r="AD72" s="17" t="s">
        <v>870</v>
      </c>
      <c r="AE72" s="17" t="s">
        <v>870</v>
      </c>
      <c r="AF72" s="17" t="s">
        <v>870</v>
      </c>
      <c r="AG72" s="17" t="s">
        <v>870</v>
      </c>
      <c r="AH72" s="17" t="s">
        <v>870</v>
      </c>
      <c r="AI72" s="17" t="s">
        <v>870</v>
      </c>
      <c r="AJ72" s="17" t="s">
        <v>870</v>
      </c>
      <c r="AK72" s="17" t="s">
        <v>870</v>
      </c>
      <c r="AL72" s="17" t="s">
        <v>870</v>
      </c>
      <c r="AM72" s="17" t="s">
        <v>870</v>
      </c>
      <c r="AN72" s="17" t="s">
        <v>870</v>
      </c>
      <c r="AO72" s="17" t="s">
        <v>870</v>
      </c>
      <c r="AP72" s="17" t="s">
        <v>870</v>
      </c>
      <c r="AQ72" s="17" t="s">
        <v>870</v>
      </c>
      <c r="AR72" s="17" t="s">
        <v>870</v>
      </c>
      <c r="AS72" s="17" t="s">
        <v>870</v>
      </c>
      <c r="AT72" s="17" t="s">
        <v>870</v>
      </c>
      <c r="AU72" s="17" t="s">
        <v>870</v>
      </c>
      <c r="AV72" s="17" t="s">
        <v>870</v>
      </c>
      <c r="AW72" s="17" t="s">
        <v>870</v>
      </c>
      <c r="AX72" s="17" t="s">
        <v>870</v>
      </c>
      <c r="AY72" s="17" t="s">
        <v>870</v>
      </c>
      <c r="AZ72" s="17" t="s">
        <v>870</v>
      </c>
      <c r="BA72" s="17" t="s">
        <v>870</v>
      </c>
      <c r="BB72" s="17" t="s">
        <v>870</v>
      </c>
      <c r="BC72" s="17" t="s">
        <v>870</v>
      </c>
      <c r="BD72" s="17" t="s">
        <v>870</v>
      </c>
      <c r="BE72" s="17" t="s">
        <v>870</v>
      </c>
      <c r="BF72" s="17" t="s">
        <v>870</v>
      </c>
      <c r="BG72" s="17" t="s">
        <v>870</v>
      </c>
      <c r="BH72" s="17" t="s">
        <v>870</v>
      </c>
      <c r="BI72" s="17" t="s">
        <v>870</v>
      </c>
      <c r="BJ72" s="17" t="s">
        <v>870</v>
      </c>
      <c r="BK72" s="17" t="s">
        <v>870</v>
      </c>
      <c r="BL72" s="17" t="s">
        <v>870</v>
      </c>
      <c r="BM72" s="17" t="s">
        <v>870</v>
      </c>
      <c r="BN72" s="17" t="s">
        <v>870</v>
      </c>
      <c r="BO72" s="17" t="s">
        <v>870</v>
      </c>
      <c r="BP72" s="17" t="s">
        <v>870</v>
      </c>
      <c r="BQ72" s="17" t="s">
        <v>870</v>
      </c>
      <c r="BR72" s="17" t="s">
        <v>870</v>
      </c>
      <c r="BS72" s="17" t="s">
        <v>870</v>
      </c>
      <c r="BT72" s="17" t="s">
        <v>870</v>
      </c>
      <c r="BU72" s="17" t="s">
        <v>870</v>
      </c>
      <c r="BV72" s="17" t="s">
        <v>870</v>
      </c>
      <c r="BW72" s="17" t="s">
        <v>870</v>
      </c>
      <c r="BX72" s="17" t="s">
        <v>870</v>
      </c>
      <c r="BY72" s="17" t="s">
        <v>870</v>
      </c>
      <c r="BZ72" s="17" t="s">
        <v>870</v>
      </c>
      <c r="CA72" s="17" t="s">
        <v>870</v>
      </c>
      <c r="CB72" s="17" t="s">
        <v>870</v>
      </c>
      <c r="CC72" s="17" t="s">
        <v>870</v>
      </c>
      <c r="CD72" s="17" t="s">
        <v>870</v>
      </c>
      <c r="CE72" s="17" t="s">
        <v>870</v>
      </c>
      <c r="CF72" s="17" t="s">
        <v>870</v>
      </c>
      <c r="CG72" s="17" t="s">
        <v>870</v>
      </c>
      <c r="CH72" s="17" t="s">
        <v>870</v>
      </c>
      <c r="CI72" s="17" t="s">
        <v>870</v>
      </c>
      <c r="CJ72" s="17" t="s">
        <v>870</v>
      </c>
      <c r="CK72" s="17" t="s">
        <v>870</v>
      </c>
      <c r="CL72" s="17" t="s">
        <v>870</v>
      </c>
      <c r="CM72" s="17" t="s">
        <v>870</v>
      </c>
      <c r="CN72" s="17" t="s">
        <v>870</v>
      </c>
      <c r="CO72" s="17" t="s">
        <v>870</v>
      </c>
      <c r="CP72" s="17" t="s">
        <v>870</v>
      </c>
      <c r="CQ72" s="17" t="s">
        <v>870</v>
      </c>
      <c r="CR72" s="17" t="s">
        <v>870</v>
      </c>
      <c r="CS72" s="17" t="s">
        <v>870</v>
      </c>
      <c r="CT72" s="17" t="s">
        <v>870</v>
      </c>
      <c r="CU72" s="17" t="s">
        <v>870</v>
      </c>
      <c r="CV72" s="17" t="s">
        <v>870</v>
      </c>
      <c r="CW72" s="17" t="s">
        <v>870</v>
      </c>
      <c r="CX72" s="17" t="s">
        <v>870</v>
      </c>
      <c r="CY72" s="17" t="s">
        <v>870</v>
      </c>
      <c r="CZ72" s="17" t="s">
        <v>870</v>
      </c>
      <c r="DA72" s="17" t="s">
        <v>870</v>
      </c>
      <c r="DB72" s="17" t="s">
        <v>870</v>
      </c>
      <c r="DC72" s="17" t="s">
        <v>870</v>
      </c>
      <c r="DD72" s="17" t="s">
        <v>870</v>
      </c>
      <c r="DE72" s="17" t="s">
        <v>870</v>
      </c>
      <c r="DF72" s="17" t="s">
        <v>870</v>
      </c>
      <c r="DG72" s="17" t="s">
        <v>870</v>
      </c>
      <c r="DH72" s="17" t="s">
        <v>870</v>
      </c>
      <c r="DI72" s="17" t="s">
        <v>870</v>
      </c>
      <c r="DJ72" s="17" t="s">
        <v>870</v>
      </c>
      <c r="DK72" s="17" t="s">
        <v>870</v>
      </c>
      <c r="DL72" s="17" t="s">
        <v>870</v>
      </c>
      <c r="DM72" s="17" t="s">
        <v>870</v>
      </c>
      <c r="DN72" s="17" t="s">
        <v>870</v>
      </c>
      <c r="DO72" s="17" t="s">
        <v>870</v>
      </c>
      <c r="DP72" s="17" t="s">
        <v>870</v>
      </c>
      <c r="DQ72" s="17" t="s">
        <v>870</v>
      </c>
      <c r="DR72" s="17" t="s">
        <v>870</v>
      </c>
      <c r="DS72" s="17" t="s">
        <v>870</v>
      </c>
      <c r="DT72" s="17" t="s">
        <v>870</v>
      </c>
      <c r="DU72" s="17" t="s">
        <v>870</v>
      </c>
      <c r="DV72" s="17" t="s">
        <v>870</v>
      </c>
      <c r="DW72" s="17" t="s">
        <v>870</v>
      </c>
      <c r="DX72" s="17" t="s">
        <v>870</v>
      </c>
      <c r="DY72" s="17" t="s">
        <v>870</v>
      </c>
      <c r="DZ72" s="17" t="s">
        <v>870</v>
      </c>
      <c r="EA72" s="17" t="s">
        <v>870</v>
      </c>
      <c r="EB72" s="17" t="s">
        <v>870</v>
      </c>
      <c r="EC72" s="17" t="s">
        <v>870</v>
      </c>
      <c r="ED72" s="17" t="s">
        <v>870</v>
      </c>
      <c r="EE72" s="17" t="s">
        <v>870</v>
      </c>
      <c r="EF72" s="17" t="s">
        <v>870</v>
      </c>
      <c r="EG72" s="17" t="s">
        <v>870</v>
      </c>
      <c r="EH72" s="17" t="s">
        <v>870</v>
      </c>
      <c r="EI72" s="17" t="s">
        <v>870</v>
      </c>
      <c r="EJ72" s="17" t="s">
        <v>870</v>
      </c>
      <c r="EK72" s="17" t="s">
        <v>870</v>
      </c>
      <c r="EL72" s="17" t="s">
        <v>870</v>
      </c>
      <c r="EM72" s="17" t="s">
        <v>870</v>
      </c>
      <c r="EN72" s="17" t="s">
        <v>870</v>
      </c>
      <c r="EO72" s="17" t="s">
        <v>870</v>
      </c>
      <c r="EP72" s="17" t="s">
        <v>870</v>
      </c>
      <c r="EQ72" s="17" t="s">
        <v>870</v>
      </c>
      <c r="ER72" s="17" t="s">
        <v>870</v>
      </c>
      <c r="ES72" s="17" t="s">
        <v>870</v>
      </c>
      <c r="ET72" s="17" t="s">
        <v>870</v>
      </c>
      <c r="EU72" s="17" t="s">
        <v>870</v>
      </c>
      <c r="EV72" s="17" t="s">
        <v>870</v>
      </c>
      <c r="EW72" s="17" t="s">
        <v>870</v>
      </c>
      <c r="EX72" s="17" t="s">
        <v>870</v>
      </c>
      <c r="EY72" s="17" t="s">
        <v>870</v>
      </c>
      <c r="EZ72" s="17" t="s">
        <v>870</v>
      </c>
      <c r="FA72" s="17" t="s">
        <v>870</v>
      </c>
      <c r="FB72" s="17" t="s">
        <v>870</v>
      </c>
      <c r="FC72" s="17" t="s">
        <v>870</v>
      </c>
      <c r="FD72" s="17" t="s">
        <v>870</v>
      </c>
      <c r="FE72" s="17" t="s">
        <v>870</v>
      </c>
      <c r="FF72" s="17" t="s">
        <v>870</v>
      </c>
      <c r="FG72" s="17" t="s">
        <v>870</v>
      </c>
      <c r="FH72" s="17" t="s">
        <v>870</v>
      </c>
      <c r="FI72" s="17" t="s">
        <v>870</v>
      </c>
      <c r="FJ72" s="17" t="s">
        <v>870</v>
      </c>
      <c r="FK72" s="17" t="s">
        <v>870</v>
      </c>
      <c r="FL72" s="17" t="s">
        <v>870</v>
      </c>
      <c r="FM72" s="17" t="s">
        <v>870</v>
      </c>
      <c r="FN72" s="17" t="s">
        <v>870</v>
      </c>
      <c r="FO72" s="17" t="s">
        <v>870</v>
      </c>
      <c r="FP72" s="17" t="s">
        <v>870</v>
      </c>
      <c r="FQ72" s="17" t="s">
        <v>870</v>
      </c>
      <c r="FR72" s="17" t="s">
        <v>870</v>
      </c>
      <c r="FS72" s="17" t="s">
        <v>870</v>
      </c>
      <c r="FT72" s="17" t="s">
        <v>870</v>
      </c>
      <c r="FU72" s="17" t="s">
        <v>870</v>
      </c>
      <c r="FV72" s="17" t="s">
        <v>870</v>
      </c>
      <c r="FW72" s="17" t="s">
        <v>870</v>
      </c>
      <c r="FX72" s="17" t="s">
        <v>870</v>
      </c>
      <c r="FY72" s="17" t="s">
        <v>870</v>
      </c>
      <c r="FZ72" s="17" t="s">
        <v>870</v>
      </c>
      <c r="GA72" s="17" t="s">
        <v>870</v>
      </c>
      <c r="GB72" s="17" t="s">
        <v>870</v>
      </c>
      <c r="GC72" s="17" t="s">
        <v>870</v>
      </c>
      <c r="GD72" s="17" t="s">
        <v>870</v>
      </c>
      <c r="GE72" s="17" t="s">
        <v>870</v>
      </c>
      <c r="GF72" s="17" t="s">
        <v>870</v>
      </c>
      <c r="GG72" s="17" t="s">
        <v>870</v>
      </c>
      <c r="GH72" s="17" t="s">
        <v>870</v>
      </c>
      <c r="GI72" s="17" t="s">
        <v>870</v>
      </c>
      <c r="GJ72" s="17" t="s">
        <v>870</v>
      </c>
      <c r="GK72" s="17" t="s">
        <v>870</v>
      </c>
      <c r="GL72" s="17" t="s">
        <v>870</v>
      </c>
      <c r="GM72" s="17" t="s">
        <v>870</v>
      </c>
      <c r="GN72" s="17" t="s">
        <v>870</v>
      </c>
      <c r="GO72" s="17" t="s">
        <v>870</v>
      </c>
      <c r="GP72" s="17" t="s">
        <v>870</v>
      </c>
      <c r="GQ72" s="17" t="s">
        <v>870</v>
      </c>
      <c r="GR72" s="17" t="s">
        <v>870</v>
      </c>
      <c r="GS72" s="17" t="s">
        <v>870</v>
      </c>
      <c r="GT72" s="17" t="s">
        <v>870</v>
      </c>
      <c r="GU72" s="17" t="s">
        <v>870</v>
      </c>
      <c r="GV72" s="17" t="s">
        <v>870</v>
      </c>
      <c r="GW72" s="17" t="s">
        <v>870</v>
      </c>
      <c r="GX72" s="17" t="s">
        <v>870</v>
      </c>
      <c r="GY72" s="17" t="s">
        <v>870</v>
      </c>
      <c r="GZ72" s="17" t="s">
        <v>870</v>
      </c>
      <c r="HA72" s="17" t="s">
        <v>870</v>
      </c>
      <c r="HB72" s="17" t="s">
        <v>870</v>
      </c>
      <c r="HC72" s="17" t="s">
        <v>870</v>
      </c>
      <c r="HD72" s="17" t="s">
        <v>870</v>
      </c>
      <c r="HE72" s="17" t="s">
        <v>870</v>
      </c>
      <c r="HF72" s="17" t="s">
        <v>870</v>
      </c>
      <c r="HG72" s="17" t="s">
        <v>870</v>
      </c>
      <c r="HH72" s="17" t="s">
        <v>870</v>
      </c>
      <c r="HI72" s="17" t="s">
        <v>870</v>
      </c>
      <c r="HJ72" s="17" t="s">
        <v>870</v>
      </c>
      <c r="HK72" s="17" t="s">
        <v>870</v>
      </c>
      <c r="HL72" s="17" t="s">
        <v>870</v>
      </c>
      <c r="HM72" s="17" t="s">
        <v>870</v>
      </c>
      <c r="HN72" s="17" t="s">
        <v>870</v>
      </c>
      <c r="HO72" s="17" t="s">
        <v>870</v>
      </c>
      <c r="HP72" s="17" t="s">
        <v>870</v>
      </c>
      <c r="HQ72" s="17" t="s">
        <v>870</v>
      </c>
      <c r="HR72" s="17" t="s">
        <v>870</v>
      </c>
      <c r="HS72" s="17" t="s">
        <v>870</v>
      </c>
      <c r="HT72" s="17" t="s">
        <v>870</v>
      </c>
      <c r="HU72" s="17" t="s">
        <v>870</v>
      </c>
      <c r="HV72" s="63"/>
      <c r="HW72" s="61" t="s">
        <v>2</v>
      </c>
      <c r="HX72" s="17" t="s">
        <v>870</v>
      </c>
      <c r="HY72" s="17" t="s">
        <v>870</v>
      </c>
      <c r="HZ72" s="17" t="s">
        <v>870</v>
      </c>
      <c r="IA72" s="17" t="s">
        <v>870</v>
      </c>
      <c r="IB72" s="17" t="s">
        <v>870</v>
      </c>
      <c r="IC72" s="17" t="s">
        <v>870</v>
      </c>
      <c r="ID72" s="72" t="s">
        <v>1552</v>
      </c>
      <c r="IE72" s="17" t="s">
        <v>870</v>
      </c>
      <c r="IF72" s="17" t="s">
        <v>870</v>
      </c>
      <c r="IG72" s="17" t="s">
        <v>870</v>
      </c>
      <c r="IH72" s="17" t="s">
        <v>870</v>
      </c>
      <c r="II72" s="17" t="s">
        <v>870</v>
      </c>
      <c r="IJ72" s="17" t="s">
        <v>870</v>
      </c>
      <c r="IK72" s="17" t="s">
        <v>870</v>
      </c>
      <c r="IL72" s="17" t="s">
        <v>870</v>
      </c>
      <c r="IM72" s="17" t="s">
        <v>870</v>
      </c>
      <c r="IN72" s="17" t="s">
        <v>870</v>
      </c>
      <c r="IO72" s="17" t="s">
        <v>870</v>
      </c>
    </row>
    <row r="73" spans="1:249" x14ac:dyDescent="0.25">
      <c r="A73" t="s">
        <v>1518</v>
      </c>
      <c r="B73" s="17" t="s">
        <v>870</v>
      </c>
      <c r="C73" s="17" t="s">
        <v>870</v>
      </c>
      <c r="D73" s="17" t="s">
        <v>870</v>
      </c>
      <c r="E73" s="17" t="s">
        <v>870</v>
      </c>
      <c r="F73" s="17" t="s">
        <v>870</v>
      </c>
      <c r="G73" s="17" t="s">
        <v>870</v>
      </c>
      <c r="H73" s="17" t="s">
        <v>870</v>
      </c>
      <c r="I73" s="17" t="s">
        <v>870</v>
      </c>
      <c r="J73" s="17" t="s">
        <v>870</v>
      </c>
      <c r="K73" s="17" t="s">
        <v>870</v>
      </c>
      <c r="L73" s="17" t="s">
        <v>870</v>
      </c>
      <c r="M73" s="17" t="s">
        <v>870</v>
      </c>
      <c r="N73" s="17" t="s">
        <v>870</v>
      </c>
      <c r="O73" s="17" t="s">
        <v>870</v>
      </c>
      <c r="P73" s="17" t="s">
        <v>870</v>
      </c>
      <c r="Q73" s="17" t="s">
        <v>870</v>
      </c>
      <c r="R73" s="17" t="s">
        <v>870</v>
      </c>
      <c r="S73" s="17" t="s">
        <v>870</v>
      </c>
      <c r="T73" s="17" t="s">
        <v>870</v>
      </c>
      <c r="U73" s="17" t="s">
        <v>870</v>
      </c>
      <c r="V73" s="17" t="s">
        <v>870</v>
      </c>
      <c r="W73" s="17" t="s">
        <v>870</v>
      </c>
      <c r="X73" s="17" t="s">
        <v>870</v>
      </c>
      <c r="Y73" s="17" t="s">
        <v>870</v>
      </c>
      <c r="Z73" s="17" t="s">
        <v>870</v>
      </c>
      <c r="AA73" s="17" t="s">
        <v>870</v>
      </c>
      <c r="AB73" s="17" t="s">
        <v>870</v>
      </c>
      <c r="AC73" s="17" t="s">
        <v>870</v>
      </c>
      <c r="AD73" s="17" t="s">
        <v>870</v>
      </c>
      <c r="AE73" s="17" t="s">
        <v>870</v>
      </c>
      <c r="AF73" s="17" t="s">
        <v>870</v>
      </c>
      <c r="AG73" s="17" t="s">
        <v>870</v>
      </c>
      <c r="AH73" s="17" t="s">
        <v>870</v>
      </c>
      <c r="AI73" s="17" t="s">
        <v>870</v>
      </c>
      <c r="AJ73" s="17" t="s">
        <v>870</v>
      </c>
      <c r="AK73" s="17" t="s">
        <v>870</v>
      </c>
      <c r="AL73" s="17" t="s">
        <v>870</v>
      </c>
      <c r="AM73" s="17" t="s">
        <v>870</v>
      </c>
      <c r="AN73" s="17" t="s">
        <v>870</v>
      </c>
      <c r="AO73" s="17" t="s">
        <v>870</v>
      </c>
      <c r="AP73" s="17" t="s">
        <v>870</v>
      </c>
      <c r="AQ73" s="17" t="s">
        <v>870</v>
      </c>
      <c r="AR73" s="17" t="s">
        <v>870</v>
      </c>
      <c r="AS73" s="17" t="s">
        <v>870</v>
      </c>
      <c r="AT73" s="17" t="s">
        <v>870</v>
      </c>
      <c r="AU73" s="17" t="s">
        <v>870</v>
      </c>
      <c r="AV73" s="17" t="s">
        <v>870</v>
      </c>
      <c r="AW73" s="17" t="s">
        <v>870</v>
      </c>
      <c r="AX73" s="17" t="s">
        <v>870</v>
      </c>
      <c r="AY73" s="17" t="s">
        <v>870</v>
      </c>
      <c r="AZ73" s="17" t="s">
        <v>870</v>
      </c>
      <c r="BA73" s="17" t="s">
        <v>870</v>
      </c>
      <c r="BB73" s="17" t="s">
        <v>870</v>
      </c>
      <c r="BC73" s="17" t="s">
        <v>870</v>
      </c>
      <c r="BD73" s="17" t="s">
        <v>870</v>
      </c>
      <c r="BE73" s="17" t="s">
        <v>870</v>
      </c>
      <c r="BF73" s="17" t="s">
        <v>870</v>
      </c>
      <c r="BG73" s="17" t="s">
        <v>870</v>
      </c>
      <c r="BH73" s="17" t="s">
        <v>870</v>
      </c>
      <c r="BI73" s="17" t="s">
        <v>870</v>
      </c>
      <c r="BJ73" s="17" t="s">
        <v>870</v>
      </c>
      <c r="BK73" s="17" t="s">
        <v>870</v>
      </c>
      <c r="BL73" s="17" t="s">
        <v>870</v>
      </c>
      <c r="BM73" s="17" t="s">
        <v>870</v>
      </c>
      <c r="BN73" s="17" t="s">
        <v>870</v>
      </c>
      <c r="BO73" s="17" t="s">
        <v>870</v>
      </c>
      <c r="BP73" s="17" t="s">
        <v>870</v>
      </c>
      <c r="BQ73" s="17" t="s">
        <v>870</v>
      </c>
      <c r="BR73" s="17" t="s">
        <v>870</v>
      </c>
      <c r="BS73" s="17" t="s">
        <v>870</v>
      </c>
      <c r="BT73" s="17" t="s">
        <v>870</v>
      </c>
      <c r="BU73" s="17" t="s">
        <v>870</v>
      </c>
      <c r="BV73" s="17" t="s">
        <v>870</v>
      </c>
      <c r="BW73" s="17" t="s">
        <v>870</v>
      </c>
      <c r="BX73" s="17" t="s">
        <v>870</v>
      </c>
      <c r="BY73" s="17" t="s">
        <v>870</v>
      </c>
      <c r="BZ73" s="17" t="s">
        <v>870</v>
      </c>
      <c r="CA73" s="17" t="s">
        <v>870</v>
      </c>
      <c r="CB73" s="17" t="s">
        <v>870</v>
      </c>
      <c r="CC73" s="17" t="s">
        <v>870</v>
      </c>
      <c r="CD73" s="17" t="s">
        <v>870</v>
      </c>
      <c r="CE73" s="17" t="s">
        <v>870</v>
      </c>
      <c r="CF73" s="17" t="s">
        <v>870</v>
      </c>
      <c r="CG73" s="17" t="s">
        <v>870</v>
      </c>
      <c r="CH73" s="17" t="s">
        <v>870</v>
      </c>
      <c r="CI73" s="17" t="s">
        <v>870</v>
      </c>
      <c r="CJ73" s="17" t="s">
        <v>870</v>
      </c>
      <c r="CK73" s="17" t="s">
        <v>870</v>
      </c>
      <c r="CL73" s="17" t="s">
        <v>870</v>
      </c>
      <c r="CM73" s="17" t="s">
        <v>870</v>
      </c>
      <c r="CN73" s="17" t="s">
        <v>870</v>
      </c>
      <c r="CO73" s="17" t="s">
        <v>870</v>
      </c>
      <c r="CP73" s="17" t="s">
        <v>870</v>
      </c>
      <c r="CQ73" s="17" t="s">
        <v>870</v>
      </c>
      <c r="CR73" s="17" t="s">
        <v>870</v>
      </c>
      <c r="CS73" s="17" t="s">
        <v>870</v>
      </c>
      <c r="CT73" s="17" t="s">
        <v>870</v>
      </c>
      <c r="CU73" s="17" t="s">
        <v>870</v>
      </c>
      <c r="CV73" s="17" t="s">
        <v>870</v>
      </c>
      <c r="CW73" s="17" t="s">
        <v>870</v>
      </c>
      <c r="CX73" s="17" t="s">
        <v>870</v>
      </c>
      <c r="CY73" s="17" t="s">
        <v>870</v>
      </c>
      <c r="CZ73" s="17" t="s">
        <v>870</v>
      </c>
      <c r="DA73" s="17" t="s">
        <v>870</v>
      </c>
      <c r="DB73" s="17" t="s">
        <v>870</v>
      </c>
      <c r="DC73" s="17" t="s">
        <v>870</v>
      </c>
      <c r="DD73" s="17" t="s">
        <v>870</v>
      </c>
      <c r="DE73" s="17" t="s">
        <v>870</v>
      </c>
      <c r="DF73" s="17" t="s">
        <v>870</v>
      </c>
      <c r="DG73" s="17" t="s">
        <v>870</v>
      </c>
      <c r="DH73" s="17" t="s">
        <v>870</v>
      </c>
      <c r="DI73" s="17" t="s">
        <v>870</v>
      </c>
      <c r="DJ73" s="17" t="s">
        <v>870</v>
      </c>
      <c r="DK73" s="17" t="s">
        <v>870</v>
      </c>
      <c r="DL73" s="17" t="s">
        <v>870</v>
      </c>
      <c r="DM73" s="17" t="s">
        <v>870</v>
      </c>
      <c r="DN73" s="17" t="s">
        <v>870</v>
      </c>
      <c r="DO73" s="17" t="s">
        <v>870</v>
      </c>
      <c r="DP73" s="17" t="s">
        <v>870</v>
      </c>
      <c r="DQ73" s="17" t="s">
        <v>870</v>
      </c>
      <c r="DR73" s="17" t="s">
        <v>870</v>
      </c>
      <c r="DS73" s="17" t="s">
        <v>870</v>
      </c>
      <c r="DT73" s="17" t="s">
        <v>870</v>
      </c>
      <c r="DU73" s="17" t="s">
        <v>870</v>
      </c>
      <c r="DV73" s="17" t="s">
        <v>870</v>
      </c>
      <c r="DW73" s="17" t="s">
        <v>870</v>
      </c>
      <c r="DX73" s="17" t="s">
        <v>870</v>
      </c>
      <c r="DY73" s="17" t="s">
        <v>870</v>
      </c>
      <c r="DZ73" s="17" t="s">
        <v>870</v>
      </c>
      <c r="EA73" s="17" t="s">
        <v>870</v>
      </c>
      <c r="EB73" s="17" t="s">
        <v>870</v>
      </c>
      <c r="EC73" s="17" t="s">
        <v>870</v>
      </c>
      <c r="ED73" s="17" t="s">
        <v>870</v>
      </c>
      <c r="EE73" s="17" t="s">
        <v>870</v>
      </c>
      <c r="EF73" s="17" t="s">
        <v>870</v>
      </c>
      <c r="EG73" s="17" t="s">
        <v>870</v>
      </c>
      <c r="EH73" s="17" t="s">
        <v>870</v>
      </c>
      <c r="EI73" s="17" t="s">
        <v>870</v>
      </c>
      <c r="EJ73" s="17" t="s">
        <v>870</v>
      </c>
      <c r="EK73" s="17" t="s">
        <v>870</v>
      </c>
      <c r="EL73" s="17" t="s">
        <v>870</v>
      </c>
      <c r="EM73" s="17" t="s">
        <v>870</v>
      </c>
      <c r="EN73" s="17" t="s">
        <v>870</v>
      </c>
      <c r="EO73" s="17" t="s">
        <v>870</v>
      </c>
      <c r="EP73" s="17" t="s">
        <v>870</v>
      </c>
      <c r="EQ73" s="17" t="s">
        <v>870</v>
      </c>
      <c r="ER73" s="17" t="s">
        <v>870</v>
      </c>
      <c r="ES73" s="17" t="s">
        <v>870</v>
      </c>
      <c r="ET73" s="17" t="s">
        <v>870</v>
      </c>
      <c r="EU73" s="17" t="s">
        <v>870</v>
      </c>
      <c r="EV73" s="17" t="s">
        <v>870</v>
      </c>
      <c r="EW73" s="17" t="s">
        <v>870</v>
      </c>
      <c r="EX73" s="17" t="s">
        <v>870</v>
      </c>
      <c r="EY73" s="17" t="s">
        <v>870</v>
      </c>
      <c r="EZ73" s="17" t="s">
        <v>870</v>
      </c>
      <c r="FA73" s="17" t="s">
        <v>870</v>
      </c>
      <c r="FB73" s="17" t="s">
        <v>870</v>
      </c>
      <c r="FC73" s="17" t="s">
        <v>870</v>
      </c>
      <c r="FD73" s="17" t="s">
        <v>870</v>
      </c>
      <c r="FE73" s="17" t="s">
        <v>870</v>
      </c>
      <c r="FF73" s="17" t="s">
        <v>870</v>
      </c>
      <c r="FG73" s="17" t="s">
        <v>870</v>
      </c>
      <c r="FH73" s="17" t="s">
        <v>870</v>
      </c>
      <c r="FI73" s="17" t="s">
        <v>870</v>
      </c>
      <c r="FJ73" s="17" t="s">
        <v>870</v>
      </c>
      <c r="FK73" s="17" t="s">
        <v>870</v>
      </c>
      <c r="FL73" s="17" t="s">
        <v>870</v>
      </c>
      <c r="FM73" s="17" t="s">
        <v>870</v>
      </c>
      <c r="FN73" s="17" t="s">
        <v>870</v>
      </c>
      <c r="FO73" s="17" t="s">
        <v>870</v>
      </c>
      <c r="FP73" s="17" t="s">
        <v>870</v>
      </c>
      <c r="FQ73" s="17" t="s">
        <v>870</v>
      </c>
      <c r="FR73" s="17" t="s">
        <v>870</v>
      </c>
      <c r="FS73" s="17" t="s">
        <v>870</v>
      </c>
      <c r="FT73" s="17" t="s">
        <v>870</v>
      </c>
      <c r="FU73" s="17" t="s">
        <v>870</v>
      </c>
      <c r="FV73" s="17" t="s">
        <v>870</v>
      </c>
      <c r="FW73" s="17" t="s">
        <v>870</v>
      </c>
      <c r="FX73" s="17" t="s">
        <v>870</v>
      </c>
      <c r="FY73" s="17" t="s">
        <v>870</v>
      </c>
      <c r="FZ73" s="17" t="s">
        <v>870</v>
      </c>
      <c r="GA73" s="17" t="s">
        <v>870</v>
      </c>
      <c r="GB73" s="17" t="s">
        <v>870</v>
      </c>
      <c r="GC73" s="17" t="s">
        <v>870</v>
      </c>
      <c r="GD73" s="17" t="s">
        <v>870</v>
      </c>
      <c r="GE73" s="17" t="s">
        <v>870</v>
      </c>
      <c r="GF73" s="17" t="s">
        <v>870</v>
      </c>
      <c r="GG73" s="17" t="s">
        <v>870</v>
      </c>
      <c r="GH73" s="17" t="s">
        <v>870</v>
      </c>
      <c r="GI73" s="17" t="s">
        <v>870</v>
      </c>
      <c r="GJ73" s="17" t="s">
        <v>870</v>
      </c>
      <c r="GK73" s="17" t="s">
        <v>870</v>
      </c>
      <c r="GL73" s="17" t="s">
        <v>870</v>
      </c>
      <c r="GM73" s="17" t="s">
        <v>870</v>
      </c>
      <c r="GN73" s="17" t="s">
        <v>870</v>
      </c>
      <c r="GO73" s="17" t="s">
        <v>870</v>
      </c>
      <c r="GP73" s="17" t="s">
        <v>870</v>
      </c>
      <c r="GQ73" s="17" t="s">
        <v>870</v>
      </c>
      <c r="GR73" s="17" t="s">
        <v>870</v>
      </c>
      <c r="GS73" s="17" t="s">
        <v>870</v>
      </c>
      <c r="GT73" s="17" t="s">
        <v>870</v>
      </c>
      <c r="GU73" s="17" t="s">
        <v>870</v>
      </c>
      <c r="GV73" s="17" t="s">
        <v>870</v>
      </c>
      <c r="GW73" s="17" t="s">
        <v>870</v>
      </c>
      <c r="GX73" s="17" t="s">
        <v>870</v>
      </c>
      <c r="GY73" s="17" t="s">
        <v>870</v>
      </c>
      <c r="GZ73" s="17" t="s">
        <v>870</v>
      </c>
      <c r="HA73" s="17" t="s">
        <v>870</v>
      </c>
      <c r="HB73" s="17" t="s">
        <v>870</v>
      </c>
      <c r="HC73" s="17" t="s">
        <v>870</v>
      </c>
      <c r="HD73" s="17" t="s">
        <v>870</v>
      </c>
      <c r="HE73" s="17" t="s">
        <v>870</v>
      </c>
      <c r="HF73" s="17" t="s">
        <v>870</v>
      </c>
      <c r="HG73" s="17" t="s">
        <v>870</v>
      </c>
      <c r="HH73" s="17" t="s">
        <v>870</v>
      </c>
      <c r="HI73" s="17" t="s">
        <v>870</v>
      </c>
      <c r="HJ73" s="17" t="s">
        <v>870</v>
      </c>
      <c r="HK73" s="17" t="s">
        <v>870</v>
      </c>
      <c r="HL73" s="17" t="s">
        <v>870</v>
      </c>
      <c r="HM73" s="17" t="s">
        <v>870</v>
      </c>
      <c r="HN73" s="17" t="s">
        <v>870</v>
      </c>
      <c r="HO73" s="17" t="s">
        <v>870</v>
      </c>
      <c r="HP73" s="17" t="s">
        <v>870</v>
      </c>
      <c r="HQ73" s="17" t="s">
        <v>870</v>
      </c>
      <c r="HR73" s="17" t="s">
        <v>870</v>
      </c>
      <c r="HS73" s="17" t="s">
        <v>870</v>
      </c>
      <c r="HT73" s="17" t="s">
        <v>870</v>
      </c>
      <c r="HU73" s="17" t="s">
        <v>870</v>
      </c>
      <c r="HV73" s="17" t="s">
        <v>870</v>
      </c>
      <c r="HW73" s="17" t="s">
        <v>870</v>
      </c>
      <c r="HX73" s="17" t="s">
        <v>870</v>
      </c>
      <c r="HY73" s="17" t="s">
        <v>870</v>
      </c>
      <c r="HZ73" s="17" t="s">
        <v>870</v>
      </c>
      <c r="IA73" s="17" t="s">
        <v>870</v>
      </c>
      <c r="IB73" s="61" t="s">
        <v>2</v>
      </c>
      <c r="IC73" s="63"/>
      <c r="ID73" s="72" t="s">
        <v>1552</v>
      </c>
      <c r="IE73" s="17" t="s">
        <v>870</v>
      </c>
      <c r="IF73" s="17" t="s">
        <v>870</v>
      </c>
      <c r="IG73" s="17" t="s">
        <v>870</v>
      </c>
      <c r="IH73" s="62"/>
      <c r="II73" s="63"/>
      <c r="IJ73" s="17" t="s">
        <v>870</v>
      </c>
      <c r="IK73" s="17" t="s">
        <v>870</v>
      </c>
      <c r="IL73" s="63"/>
      <c r="IM73" s="61" t="s">
        <v>2</v>
      </c>
      <c r="IN73" s="17" t="s">
        <v>870</v>
      </c>
      <c r="IO73" s="17" t="s">
        <v>870</v>
      </c>
    </row>
    <row r="74" spans="1:249" x14ac:dyDescent="0.25">
      <c r="A74" t="s">
        <v>1548</v>
      </c>
      <c r="B74" s="17" t="s">
        <v>870</v>
      </c>
      <c r="C74" s="17" t="s">
        <v>870</v>
      </c>
      <c r="D74" s="17" t="s">
        <v>870</v>
      </c>
      <c r="E74" s="17" t="s">
        <v>870</v>
      </c>
      <c r="F74" s="17" t="s">
        <v>870</v>
      </c>
      <c r="G74" s="17" t="s">
        <v>870</v>
      </c>
      <c r="H74" s="17" t="s">
        <v>870</v>
      </c>
      <c r="I74" s="17" t="s">
        <v>870</v>
      </c>
      <c r="J74" s="17" t="s">
        <v>870</v>
      </c>
      <c r="K74" s="17" t="s">
        <v>870</v>
      </c>
      <c r="L74" s="17" t="s">
        <v>870</v>
      </c>
      <c r="M74" s="17" t="s">
        <v>870</v>
      </c>
      <c r="N74" s="17" t="s">
        <v>870</v>
      </c>
      <c r="O74" s="17" t="s">
        <v>870</v>
      </c>
      <c r="P74" s="17" t="s">
        <v>870</v>
      </c>
      <c r="Q74" s="17" t="s">
        <v>870</v>
      </c>
      <c r="R74" s="17" t="s">
        <v>870</v>
      </c>
      <c r="S74" s="17" t="s">
        <v>870</v>
      </c>
      <c r="T74" s="17" t="s">
        <v>870</v>
      </c>
      <c r="U74" s="17" t="s">
        <v>870</v>
      </c>
      <c r="V74" s="17" t="s">
        <v>870</v>
      </c>
      <c r="W74" s="17" t="s">
        <v>870</v>
      </c>
      <c r="X74" s="17" t="s">
        <v>870</v>
      </c>
      <c r="Y74" s="17" t="s">
        <v>870</v>
      </c>
      <c r="Z74" s="17" t="s">
        <v>870</v>
      </c>
      <c r="AA74" s="17" t="s">
        <v>870</v>
      </c>
      <c r="AB74" s="17" t="s">
        <v>870</v>
      </c>
      <c r="AC74" s="17" t="s">
        <v>870</v>
      </c>
      <c r="AD74" s="17" t="s">
        <v>870</v>
      </c>
      <c r="AE74" s="17" t="s">
        <v>870</v>
      </c>
      <c r="AF74" s="17" t="s">
        <v>870</v>
      </c>
      <c r="AG74" s="17" t="s">
        <v>870</v>
      </c>
      <c r="AH74" s="17" t="s">
        <v>870</v>
      </c>
      <c r="AI74" s="17" t="s">
        <v>870</v>
      </c>
      <c r="AJ74" s="17" t="s">
        <v>870</v>
      </c>
      <c r="AK74" s="17" t="s">
        <v>870</v>
      </c>
      <c r="AL74" s="17" t="s">
        <v>870</v>
      </c>
      <c r="AM74" s="17" t="s">
        <v>870</v>
      </c>
      <c r="AN74" s="17" t="s">
        <v>870</v>
      </c>
      <c r="AO74" s="17" t="s">
        <v>870</v>
      </c>
      <c r="AP74" s="17" t="s">
        <v>870</v>
      </c>
      <c r="AQ74" s="17" t="s">
        <v>870</v>
      </c>
      <c r="AR74" s="17" t="s">
        <v>870</v>
      </c>
      <c r="AS74" s="17" t="s">
        <v>870</v>
      </c>
      <c r="AT74" s="17" t="s">
        <v>870</v>
      </c>
      <c r="AU74" s="17" t="s">
        <v>870</v>
      </c>
      <c r="AV74" s="17" t="s">
        <v>870</v>
      </c>
      <c r="AW74" s="17" t="s">
        <v>870</v>
      </c>
      <c r="AX74" s="17" t="s">
        <v>870</v>
      </c>
      <c r="AY74" s="17" t="s">
        <v>870</v>
      </c>
      <c r="AZ74" s="17" t="s">
        <v>870</v>
      </c>
      <c r="BA74" s="17" t="s">
        <v>870</v>
      </c>
      <c r="BB74" s="17" t="s">
        <v>870</v>
      </c>
      <c r="BC74" s="17" t="s">
        <v>870</v>
      </c>
      <c r="BD74" s="17" t="s">
        <v>870</v>
      </c>
      <c r="BE74" s="17" t="s">
        <v>870</v>
      </c>
      <c r="BF74" s="17" t="s">
        <v>870</v>
      </c>
      <c r="BG74" s="17" t="s">
        <v>870</v>
      </c>
      <c r="BH74" s="17" t="s">
        <v>870</v>
      </c>
      <c r="BI74" s="17" t="s">
        <v>870</v>
      </c>
      <c r="BJ74" s="17" t="s">
        <v>870</v>
      </c>
      <c r="BK74" s="17" t="s">
        <v>870</v>
      </c>
      <c r="BL74" s="17" t="s">
        <v>870</v>
      </c>
      <c r="BM74" s="17" t="s">
        <v>870</v>
      </c>
      <c r="BN74" s="17" t="s">
        <v>870</v>
      </c>
      <c r="BO74" s="17" t="s">
        <v>870</v>
      </c>
      <c r="BP74" s="17" t="s">
        <v>870</v>
      </c>
      <c r="BQ74" s="17" t="s">
        <v>870</v>
      </c>
      <c r="BR74" s="17" t="s">
        <v>870</v>
      </c>
      <c r="BS74" s="17" t="s">
        <v>870</v>
      </c>
      <c r="BT74" s="17" t="s">
        <v>870</v>
      </c>
      <c r="BU74" s="17" t="s">
        <v>870</v>
      </c>
      <c r="BV74" s="17" t="s">
        <v>870</v>
      </c>
      <c r="BW74" s="17" t="s">
        <v>870</v>
      </c>
      <c r="BX74" s="17" t="s">
        <v>870</v>
      </c>
      <c r="BY74" s="17" t="s">
        <v>870</v>
      </c>
      <c r="BZ74" s="17" t="s">
        <v>870</v>
      </c>
      <c r="CA74" s="17" t="s">
        <v>870</v>
      </c>
      <c r="CB74" s="17" t="s">
        <v>870</v>
      </c>
      <c r="CC74" s="17" t="s">
        <v>870</v>
      </c>
      <c r="CD74" s="17" t="s">
        <v>870</v>
      </c>
      <c r="CE74" s="17" t="s">
        <v>870</v>
      </c>
      <c r="CF74" s="17" t="s">
        <v>870</v>
      </c>
      <c r="CG74" s="17" t="s">
        <v>870</v>
      </c>
      <c r="CH74" s="17" t="s">
        <v>870</v>
      </c>
      <c r="CI74" s="17" t="s">
        <v>870</v>
      </c>
      <c r="CJ74" s="17" t="s">
        <v>870</v>
      </c>
      <c r="CK74" s="17" t="s">
        <v>870</v>
      </c>
      <c r="CL74" s="17" t="s">
        <v>870</v>
      </c>
      <c r="CM74" s="17" t="s">
        <v>870</v>
      </c>
      <c r="CN74" s="17" t="s">
        <v>870</v>
      </c>
      <c r="CO74" s="17" t="s">
        <v>870</v>
      </c>
      <c r="CP74" s="17" t="s">
        <v>870</v>
      </c>
      <c r="CQ74" s="17" t="s">
        <v>870</v>
      </c>
      <c r="CR74" s="17" t="s">
        <v>870</v>
      </c>
      <c r="CS74" s="17" t="s">
        <v>870</v>
      </c>
      <c r="CT74" s="17" t="s">
        <v>870</v>
      </c>
      <c r="CU74" s="17" t="s">
        <v>870</v>
      </c>
      <c r="CV74" s="17" t="s">
        <v>870</v>
      </c>
      <c r="CW74" s="17" t="s">
        <v>870</v>
      </c>
      <c r="CX74" s="17" t="s">
        <v>870</v>
      </c>
      <c r="CY74" s="17" t="s">
        <v>870</v>
      </c>
      <c r="CZ74" s="17" t="s">
        <v>870</v>
      </c>
      <c r="DA74" s="17" t="s">
        <v>870</v>
      </c>
      <c r="DB74" s="17" t="s">
        <v>870</v>
      </c>
      <c r="DC74" s="17" t="s">
        <v>870</v>
      </c>
      <c r="DD74" s="17" t="s">
        <v>870</v>
      </c>
      <c r="DE74" s="17" t="s">
        <v>870</v>
      </c>
      <c r="DF74" s="17" t="s">
        <v>870</v>
      </c>
      <c r="DG74" s="17" t="s">
        <v>870</v>
      </c>
      <c r="DH74" s="17" t="s">
        <v>870</v>
      </c>
      <c r="DI74" s="17" t="s">
        <v>870</v>
      </c>
      <c r="DJ74" s="17" t="s">
        <v>870</v>
      </c>
      <c r="DK74" s="17" t="s">
        <v>870</v>
      </c>
      <c r="DL74" s="17" t="s">
        <v>870</v>
      </c>
      <c r="DM74" s="17" t="s">
        <v>870</v>
      </c>
      <c r="DN74" s="17" t="s">
        <v>870</v>
      </c>
      <c r="DO74" s="17" t="s">
        <v>870</v>
      </c>
      <c r="DP74" s="17" t="s">
        <v>870</v>
      </c>
      <c r="DQ74" s="17" t="s">
        <v>870</v>
      </c>
      <c r="DR74" s="17" t="s">
        <v>870</v>
      </c>
      <c r="DS74" s="17" t="s">
        <v>870</v>
      </c>
      <c r="DT74" s="17" t="s">
        <v>870</v>
      </c>
      <c r="DU74" s="17" t="s">
        <v>870</v>
      </c>
      <c r="DV74" s="17" t="s">
        <v>870</v>
      </c>
      <c r="DW74" s="17" t="s">
        <v>870</v>
      </c>
      <c r="DX74" s="17" t="s">
        <v>870</v>
      </c>
      <c r="DY74" s="17" t="s">
        <v>870</v>
      </c>
      <c r="DZ74" s="17" t="s">
        <v>870</v>
      </c>
      <c r="EA74" s="17" t="s">
        <v>870</v>
      </c>
      <c r="EB74" s="17" t="s">
        <v>870</v>
      </c>
      <c r="EC74" s="17" t="s">
        <v>870</v>
      </c>
      <c r="ED74" s="17" t="s">
        <v>870</v>
      </c>
      <c r="EE74" s="17" t="s">
        <v>870</v>
      </c>
      <c r="EF74" s="17" t="s">
        <v>870</v>
      </c>
      <c r="EG74" s="17" t="s">
        <v>870</v>
      </c>
      <c r="EH74" s="17" t="s">
        <v>870</v>
      </c>
      <c r="EI74" s="17" t="s">
        <v>870</v>
      </c>
      <c r="EJ74" s="17" t="s">
        <v>870</v>
      </c>
      <c r="EK74" s="17" t="s">
        <v>870</v>
      </c>
      <c r="EL74" s="17" t="s">
        <v>870</v>
      </c>
      <c r="EM74" s="17" t="s">
        <v>870</v>
      </c>
      <c r="EN74" s="17" t="s">
        <v>870</v>
      </c>
      <c r="EO74" s="17" t="s">
        <v>870</v>
      </c>
      <c r="EP74" s="17" t="s">
        <v>870</v>
      </c>
      <c r="EQ74" s="17" t="s">
        <v>870</v>
      </c>
      <c r="ER74" s="17" t="s">
        <v>870</v>
      </c>
      <c r="ES74" s="17" t="s">
        <v>870</v>
      </c>
      <c r="ET74" s="17" t="s">
        <v>870</v>
      </c>
      <c r="EU74" s="17" t="s">
        <v>870</v>
      </c>
      <c r="EV74" s="17" t="s">
        <v>870</v>
      </c>
      <c r="EW74" s="17" t="s">
        <v>870</v>
      </c>
      <c r="EX74" s="17" t="s">
        <v>870</v>
      </c>
      <c r="EY74" s="17" t="s">
        <v>870</v>
      </c>
      <c r="EZ74" s="17" t="s">
        <v>870</v>
      </c>
      <c r="FA74" s="17" t="s">
        <v>870</v>
      </c>
      <c r="FB74" s="17" t="s">
        <v>870</v>
      </c>
      <c r="FC74" s="17" t="s">
        <v>870</v>
      </c>
      <c r="FD74" s="17" t="s">
        <v>870</v>
      </c>
      <c r="FE74" s="17" t="s">
        <v>870</v>
      </c>
      <c r="FF74" s="17" t="s">
        <v>870</v>
      </c>
      <c r="FG74" s="17" t="s">
        <v>870</v>
      </c>
      <c r="FH74" s="17" t="s">
        <v>870</v>
      </c>
      <c r="FI74" s="17" t="s">
        <v>870</v>
      </c>
      <c r="FJ74" s="17" t="s">
        <v>870</v>
      </c>
      <c r="FK74" s="17" t="s">
        <v>870</v>
      </c>
      <c r="FL74" s="17" t="s">
        <v>870</v>
      </c>
      <c r="FM74" s="17" t="s">
        <v>870</v>
      </c>
      <c r="FN74" s="17" t="s">
        <v>870</v>
      </c>
      <c r="FO74" s="17" t="s">
        <v>870</v>
      </c>
      <c r="FP74" s="17" t="s">
        <v>870</v>
      </c>
      <c r="FQ74" s="17" t="s">
        <v>870</v>
      </c>
      <c r="FR74" s="17" t="s">
        <v>870</v>
      </c>
      <c r="FS74" s="17" t="s">
        <v>870</v>
      </c>
      <c r="FT74" s="17" t="s">
        <v>870</v>
      </c>
      <c r="FU74" s="17" t="s">
        <v>870</v>
      </c>
      <c r="FV74" s="17" t="s">
        <v>870</v>
      </c>
      <c r="FW74" s="17" t="s">
        <v>870</v>
      </c>
      <c r="FX74" s="17" t="s">
        <v>870</v>
      </c>
      <c r="FY74" s="17" t="s">
        <v>870</v>
      </c>
      <c r="FZ74" s="17" t="s">
        <v>870</v>
      </c>
      <c r="GA74" s="17" t="s">
        <v>870</v>
      </c>
      <c r="GB74" s="17" t="s">
        <v>870</v>
      </c>
      <c r="GC74" s="17" t="s">
        <v>870</v>
      </c>
      <c r="GD74" s="17" t="s">
        <v>870</v>
      </c>
      <c r="GE74" s="17" t="s">
        <v>870</v>
      </c>
      <c r="GF74" s="17" t="s">
        <v>870</v>
      </c>
      <c r="GG74" s="17" t="s">
        <v>870</v>
      </c>
      <c r="GH74" s="17" t="s">
        <v>870</v>
      </c>
      <c r="GI74" s="17" t="s">
        <v>870</v>
      </c>
      <c r="GJ74" s="17" t="s">
        <v>870</v>
      </c>
      <c r="GK74" s="17" t="s">
        <v>870</v>
      </c>
      <c r="GL74" s="17" t="s">
        <v>870</v>
      </c>
      <c r="GM74" s="17" t="s">
        <v>870</v>
      </c>
      <c r="GN74" s="17" t="s">
        <v>870</v>
      </c>
      <c r="GO74" s="17" t="s">
        <v>870</v>
      </c>
      <c r="GP74" s="17" t="s">
        <v>870</v>
      </c>
      <c r="GQ74" s="17" t="s">
        <v>870</v>
      </c>
      <c r="GR74" s="17" t="s">
        <v>870</v>
      </c>
      <c r="GS74" s="17" t="s">
        <v>870</v>
      </c>
      <c r="GT74" s="17" t="s">
        <v>870</v>
      </c>
      <c r="GU74" s="17" t="s">
        <v>870</v>
      </c>
      <c r="GV74" s="17" t="s">
        <v>870</v>
      </c>
      <c r="GW74" s="17" t="s">
        <v>870</v>
      </c>
      <c r="GX74" s="17" t="s">
        <v>870</v>
      </c>
      <c r="GY74" s="17" t="s">
        <v>870</v>
      </c>
      <c r="GZ74" s="17" t="s">
        <v>870</v>
      </c>
      <c r="HA74" s="17" t="s">
        <v>870</v>
      </c>
      <c r="HB74" s="17" t="s">
        <v>870</v>
      </c>
      <c r="HC74" s="17" t="s">
        <v>870</v>
      </c>
      <c r="HD74" s="17" t="s">
        <v>870</v>
      </c>
      <c r="HE74" s="17" t="s">
        <v>870</v>
      </c>
      <c r="HF74" s="17" t="s">
        <v>870</v>
      </c>
      <c r="HG74" s="17" t="s">
        <v>870</v>
      </c>
      <c r="HH74" s="17" t="s">
        <v>870</v>
      </c>
      <c r="HI74" s="17" t="s">
        <v>870</v>
      </c>
      <c r="HJ74" s="17" t="s">
        <v>870</v>
      </c>
      <c r="HK74" s="17" t="s">
        <v>870</v>
      </c>
      <c r="HL74" s="17" t="s">
        <v>870</v>
      </c>
      <c r="HM74" s="17" t="s">
        <v>870</v>
      </c>
      <c r="HN74" s="17" t="s">
        <v>870</v>
      </c>
      <c r="HO74" s="17" t="s">
        <v>870</v>
      </c>
      <c r="HP74" s="17" t="s">
        <v>870</v>
      </c>
      <c r="HQ74" s="17" t="s">
        <v>870</v>
      </c>
      <c r="HR74" s="17" t="s">
        <v>870</v>
      </c>
      <c r="HS74" s="17" t="s">
        <v>870</v>
      </c>
      <c r="HT74" s="17" t="s">
        <v>870</v>
      </c>
      <c r="HU74" s="17" t="s">
        <v>870</v>
      </c>
      <c r="HV74" s="17" t="s">
        <v>870</v>
      </c>
      <c r="HW74" s="17" t="s">
        <v>870</v>
      </c>
      <c r="HX74" s="17" t="s">
        <v>870</v>
      </c>
      <c r="HY74" s="17" t="s">
        <v>870</v>
      </c>
      <c r="HZ74" s="17" t="s">
        <v>870</v>
      </c>
      <c r="IA74" s="17" t="s">
        <v>870</v>
      </c>
      <c r="IB74" s="17" t="s">
        <v>870</v>
      </c>
      <c r="IC74" s="17" t="s">
        <v>870</v>
      </c>
      <c r="ID74" s="17" t="s">
        <v>870</v>
      </c>
      <c r="IE74" s="61" t="s">
        <v>2</v>
      </c>
      <c r="IF74" s="63"/>
      <c r="IG74" s="17" t="s">
        <v>870</v>
      </c>
      <c r="IH74" s="17" t="s">
        <v>870</v>
      </c>
      <c r="II74" s="17" t="s">
        <v>870</v>
      </c>
      <c r="IJ74" s="17" t="s">
        <v>870</v>
      </c>
      <c r="IK74" s="17" t="s">
        <v>870</v>
      </c>
      <c r="IL74" s="17" t="s">
        <v>870</v>
      </c>
      <c r="IM74" s="17" t="s">
        <v>870</v>
      </c>
      <c r="IN74" s="17" t="s">
        <v>870</v>
      </c>
      <c r="IO74" s="17" t="s">
        <v>870</v>
      </c>
    </row>
    <row r="75" spans="1:249" x14ac:dyDescent="0.25">
      <c r="A75" t="s">
        <v>1549</v>
      </c>
      <c r="B75" s="17" t="s">
        <v>870</v>
      </c>
      <c r="C75" s="17" t="s">
        <v>870</v>
      </c>
      <c r="D75" s="17" t="s">
        <v>870</v>
      </c>
      <c r="E75" s="17" t="s">
        <v>870</v>
      </c>
      <c r="F75" s="17" t="s">
        <v>870</v>
      </c>
      <c r="G75" s="17" t="s">
        <v>870</v>
      </c>
      <c r="H75" s="17" t="s">
        <v>870</v>
      </c>
      <c r="I75" s="17" t="s">
        <v>870</v>
      </c>
      <c r="J75" s="17" t="s">
        <v>870</v>
      </c>
      <c r="K75" s="17" t="s">
        <v>870</v>
      </c>
      <c r="L75" s="17" t="s">
        <v>870</v>
      </c>
      <c r="M75" s="17" t="s">
        <v>870</v>
      </c>
      <c r="N75" s="17" t="s">
        <v>870</v>
      </c>
      <c r="O75" s="17" t="s">
        <v>870</v>
      </c>
      <c r="P75" s="17" t="s">
        <v>870</v>
      </c>
      <c r="Q75" s="17" t="s">
        <v>870</v>
      </c>
      <c r="R75" s="17" t="s">
        <v>870</v>
      </c>
      <c r="S75" s="17" t="s">
        <v>870</v>
      </c>
      <c r="T75" s="17" t="s">
        <v>870</v>
      </c>
      <c r="U75" s="17" t="s">
        <v>870</v>
      </c>
      <c r="V75" s="17" t="s">
        <v>870</v>
      </c>
      <c r="W75" s="17" t="s">
        <v>870</v>
      </c>
      <c r="X75" s="17" t="s">
        <v>870</v>
      </c>
      <c r="Y75" s="17" t="s">
        <v>870</v>
      </c>
      <c r="Z75" s="17" t="s">
        <v>870</v>
      </c>
      <c r="AA75" s="17" t="s">
        <v>870</v>
      </c>
      <c r="AB75" s="17" t="s">
        <v>870</v>
      </c>
      <c r="AC75" s="17" t="s">
        <v>870</v>
      </c>
      <c r="AD75" s="17" t="s">
        <v>870</v>
      </c>
      <c r="AE75" s="17" t="s">
        <v>870</v>
      </c>
      <c r="AF75" s="17" t="s">
        <v>870</v>
      </c>
      <c r="AG75" s="17" t="s">
        <v>870</v>
      </c>
      <c r="AH75" s="17" t="s">
        <v>870</v>
      </c>
      <c r="AI75" s="17" t="s">
        <v>870</v>
      </c>
      <c r="AJ75" s="17" t="s">
        <v>870</v>
      </c>
      <c r="AK75" s="17" t="s">
        <v>870</v>
      </c>
      <c r="AL75" s="17" t="s">
        <v>870</v>
      </c>
      <c r="AM75" s="17" t="s">
        <v>870</v>
      </c>
      <c r="AN75" s="17" t="s">
        <v>870</v>
      </c>
      <c r="AO75" s="17" t="s">
        <v>870</v>
      </c>
      <c r="AP75" s="17" t="s">
        <v>870</v>
      </c>
      <c r="AQ75" s="17" t="s">
        <v>870</v>
      </c>
      <c r="AR75" s="17" t="s">
        <v>870</v>
      </c>
      <c r="AS75" s="17" t="s">
        <v>870</v>
      </c>
      <c r="AT75" s="17" t="s">
        <v>870</v>
      </c>
      <c r="AU75" s="17" t="s">
        <v>870</v>
      </c>
      <c r="AV75" s="17" t="s">
        <v>870</v>
      </c>
      <c r="AW75" s="17" t="s">
        <v>870</v>
      </c>
      <c r="AX75" s="17" t="s">
        <v>870</v>
      </c>
      <c r="AY75" s="17" t="s">
        <v>870</v>
      </c>
      <c r="AZ75" s="17" t="s">
        <v>870</v>
      </c>
      <c r="BA75" s="17" t="s">
        <v>870</v>
      </c>
      <c r="BB75" s="17" t="s">
        <v>870</v>
      </c>
      <c r="BC75" s="17" t="s">
        <v>870</v>
      </c>
      <c r="BD75" s="17" t="s">
        <v>870</v>
      </c>
      <c r="BE75" s="17" t="s">
        <v>870</v>
      </c>
      <c r="BF75" s="17" t="s">
        <v>870</v>
      </c>
      <c r="BG75" s="17" t="s">
        <v>870</v>
      </c>
      <c r="BH75" s="17" t="s">
        <v>870</v>
      </c>
      <c r="BI75" s="17" t="s">
        <v>870</v>
      </c>
      <c r="BJ75" s="17" t="s">
        <v>870</v>
      </c>
      <c r="BK75" s="17" t="s">
        <v>870</v>
      </c>
      <c r="BL75" s="17" t="s">
        <v>870</v>
      </c>
      <c r="BM75" s="17" t="s">
        <v>870</v>
      </c>
      <c r="BN75" s="17" t="s">
        <v>870</v>
      </c>
      <c r="BO75" s="17" t="s">
        <v>870</v>
      </c>
      <c r="BP75" s="17" t="s">
        <v>870</v>
      </c>
      <c r="BQ75" s="17" t="s">
        <v>870</v>
      </c>
      <c r="BR75" s="17" t="s">
        <v>870</v>
      </c>
      <c r="BS75" s="17" t="s">
        <v>870</v>
      </c>
      <c r="BT75" s="17" t="s">
        <v>870</v>
      </c>
      <c r="BU75" s="17" t="s">
        <v>870</v>
      </c>
      <c r="BV75" s="17" t="s">
        <v>870</v>
      </c>
      <c r="BW75" s="17" t="s">
        <v>870</v>
      </c>
      <c r="BX75" s="17" t="s">
        <v>870</v>
      </c>
      <c r="BY75" s="17" t="s">
        <v>870</v>
      </c>
      <c r="BZ75" s="17" t="s">
        <v>870</v>
      </c>
      <c r="CA75" s="17" t="s">
        <v>870</v>
      </c>
      <c r="CB75" s="17" t="s">
        <v>870</v>
      </c>
      <c r="CC75" s="17" t="s">
        <v>870</v>
      </c>
      <c r="CD75" s="17" t="s">
        <v>870</v>
      </c>
      <c r="CE75" s="17" t="s">
        <v>870</v>
      </c>
      <c r="CF75" s="17" t="s">
        <v>870</v>
      </c>
      <c r="CG75" s="17" t="s">
        <v>870</v>
      </c>
      <c r="CH75" s="17" t="s">
        <v>870</v>
      </c>
      <c r="CI75" s="17" t="s">
        <v>870</v>
      </c>
      <c r="CJ75" s="17" t="s">
        <v>870</v>
      </c>
      <c r="CK75" s="17" t="s">
        <v>870</v>
      </c>
      <c r="CL75" s="17" t="s">
        <v>870</v>
      </c>
      <c r="CM75" s="17" t="s">
        <v>870</v>
      </c>
      <c r="CN75" s="17" t="s">
        <v>870</v>
      </c>
      <c r="CO75" s="17" t="s">
        <v>870</v>
      </c>
      <c r="CP75" s="17" t="s">
        <v>870</v>
      </c>
      <c r="CQ75" s="17" t="s">
        <v>870</v>
      </c>
      <c r="CR75" s="17" t="s">
        <v>870</v>
      </c>
      <c r="CS75" s="17" t="s">
        <v>870</v>
      </c>
      <c r="CT75" s="17" t="s">
        <v>870</v>
      </c>
      <c r="CU75" s="17" t="s">
        <v>870</v>
      </c>
      <c r="CV75" s="17" t="s">
        <v>870</v>
      </c>
      <c r="CW75" s="17" t="s">
        <v>870</v>
      </c>
      <c r="CX75" s="17" t="s">
        <v>870</v>
      </c>
      <c r="CY75" s="17" t="s">
        <v>870</v>
      </c>
      <c r="CZ75" s="17" t="s">
        <v>870</v>
      </c>
      <c r="DA75" s="17" t="s">
        <v>870</v>
      </c>
      <c r="DB75" s="17" t="s">
        <v>870</v>
      </c>
      <c r="DC75" s="17" t="s">
        <v>870</v>
      </c>
      <c r="DD75" s="17" t="s">
        <v>870</v>
      </c>
      <c r="DE75" s="17" t="s">
        <v>870</v>
      </c>
      <c r="DF75" s="17" t="s">
        <v>870</v>
      </c>
      <c r="DG75" s="17" t="s">
        <v>870</v>
      </c>
      <c r="DH75" s="17" t="s">
        <v>870</v>
      </c>
      <c r="DI75" s="17" t="s">
        <v>870</v>
      </c>
      <c r="DJ75" s="17" t="s">
        <v>870</v>
      </c>
      <c r="DK75" s="17" t="s">
        <v>870</v>
      </c>
      <c r="DL75" s="17" t="s">
        <v>870</v>
      </c>
      <c r="DM75" s="17" t="s">
        <v>870</v>
      </c>
      <c r="DN75" s="17" t="s">
        <v>870</v>
      </c>
      <c r="DO75" s="17" t="s">
        <v>870</v>
      </c>
      <c r="DP75" s="17" t="s">
        <v>870</v>
      </c>
      <c r="DQ75" s="17" t="s">
        <v>870</v>
      </c>
      <c r="DR75" s="17" t="s">
        <v>870</v>
      </c>
      <c r="DS75" s="17" t="s">
        <v>870</v>
      </c>
      <c r="DT75" s="17" t="s">
        <v>870</v>
      </c>
      <c r="DU75" s="17" t="s">
        <v>870</v>
      </c>
      <c r="DV75" s="17" t="s">
        <v>870</v>
      </c>
      <c r="DW75" s="17" t="s">
        <v>870</v>
      </c>
      <c r="DX75" s="17" t="s">
        <v>870</v>
      </c>
      <c r="DY75" s="17" t="s">
        <v>870</v>
      </c>
      <c r="DZ75" s="17" t="s">
        <v>870</v>
      </c>
      <c r="EA75" s="17" t="s">
        <v>870</v>
      </c>
      <c r="EB75" s="17" t="s">
        <v>870</v>
      </c>
      <c r="EC75" s="17" t="s">
        <v>870</v>
      </c>
      <c r="ED75" s="17" t="s">
        <v>870</v>
      </c>
      <c r="EE75" s="17" t="s">
        <v>870</v>
      </c>
      <c r="EF75" s="17" t="s">
        <v>870</v>
      </c>
      <c r="EG75" s="17" t="s">
        <v>870</v>
      </c>
      <c r="EH75" s="17" t="s">
        <v>870</v>
      </c>
      <c r="EI75" s="17" t="s">
        <v>870</v>
      </c>
      <c r="EJ75" s="17" t="s">
        <v>870</v>
      </c>
      <c r="EK75" s="17" t="s">
        <v>870</v>
      </c>
      <c r="EL75" s="17" t="s">
        <v>870</v>
      </c>
      <c r="EM75" s="17" t="s">
        <v>870</v>
      </c>
      <c r="EN75" s="17" t="s">
        <v>870</v>
      </c>
      <c r="EO75" s="17" t="s">
        <v>870</v>
      </c>
      <c r="EP75" s="17" t="s">
        <v>870</v>
      </c>
      <c r="EQ75" s="17" t="s">
        <v>870</v>
      </c>
      <c r="ER75" s="17" t="s">
        <v>870</v>
      </c>
      <c r="ES75" s="17" t="s">
        <v>870</v>
      </c>
      <c r="ET75" s="17" t="s">
        <v>870</v>
      </c>
      <c r="EU75" s="17" t="s">
        <v>870</v>
      </c>
      <c r="EV75" s="17" t="s">
        <v>870</v>
      </c>
      <c r="EW75" s="17" t="s">
        <v>870</v>
      </c>
      <c r="EX75" s="17" t="s">
        <v>870</v>
      </c>
      <c r="EY75" s="17" t="s">
        <v>870</v>
      </c>
      <c r="EZ75" s="17" t="s">
        <v>870</v>
      </c>
      <c r="FA75" s="17" t="s">
        <v>870</v>
      </c>
      <c r="FB75" s="17" t="s">
        <v>870</v>
      </c>
      <c r="FC75" s="17" t="s">
        <v>870</v>
      </c>
      <c r="FD75" s="17" t="s">
        <v>870</v>
      </c>
      <c r="FE75" s="17" t="s">
        <v>870</v>
      </c>
      <c r="FF75" s="17" t="s">
        <v>870</v>
      </c>
      <c r="FG75" s="17" t="s">
        <v>870</v>
      </c>
      <c r="FH75" s="17" t="s">
        <v>870</v>
      </c>
      <c r="FI75" s="17" t="s">
        <v>870</v>
      </c>
      <c r="FJ75" s="17" t="s">
        <v>870</v>
      </c>
      <c r="FK75" s="17" t="s">
        <v>870</v>
      </c>
      <c r="FL75" s="17" t="s">
        <v>870</v>
      </c>
      <c r="FM75" s="17" t="s">
        <v>870</v>
      </c>
      <c r="FN75" s="17" t="s">
        <v>870</v>
      </c>
      <c r="FO75" s="17" t="s">
        <v>870</v>
      </c>
      <c r="FP75" s="17" t="s">
        <v>870</v>
      </c>
      <c r="FQ75" s="17" t="s">
        <v>870</v>
      </c>
      <c r="FR75" s="17" t="s">
        <v>870</v>
      </c>
      <c r="FS75" s="17" t="s">
        <v>870</v>
      </c>
      <c r="FT75" s="17" t="s">
        <v>870</v>
      </c>
      <c r="FU75" s="17" t="s">
        <v>870</v>
      </c>
      <c r="FV75" s="17" t="s">
        <v>870</v>
      </c>
      <c r="FW75" s="17" t="s">
        <v>870</v>
      </c>
      <c r="FX75" s="17" t="s">
        <v>870</v>
      </c>
      <c r="FY75" s="17" t="s">
        <v>870</v>
      </c>
      <c r="FZ75" s="17" t="s">
        <v>870</v>
      </c>
      <c r="GA75" s="17" t="s">
        <v>870</v>
      </c>
      <c r="GB75" s="17" t="s">
        <v>870</v>
      </c>
      <c r="GC75" s="17" t="s">
        <v>870</v>
      </c>
      <c r="GD75" s="17" t="s">
        <v>870</v>
      </c>
      <c r="GE75" s="17" t="s">
        <v>870</v>
      </c>
      <c r="GF75" s="17" t="s">
        <v>870</v>
      </c>
      <c r="GG75" s="17" t="s">
        <v>870</v>
      </c>
      <c r="GH75" s="17" t="s">
        <v>870</v>
      </c>
      <c r="GI75" s="17" t="s">
        <v>870</v>
      </c>
      <c r="GJ75" s="17" t="s">
        <v>870</v>
      </c>
      <c r="GK75" s="17" t="s">
        <v>870</v>
      </c>
      <c r="GL75" s="17" t="s">
        <v>870</v>
      </c>
      <c r="GM75" s="17" t="s">
        <v>870</v>
      </c>
      <c r="GN75" s="17" t="s">
        <v>870</v>
      </c>
      <c r="GO75" s="17" t="s">
        <v>870</v>
      </c>
      <c r="GP75" s="17" t="s">
        <v>870</v>
      </c>
      <c r="GQ75" s="17" t="s">
        <v>870</v>
      </c>
      <c r="GR75" s="17" t="s">
        <v>870</v>
      </c>
      <c r="GS75" s="17" t="s">
        <v>870</v>
      </c>
      <c r="GT75" s="17" t="s">
        <v>870</v>
      </c>
      <c r="GU75" s="17" t="s">
        <v>870</v>
      </c>
      <c r="GV75" s="17" t="s">
        <v>870</v>
      </c>
      <c r="GW75" s="17" t="s">
        <v>870</v>
      </c>
      <c r="GX75" s="17" t="s">
        <v>870</v>
      </c>
      <c r="GY75" s="17" t="s">
        <v>870</v>
      </c>
      <c r="GZ75" s="17" t="s">
        <v>870</v>
      </c>
      <c r="HA75" s="17" t="s">
        <v>870</v>
      </c>
      <c r="HB75" s="17" t="s">
        <v>870</v>
      </c>
      <c r="HC75" s="17" t="s">
        <v>870</v>
      </c>
      <c r="HD75" s="17" t="s">
        <v>870</v>
      </c>
      <c r="HE75" s="17" t="s">
        <v>870</v>
      </c>
      <c r="HF75" s="17" t="s">
        <v>870</v>
      </c>
      <c r="HG75" s="17" t="s">
        <v>870</v>
      </c>
      <c r="HH75" s="17" t="s">
        <v>870</v>
      </c>
      <c r="HI75" s="17" t="s">
        <v>870</v>
      </c>
      <c r="HJ75" s="17" t="s">
        <v>870</v>
      </c>
      <c r="HK75" s="17" t="s">
        <v>870</v>
      </c>
      <c r="HL75" s="17" t="s">
        <v>870</v>
      </c>
      <c r="HM75" s="17" t="s">
        <v>870</v>
      </c>
      <c r="HN75" s="17" t="s">
        <v>870</v>
      </c>
      <c r="HO75" s="17" t="s">
        <v>870</v>
      </c>
      <c r="HP75" s="17" t="s">
        <v>870</v>
      </c>
      <c r="HQ75" s="17" t="s">
        <v>870</v>
      </c>
      <c r="HR75" s="17" t="s">
        <v>870</v>
      </c>
      <c r="HS75" s="17" t="s">
        <v>870</v>
      </c>
      <c r="HT75" s="17" t="s">
        <v>870</v>
      </c>
      <c r="HU75" s="17" t="s">
        <v>870</v>
      </c>
      <c r="HV75" s="17" t="s">
        <v>870</v>
      </c>
      <c r="HW75" s="17" t="s">
        <v>870</v>
      </c>
      <c r="HX75" s="17" t="s">
        <v>870</v>
      </c>
      <c r="HY75" s="17" t="s">
        <v>870</v>
      </c>
      <c r="HZ75" s="17" t="s">
        <v>870</v>
      </c>
      <c r="IA75" s="17" t="s">
        <v>870</v>
      </c>
      <c r="IB75" s="17" t="s">
        <v>870</v>
      </c>
      <c r="IC75" s="17" t="s">
        <v>870</v>
      </c>
      <c r="ID75" s="17" t="s">
        <v>870</v>
      </c>
      <c r="IE75" s="63"/>
      <c r="IF75" s="63"/>
      <c r="IG75" s="17" t="s">
        <v>870</v>
      </c>
      <c r="IH75" s="17" t="s">
        <v>870</v>
      </c>
      <c r="II75" s="17" t="s">
        <v>870</v>
      </c>
      <c r="IJ75" s="17" t="s">
        <v>870</v>
      </c>
      <c r="IK75" s="17" t="s">
        <v>870</v>
      </c>
      <c r="IL75" s="17" t="s">
        <v>870</v>
      </c>
      <c r="IM75" s="17" t="s">
        <v>870</v>
      </c>
      <c r="IN75" s="17" t="s">
        <v>870</v>
      </c>
      <c r="IO75" s="17" t="s">
        <v>870</v>
      </c>
    </row>
    <row r="76" spans="1:249" x14ac:dyDescent="0.25">
      <c r="A76" t="s">
        <v>1680</v>
      </c>
      <c r="B76" s="17" t="s">
        <v>870</v>
      </c>
      <c r="C76" s="17" t="s">
        <v>870</v>
      </c>
      <c r="D76" s="17" t="s">
        <v>870</v>
      </c>
      <c r="E76" s="17" t="s">
        <v>870</v>
      </c>
      <c r="F76" s="17" t="s">
        <v>870</v>
      </c>
      <c r="G76" s="17" t="s">
        <v>870</v>
      </c>
      <c r="H76" s="17" t="s">
        <v>870</v>
      </c>
      <c r="I76" s="17" t="s">
        <v>870</v>
      </c>
      <c r="J76" s="17" t="s">
        <v>870</v>
      </c>
      <c r="K76" s="17" t="s">
        <v>870</v>
      </c>
      <c r="L76" s="17" t="s">
        <v>870</v>
      </c>
      <c r="M76" s="17" t="s">
        <v>870</v>
      </c>
      <c r="N76" s="17" t="s">
        <v>870</v>
      </c>
      <c r="O76" s="17" t="s">
        <v>870</v>
      </c>
      <c r="P76" s="17" t="s">
        <v>870</v>
      </c>
      <c r="Q76" s="17" t="s">
        <v>870</v>
      </c>
      <c r="R76" s="17" t="s">
        <v>870</v>
      </c>
      <c r="S76" s="17" t="s">
        <v>870</v>
      </c>
      <c r="T76" s="17" t="s">
        <v>870</v>
      </c>
      <c r="U76" s="17" t="s">
        <v>870</v>
      </c>
      <c r="V76" s="17" t="s">
        <v>870</v>
      </c>
      <c r="W76" s="17" t="s">
        <v>870</v>
      </c>
      <c r="X76" s="17" t="s">
        <v>870</v>
      </c>
      <c r="Y76" s="17" t="s">
        <v>870</v>
      </c>
      <c r="Z76" s="17" t="s">
        <v>870</v>
      </c>
      <c r="AA76" s="17" t="s">
        <v>870</v>
      </c>
      <c r="AB76" s="17" t="s">
        <v>870</v>
      </c>
      <c r="AC76" s="17" t="s">
        <v>870</v>
      </c>
      <c r="AD76" s="17" t="s">
        <v>870</v>
      </c>
      <c r="AE76" s="17" t="s">
        <v>870</v>
      </c>
      <c r="AF76" s="17" t="s">
        <v>870</v>
      </c>
      <c r="AG76" s="17" t="s">
        <v>870</v>
      </c>
      <c r="AH76" s="17" t="s">
        <v>870</v>
      </c>
      <c r="AI76" s="17" t="s">
        <v>870</v>
      </c>
      <c r="AJ76" s="17" t="s">
        <v>870</v>
      </c>
      <c r="AK76" s="17" t="s">
        <v>870</v>
      </c>
      <c r="AL76" s="17" t="s">
        <v>870</v>
      </c>
      <c r="AM76" s="17" t="s">
        <v>870</v>
      </c>
      <c r="AN76" s="17" t="s">
        <v>870</v>
      </c>
      <c r="AO76" s="17" t="s">
        <v>870</v>
      </c>
      <c r="AP76" s="17" t="s">
        <v>870</v>
      </c>
      <c r="AQ76" s="17" t="s">
        <v>870</v>
      </c>
      <c r="AR76" s="17" t="s">
        <v>870</v>
      </c>
      <c r="AS76" s="17" t="s">
        <v>870</v>
      </c>
      <c r="AT76" s="17" t="s">
        <v>870</v>
      </c>
      <c r="AU76" s="17" t="s">
        <v>870</v>
      </c>
      <c r="AV76" s="17" t="s">
        <v>870</v>
      </c>
      <c r="AW76" s="17" t="s">
        <v>870</v>
      </c>
      <c r="AX76" s="17" t="s">
        <v>870</v>
      </c>
      <c r="AY76" s="17" t="s">
        <v>870</v>
      </c>
      <c r="AZ76" s="17" t="s">
        <v>870</v>
      </c>
      <c r="BA76" s="17" t="s">
        <v>870</v>
      </c>
      <c r="BB76" s="17" t="s">
        <v>870</v>
      </c>
      <c r="BC76" s="17" t="s">
        <v>870</v>
      </c>
      <c r="BD76" s="17" t="s">
        <v>870</v>
      </c>
      <c r="BE76" s="17" t="s">
        <v>870</v>
      </c>
      <c r="BF76" s="17" t="s">
        <v>870</v>
      </c>
      <c r="BG76" s="17" t="s">
        <v>870</v>
      </c>
      <c r="BH76" s="17" t="s">
        <v>870</v>
      </c>
      <c r="BI76" s="17" t="s">
        <v>870</v>
      </c>
      <c r="BJ76" s="17" t="s">
        <v>870</v>
      </c>
      <c r="BK76" s="17" t="s">
        <v>870</v>
      </c>
      <c r="BL76" s="17" t="s">
        <v>870</v>
      </c>
      <c r="BM76" s="17" t="s">
        <v>870</v>
      </c>
      <c r="BN76" s="17" t="s">
        <v>870</v>
      </c>
      <c r="BO76" s="17" t="s">
        <v>870</v>
      </c>
      <c r="BP76" s="17" t="s">
        <v>870</v>
      </c>
      <c r="BQ76" s="17" t="s">
        <v>870</v>
      </c>
      <c r="BR76" s="17" t="s">
        <v>870</v>
      </c>
      <c r="BS76" s="17" t="s">
        <v>870</v>
      </c>
      <c r="BT76" s="17" t="s">
        <v>870</v>
      </c>
      <c r="BU76" s="17" t="s">
        <v>870</v>
      </c>
      <c r="BV76" s="17" t="s">
        <v>870</v>
      </c>
      <c r="BW76" s="17" t="s">
        <v>870</v>
      </c>
      <c r="BX76" s="17" t="s">
        <v>870</v>
      </c>
      <c r="BY76" s="17" t="s">
        <v>870</v>
      </c>
      <c r="BZ76" s="17" t="s">
        <v>870</v>
      </c>
      <c r="CA76" s="17" t="s">
        <v>870</v>
      </c>
      <c r="CB76" s="17" t="s">
        <v>870</v>
      </c>
      <c r="CC76" s="17" t="s">
        <v>870</v>
      </c>
      <c r="CD76" s="17" t="s">
        <v>870</v>
      </c>
      <c r="CE76" s="17" t="s">
        <v>870</v>
      </c>
      <c r="CF76" s="17" t="s">
        <v>870</v>
      </c>
      <c r="CG76" s="17" t="s">
        <v>870</v>
      </c>
      <c r="CH76" s="17" t="s">
        <v>870</v>
      </c>
      <c r="CI76" s="17" t="s">
        <v>870</v>
      </c>
      <c r="CJ76" s="17" t="s">
        <v>870</v>
      </c>
      <c r="CK76" s="17" t="s">
        <v>870</v>
      </c>
      <c r="CL76" s="17" t="s">
        <v>870</v>
      </c>
      <c r="CM76" s="17" t="s">
        <v>870</v>
      </c>
      <c r="CN76" s="17" t="s">
        <v>870</v>
      </c>
      <c r="CO76" s="17" t="s">
        <v>870</v>
      </c>
      <c r="CP76" s="17" t="s">
        <v>870</v>
      </c>
      <c r="CQ76" s="17" t="s">
        <v>870</v>
      </c>
      <c r="CR76" s="17" t="s">
        <v>870</v>
      </c>
      <c r="CS76" s="17" t="s">
        <v>870</v>
      </c>
      <c r="CT76" s="17" t="s">
        <v>870</v>
      </c>
      <c r="CU76" s="17" t="s">
        <v>870</v>
      </c>
      <c r="CV76" s="17" t="s">
        <v>870</v>
      </c>
      <c r="CW76" s="17" t="s">
        <v>870</v>
      </c>
      <c r="CX76" s="17" t="s">
        <v>870</v>
      </c>
      <c r="CY76" s="17" t="s">
        <v>870</v>
      </c>
      <c r="CZ76" s="17" t="s">
        <v>870</v>
      </c>
      <c r="DA76" s="17" t="s">
        <v>870</v>
      </c>
      <c r="DB76" s="17" t="s">
        <v>870</v>
      </c>
      <c r="DC76" s="17" t="s">
        <v>870</v>
      </c>
      <c r="DD76" s="17" t="s">
        <v>870</v>
      </c>
      <c r="DE76" s="17" t="s">
        <v>870</v>
      </c>
      <c r="DF76" s="17" t="s">
        <v>870</v>
      </c>
      <c r="DG76" s="17" t="s">
        <v>870</v>
      </c>
      <c r="DH76" s="17" t="s">
        <v>870</v>
      </c>
      <c r="DI76" s="17" t="s">
        <v>870</v>
      </c>
      <c r="DJ76" s="17" t="s">
        <v>870</v>
      </c>
      <c r="DK76" s="17" t="s">
        <v>870</v>
      </c>
      <c r="DL76" s="17" t="s">
        <v>870</v>
      </c>
      <c r="DM76" s="17" t="s">
        <v>870</v>
      </c>
      <c r="DN76" s="17" t="s">
        <v>870</v>
      </c>
      <c r="DO76" s="17" t="s">
        <v>870</v>
      </c>
      <c r="DP76" s="17" t="s">
        <v>870</v>
      </c>
      <c r="DQ76" s="17" t="s">
        <v>870</v>
      </c>
      <c r="DR76" s="17" t="s">
        <v>870</v>
      </c>
      <c r="DS76" s="17" t="s">
        <v>870</v>
      </c>
      <c r="DT76" s="17" t="s">
        <v>870</v>
      </c>
      <c r="DU76" s="17" t="s">
        <v>870</v>
      </c>
      <c r="DV76" s="17" t="s">
        <v>870</v>
      </c>
      <c r="DW76" s="17" t="s">
        <v>870</v>
      </c>
      <c r="DX76" s="17" t="s">
        <v>870</v>
      </c>
      <c r="DY76" s="17" t="s">
        <v>870</v>
      </c>
      <c r="DZ76" s="17" t="s">
        <v>870</v>
      </c>
      <c r="EA76" s="17" t="s">
        <v>870</v>
      </c>
      <c r="EB76" s="17" t="s">
        <v>870</v>
      </c>
      <c r="EC76" s="17" t="s">
        <v>870</v>
      </c>
      <c r="ED76" s="17" t="s">
        <v>870</v>
      </c>
      <c r="EE76" s="17" t="s">
        <v>870</v>
      </c>
      <c r="EF76" s="17" t="s">
        <v>870</v>
      </c>
      <c r="EG76" s="17" t="s">
        <v>870</v>
      </c>
      <c r="EH76" s="17" t="s">
        <v>870</v>
      </c>
      <c r="EI76" s="17" t="s">
        <v>870</v>
      </c>
      <c r="EJ76" s="17" t="s">
        <v>870</v>
      </c>
      <c r="EK76" s="17" t="s">
        <v>870</v>
      </c>
      <c r="EL76" s="17" t="s">
        <v>870</v>
      </c>
      <c r="EM76" s="17" t="s">
        <v>870</v>
      </c>
      <c r="EN76" s="17" t="s">
        <v>870</v>
      </c>
      <c r="EO76" s="17" t="s">
        <v>870</v>
      </c>
      <c r="EP76" s="17" t="s">
        <v>870</v>
      </c>
      <c r="EQ76" s="17" t="s">
        <v>870</v>
      </c>
      <c r="ER76" s="17" t="s">
        <v>870</v>
      </c>
      <c r="ES76" s="17" t="s">
        <v>870</v>
      </c>
      <c r="ET76" s="17" t="s">
        <v>870</v>
      </c>
      <c r="EU76" s="17" t="s">
        <v>870</v>
      </c>
      <c r="EV76" s="17" t="s">
        <v>870</v>
      </c>
      <c r="EW76" s="17" t="s">
        <v>870</v>
      </c>
      <c r="EX76" s="17" t="s">
        <v>870</v>
      </c>
      <c r="EY76" s="17" t="s">
        <v>870</v>
      </c>
      <c r="EZ76" s="17" t="s">
        <v>870</v>
      </c>
      <c r="FA76" s="17" t="s">
        <v>870</v>
      </c>
      <c r="FB76" s="17" t="s">
        <v>870</v>
      </c>
      <c r="FC76" s="17" t="s">
        <v>870</v>
      </c>
      <c r="FD76" s="17" t="s">
        <v>870</v>
      </c>
      <c r="FE76" s="17" t="s">
        <v>870</v>
      </c>
      <c r="FF76" s="17" t="s">
        <v>870</v>
      </c>
      <c r="FG76" s="17" t="s">
        <v>870</v>
      </c>
      <c r="FH76" s="17" t="s">
        <v>870</v>
      </c>
      <c r="FI76" s="17" t="s">
        <v>870</v>
      </c>
      <c r="FJ76" s="17" t="s">
        <v>870</v>
      </c>
      <c r="FK76" s="17" t="s">
        <v>870</v>
      </c>
      <c r="FL76" s="17" t="s">
        <v>870</v>
      </c>
      <c r="FM76" s="17" t="s">
        <v>870</v>
      </c>
      <c r="FN76" s="17" t="s">
        <v>870</v>
      </c>
      <c r="FO76" s="17" t="s">
        <v>870</v>
      </c>
      <c r="FP76" s="17" t="s">
        <v>870</v>
      </c>
      <c r="FQ76" s="17" t="s">
        <v>870</v>
      </c>
      <c r="FR76" s="17" t="s">
        <v>870</v>
      </c>
      <c r="FS76" s="17" t="s">
        <v>870</v>
      </c>
      <c r="FT76" s="17" t="s">
        <v>870</v>
      </c>
      <c r="FU76" s="17" t="s">
        <v>870</v>
      </c>
      <c r="FV76" s="17" t="s">
        <v>870</v>
      </c>
      <c r="FW76" s="17" t="s">
        <v>870</v>
      </c>
      <c r="FX76" s="17" t="s">
        <v>870</v>
      </c>
      <c r="FY76" s="17" t="s">
        <v>870</v>
      </c>
      <c r="FZ76" s="17" t="s">
        <v>870</v>
      </c>
      <c r="GA76" s="17" t="s">
        <v>870</v>
      </c>
      <c r="GB76" s="17" t="s">
        <v>870</v>
      </c>
      <c r="GC76" s="17" t="s">
        <v>870</v>
      </c>
      <c r="GD76" s="17" t="s">
        <v>870</v>
      </c>
      <c r="GE76" s="17" t="s">
        <v>870</v>
      </c>
      <c r="GF76" s="17" t="s">
        <v>870</v>
      </c>
      <c r="GG76" s="17" t="s">
        <v>870</v>
      </c>
      <c r="GH76" s="17" t="s">
        <v>870</v>
      </c>
      <c r="GI76" s="17" t="s">
        <v>870</v>
      </c>
      <c r="GJ76" s="17" t="s">
        <v>870</v>
      </c>
      <c r="GK76" s="17" t="s">
        <v>870</v>
      </c>
      <c r="GL76" s="17" t="s">
        <v>870</v>
      </c>
      <c r="GM76" s="17" t="s">
        <v>870</v>
      </c>
      <c r="GN76" s="17" t="s">
        <v>870</v>
      </c>
      <c r="GO76" s="17" t="s">
        <v>870</v>
      </c>
      <c r="GP76" s="17" t="s">
        <v>870</v>
      </c>
      <c r="GQ76" s="17" t="s">
        <v>870</v>
      </c>
      <c r="GR76" s="17" t="s">
        <v>870</v>
      </c>
      <c r="GS76" s="17" t="s">
        <v>870</v>
      </c>
      <c r="GT76" s="17" t="s">
        <v>870</v>
      </c>
      <c r="GU76" s="17" t="s">
        <v>870</v>
      </c>
      <c r="GV76" s="17" t="s">
        <v>870</v>
      </c>
      <c r="GW76" s="17" t="s">
        <v>870</v>
      </c>
      <c r="GX76" s="17" t="s">
        <v>870</v>
      </c>
      <c r="GY76" s="17" t="s">
        <v>870</v>
      </c>
      <c r="GZ76" s="17" t="s">
        <v>870</v>
      </c>
      <c r="HA76" s="17" t="s">
        <v>870</v>
      </c>
      <c r="HB76" s="17" t="s">
        <v>870</v>
      </c>
      <c r="HC76" s="17" t="s">
        <v>870</v>
      </c>
      <c r="HD76" s="17" t="s">
        <v>870</v>
      </c>
      <c r="HE76" s="17" t="s">
        <v>870</v>
      </c>
      <c r="HF76" s="17" t="s">
        <v>870</v>
      </c>
      <c r="HG76" s="17" t="s">
        <v>870</v>
      </c>
      <c r="HH76" s="17" t="s">
        <v>870</v>
      </c>
      <c r="HI76" s="17" t="s">
        <v>870</v>
      </c>
      <c r="HJ76" s="17" t="s">
        <v>870</v>
      </c>
      <c r="HK76" s="17" t="s">
        <v>870</v>
      </c>
      <c r="HL76" s="17" t="s">
        <v>870</v>
      </c>
      <c r="HM76" s="17" t="s">
        <v>870</v>
      </c>
      <c r="HN76" s="17" t="s">
        <v>870</v>
      </c>
      <c r="HO76" s="17" t="s">
        <v>870</v>
      </c>
      <c r="HP76" s="17" t="s">
        <v>870</v>
      </c>
      <c r="HQ76" s="17" t="s">
        <v>870</v>
      </c>
      <c r="HR76" s="17" t="s">
        <v>870</v>
      </c>
      <c r="HS76" s="17" t="s">
        <v>870</v>
      </c>
      <c r="HT76" s="17" t="s">
        <v>870</v>
      </c>
      <c r="HU76" s="17" t="s">
        <v>870</v>
      </c>
      <c r="HV76" s="17" t="s">
        <v>870</v>
      </c>
      <c r="HW76" s="17" t="s">
        <v>870</v>
      </c>
      <c r="HX76" s="17" t="s">
        <v>870</v>
      </c>
      <c r="HY76" s="17" t="s">
        <v>870</v>
      </c>
      <c r="HZ76" s="17" t="s">
        <v>870</v>
      </c>
      <c r="IA76" s="17" t="s">
        <v>870</v>
      </c>
      <c r="IB76" s="17" t="s">
        <v>870</v>
      </c>
      <c r="IC76" s="17" t="s">
        <v>870</v>
      </c>
      <c r="ID76" s="17" t="s">
        <v>870</v>
      </c>
      <c r="IE76" s="17" t="s">
        <v>870</v>
      </c>
      <c r="IF76" s="17" t="s">
        <v>870</v>
      </c>
      <c r="IG76" s="17" t="s">
        <v>870</v>
      </c>
      <c r="IH76" s="17" t="s">
        <v>870</v>
      </c>
      <c r="II76" s="17" t="s">
        <v>870</v>
      </c>
      <c r="IJ76" s="63"/>
      <c r="IK76" s="61" t="s">
        <v>2</v>
      </c>
      <c r="IL76" s="61" t="s">
        <v>2</v>
      </c>
      <c r="IM76" s="63"/>
      <c r="IN76" s="63"/>
      <c r="IO76" s="63"/>
    </row>
    <row r="77" spans="1:249" x14ac:dyDescent="0.25">
      <c r="A77" t="s">
        <v>1696</v>
      </c>
      <c r="B77" s="17" t="s">
        <v>870</v>
      </c>
      <c r="C77" s="17" t="s">
        <v>870</v>
      </c>
      <c r="D77" s="17" t="s">
        <v>870</v>
      </c>
      <c r="E77" s="17" t="s">
        <v>870</v>
      </c>
      <c r="F77" s="17" t="s">
        <v>870</v>
      </c>
      <c r="G77" s="17" t="s">
        <v>870</v>
      </c>
      <c r="H77" s="17" t="s">
        <v>870</v>
      </c>
      <c r="I77" s="17" t="s">
        <v>870</v>
      </c>
      <c r="J77" s="17" t="s">
        <v>870</v>
      </c>
      <c r="K77" s="17" t="s">
        <v>870</v>
      </c>
      <c r="L77" s="17" t="s">
        <v>870</v>
      </c>
      <c r="M77" s="17" t="s">
        <v>870</v>
      </c>
      <c r="N77" s="17" t="s">
        <v>870</v>
      </c>
      <c r="O77" s="17" t="s">
        <v>870</v>
      </c>
      <c r="P77" s="17" t="s">
        <v>870</v>
      </c>
      <c r="Q77" s="17" t="s">
        <v>870</v>
      </c>
      <c r="R77" s="17" t="s">
        <v>870</v>
      </c>
      <c r="S77" s="17" t="s">
        <v>870</v>
      </c>
      <c r="T77" s="17" t="s">
        <v>870</v>
      </c>
      <c r="U77" s="17" t="s">
        <v>870</v>
      </c>
      <c r="V77" s="17" t="s">
        <v>870</v>
      </c>
      <c r="W77" s="17" t="s">
        <v>870</v>
      </c>
      <c r="X77" s="17" t="s">
        <v>870</v>
      </c>
      <c r="Y77" s="17" t="s">
        <v>870</v>
      </c>
      <c r="Z77" s="17" t="s">
        <v>870</v>
      </c>
      <c r="AA77" s="17" t="s">
        <v>870</v>
      </c>
      <c r="AB77" s="17" t="s">
        <v>870</v>
      </c>
      <c r="AC77" s="17" t="s">
        <v>870</v>
      </c>
      <c r="AD77" s="17" t="s">
        <v>870</v>
      </c>
      <c r="AE77" s="17" t="s">
        <v>870</v>
      </c>
      <c r="AF77" s="17" t="s">
        <v>870</v>
      </c>
      <c r="AG77" s="17" t="s">
        <v>870</v>
      </c>
      <c r="AH77" s="17" t="s">
        <v>870</v>
      </c>
      <c r="AI77" s="17" t="s">
        <v>870</v>
      </c>
      <c r="AJ77" s="17" t="s">
        <v>870</v>
      </c>
      <c r="AK77" s="17" t="s">
        <v>870</v>
      </c>
      <c r="AL77" s="17" t="s">
        <v>870</v>
      </c>
      <c r="AM77" s="17" t="s">
        <v>870</v>
      </c>
      <c r="AN77" s="17" t="s">
        <v>870</v>
      </c>
      <c r="AO77" s="17" t="s">
        <v>870</v>
      </c>
      <c r="AP77" s="17" t="s">
        <v>870</v>
      </c>
      <c r="AQ77" s="17" t="s">
        <v>870</v>
      </c>
      <c r="AR77" s="17" t="s">
        <v>870</v>
      </c>
      <c r="AS77" s="17" t="s">
        <v>870</v>
      </c>
      <c r="AT77" s="17" t="s">
        <v>870</v>
      </c>
      <c r="AU77" s="17" t="s">
        <v>870</v>
      </c>
      <c r="AV77" s="17" t="s">
        <v>870</v>
      </c>
      <c r="AW77" s="17" t="s">
        <v>870</v>
      </c>
      <c r="AX77" s="17" t="s">
        <v>870</v>
      </c>
      <c r="AY77" s="17" t="s">
        <v>870</v>
      </c>
      <c r="AZ77" s="17" t="s">
        <v>870</v>
      </c>
      <c r="BA77" s="17" t="s">
        <v>870</v>
      </c>
      <c r="BB77" s="17" t="s">
        <v>870</v>
      </c>
      <c r="BC77" s="17" t="s">
        <v>870</v>
      </c>
      <c r="BD77" s="17" t="s">
        <v>870</v>
      </c>
      <c r="BE77" s="17" t="s">
        <v>870</v>
      </c>
      <c r="BF77" s="17" t="s">
        <v>870</v>
      </c>
      <c r="BG77" s="17" t="s">
        <v>870</v>
      </c>
      <c r="BH77" s="17" t="s">
        <v>870</v>
      </c>
      <c r="BI77" s="17" t="s">
        <v>870</v>
      </c>
      <c r="BJ77" s="17" t="s">
        <v>870</v>
      </c>
      <c r="BK77" s="17" t="s">
        <v>870</v>
      </c>
      <c r="BL77" s="17" t="s">
        <v>870</v>
      </c>
      <c r="BM77" s="17" t="s">
        <v>870</v>
      </c>
      <c r="BN77" s="17" t="s">
        <v>870</v>
      </c>
      <c r="BO77" s="17" t="s">
        <v>870</v>
      </c>
      <c r="BP77" s="17" t="s">
        <v>870</v>
      </c>
      <c r="BQ77" s="17" t="s">
        <v>870</v>
      </c>
      <c r="BR77" s="17" t="s">
        <v>870</v>
      </c>
      <c r="BS77" s="17" t="s">
        <v>870</v>
      </c>
      <c r="BT77" s="17" t="s">
        <v>870</v>
      </c>
      <c r="BU77" s="17" t="s">
        <v>870</v>
      </c>
      <c r="BV77" s="17" t="s">
        <v>870</v>
      </c>
      <c r="BW77" s="17" t="s">
        <v>870</v>
      </c>
      <c r="BX77" s="17" t="s">
        <v>870</v>
      </c>
      <c r="BY77" s="17" t="s">
        <v>870</v>
      </c>
      <c r="BZ77" s="17" t="s">
        <v>870</v>
      </c>
      <c r="CA77" s="17" t="s">
        <v>870</v>
      </c>
      <c r="CB77" s="17" t="s">
        <v>870</v>
      </c>
      <c r="CC77" s="17" t="s">
        <v>870</v>
      </c>
      <c r="CD77" s="17" t="s">
        <v>870</v>
      </c>
      <c r="CE77" s="17" t="s">
        <v>870</v>
      </c>
      <c r="CF77" s="17" t="s">
        <v>870</v>
      </c>
      <c r="CG77" s="17" t="s">
        <v>870</v>
      </c>
      <c r="CH77" s="17" t="s">
        <v>870</v>
      </c>
      <c r="CI77" s="17" t="s">
        <v>870</v>
      </c>
      <c r="CJ77" s="17" t="s">
        <v>870</v>
      </c>
      <c r="CK77" s="17" t="s">
        <v>870</v>
      </c>
      <c r="CL77" s="17" t="s">
        <v>870</v>
      </c>
      <c r="CM77" s="17" t="s">
        <v>870</v>
      </c>
      <c r="CN77" s="17" t="s">
        <v>870</v>
      </c>
      <c r="CO77" s="17" t="s">
        <v>870</v>
      </c>
      <c r="CP77" s="17" t="s">
        <v>870</v>
      </c>
      <c r="CQ77" s="17" t="s">
        <v>870</v>
      </c>
      <c r="CR77" s="17" t="s">
        <v>870</v>
      </c>
      <c r="CS77" s="17" t="s">
        <v>870</v>
      </c>
      <c r="CT77" s="17" t="s">
        <v>870</v>
      </c>
      <c r="CU77" s="17" t="s">
        <v>870</v>
      </c>
      <c r="CV77" s="17" t="s">
        <v>870</v>
      </c>
      <c r="CW77" s="17" t="s">
        <v>870</v>
      </c>
      <c r="CX77" s="17" t="s">
        <v>870</v>
      </c>
      <c r="CY77" s="17" t="s">
        <v>870</v>
      </c>
      <c r="CZ77" s="17" t="s">
        <v>870</v>
      </c>
      <c r="DA77" s="17" t="s">
        <v>870</v>
      </c>
      <c r="DB77" s="17" t="s">
        <v>870</v>
      </c>
      <c r="DC77" s="17" t="s">
        <v>870</v>
      </c>
      <c r="DD77" s="17" t="s">
        <v>870</v>
      </c>
      <c r="DE77" s="17" t="s">
        <v>870</v>
      </c>
      <c r="DF77" s="17" t="s">
        <v>870</v>
      </c>
      <c r="DG77" s="17" t="s">
        <v>870</v>
      </c>
      <c r="DH77" s="17" t="s">
        <v>870</v>
      </c>
      <c r="DI77" s="17" t="s">
        <v>870</v>
      </c>
      <c r="DJ77" s="17" t="s">
        <v>870</v>
      </c>
      <c r="DK77" s="17" t="s">
        <v>870</v>
      </c>
      <c r="DL77" s="17" t="s">
        <v>870</v>
      </c>
      <c r="DM77" s="17" t="s">
        <v>870</v>
      </c>
      <c r="DN77" s="17" t="s">
        <v>870</v>
      </c>
      <c r="DO77" s="17" t="s">
        <v>870</v>
      </c>
      <c r="DP77" s="17" t="s">
        <v>870</v>
      </c>
      <c r="DQ77" s="17" t="s">
        <v>870</v>
      </c>
      <c r="DR77" s="17" t="s">
        <v>870</v>
      </c>
      <c r="DS77" s="17" t="s">
        <v>870</v>
      </c>
      <c r="DT77" s="17" t="s">
        <v>870</v>
      </c>
      <c r="DU77" s="17" t="s">
        <v>870</v>
      </c>
      <c r="DV77" s="17" t="s">
        <v>870</v>
      </c>
      <c r="DW77" s="17" t="s">
        <v>870</v>
      </c>
      <c r="DX77" s="17" t="s">
        <v>870</v>
      </c>
      <c r="DY77" s="17" t="s">
        <v>870</v>
      </c>
      <c r="DZ77" s="17" t="s">
        <v>870</v>
      </c>
      <c r="EA77" s="17" t="s">
        <v>870</v>
      </c>
      <c r="EB77" s="17" t="s">
        <v>870</v>
      </c>
      <c r="EC77" s="17" t="s">
        <v>870</v>
      </c>
      <c r="ED77" s="17" t="s">
        <v>870</v>
      </c>
      <c r="EE77" s="17" t="s">
        <v>870</v>
      </c>
      <c r="EF77" s="17" t="s">
        <v>870</v>
      </c>
      <c r="EG77" s="17" t="s">
        <v>870</v>
      </c>
      <c r="EH77" s="17" t="s">
        <v>870</v>
      </c>
      <c r="EI77" s="17" t="s">
        <v>870</v>
      </c>
      <c r="EJ77" s="17" t="s">
        <v>870</v>
      </c>
      <c r="EK77" s="17" t="s">
        <v>870</v>
      </c>
      <c r="EL77" s="17" t="s">
        <v>870</v>
      </c>
      <c r="EM77" s="17" t="s">
        <v>870</v>
      </c>
      <c r="EN77" s="17" t="s">
        <v>870</v>
      </c>
      <c r="EO77" s="17" t="s">
        <v>870</v>
      </c>
      <c r="EP77" s="17" t="s">
        <v>870</v>
      </c>
      <c r="EQ77" s="17" t="s">
        <v>870</v>
      </c>
      <c r="ER77" s="17" t="s">
        <v>870</v>
      </c>
      <c r="ES77" s="17" t="s">
        <v>870</v>
      </c>
      <c r="ET77" s="17" t="s">
        <v>870</v>
      </c>
      <c r="EU77" s="17" t="s">
        <v>870</v>
      </c>
      <c r="EV77" s="17" t="s">
        <v>870</v>
      </c>
      <c r="EW77" s="17" t="s">
        <v>870</v>
      </c>
      <c r="EX77" s="17" t="s">
        <v>870</v>
      </c>
      <c r="EY77" s="17" t="s">
        <v>870</v>
      </c>
      <c r="EZ77" s="17" t="s">
        <v>870</v>
      </c>
      <c r="FA77" s="17" t="s">
        <v>870</v>
      </c>
      <c r="FB77" s="17" t="s">
        <v>870</v>
      </c>
      <c r="FC77" s="17" t="s">
        <v>870</v>
      </c>
      <c r="FD77" s="17" t="s">
        <v>870</v>
      </c>
      <c r="FE77" s="17" t="s">
        <v>870</v>
      </c>
      <c r="FF77" s="17" t="s">
        <v>870</v>
      </c>
      <c r="FG77" s="17" t="s">
        <v>870</v>
      </c>
      <c r="FH77" s="17" t="s">
        <v>870</v>
      </c>
      <c r="FI77" s="17" t="s">
        <v>870</v>
      </c>
      <c r="FJ77" s="17" t="s">
        <v>870</v>
      </c>
      <c r="FK77" s="17" t="s">
        <v>870</v>
      </c>
      <c r="FL77" s="17" t="s">
        <v>870</v>
      </c>
      <c r="FM77" s="17" t="s">
        <v>870</v>
      </c>
      <c r="FN77" s="17" t="s">
        <v>870</v>
      </c>
      <c r="FO77" s="17" t="s">
        <v>870</v>
      </c>
      <c r="FP77" s="17" t="s">
        <v>870</v>
      </c>
      <c r="FQ77" s="17" t="s">
        <v>870</v>
      </c>
      <c r="FR77" s="17" t="s">
        <v>870</v>
      </c>
      <c r="FS77" s="17" t="s">
        <v>870</v>
      </c>
      <c r="FT77" s="17" t="s">
        <v>870</v>
      </c>
      <c r="FU77" s="17" t="s">
        <v>870</v>
      </c>
      <c r="FV77" s="17" t="s">
        <v>870</v>
      </c>
      <c r="FW77" s="17" t="s">
        <v>870</v>
      </c>
      <c r="FX77" s="17" t="s">
        <v>870</v>
      </c>
      <c r="FY77" s="17" t="s">
        <v>870</v>
      </c>
      <c r="FZ77" s="17" t="s">
        <v>870</v>
      </c>
      <c r="GA77" s="17" t="s">
        <v>870</v>
      </c>
      <c r="GB77" s="17" t="s">
        <v>870</v>
      </c>
      <c r="GC77" s="17" t="s">
        <v>870</v>
      </c>
      <c r="GD77" s="17" t="s">
        <v>870</v>
      </c>
      <c r="GE77" s="17" t="s">
        <v>870</v>
      </c>
      <c r="GF77" s="17" t="s">
        <v>870</v>
      </c>
      <c r="GG77" s="17" t="s">
        <v>870</v>
      </c>
      <c r="GH77" s="17" t="s">
        <v>870</v>
      </c>
      <c r="GI77" s="17" t="s">
        <v>870</v>
      </c>
      <c r="GJ77" s="17" t="s">
        <v>870</v>
      </c>
      <c r="GK77" s="17" t="s">
        <v>870</v>
      </c>
      <c r="GL77" s="17" t="s">
        <v>870</v>
      </c>
      <c r="GM77" s="17" t="s">
        <v>870</v>
      </c>
      <c r="GN77" s="17" t="s">
        <v>870</v>
      </c>
      <c r="GO77" s="17" t="s">
        <v>870</v>
      </c>
      <c r="GP77" s="17" t="s">
        <v>870</v>
      </c>
      <c r="GQ77" s="17" t="s">
        <v>870</v>
      </c>
      <c r="GR77" s="17" t="s">
        <v>870</v>
      </c>
      <c r="GS77" s="17" t="s">
        <v>870</v>
      </c>
      <c r="GT77" s="17" t="s">
        <v>870</v>
      </c>
      <c r="GU77" s="17" t="s">
        <v>870</v>
      </c>
      <c r="GV77" s="17" t="s">
        <v>870</v>
      </c>
      <c r="GW77" s="17" t="s">
        <v>870</v>
      </c>
      <c r="GX77" s="17" t="s">
        <v>870</v>
      </c>
      <c r="GY77" s="17" t="s">
        <v>870</v>
      </c>
      <c r="GZ77" s="17" t="s">
        <v>870</v>
      </c>
      <c r="HA77" s="17" t="s">
        <v>870</v>
      </c>
      <c r="HB77" s="17" t="s">
        <v>870</v>
      </c>
      <c r="HC77" s="17" t="s">
        <v>870</v>
      </c>
      <c r="HD77" s="17" t="s">
        <v>870</v>
      </c>
      <c r="HE77" s="17" t="s">
        <v>870</v>
      </c>
      <c r="HF77" s="17" t="s">
        <v>870</v>
      </c>
      <c r="HG77" s="17" t="s">
        <v>870</v>
      </c>
      <c r="HH77" s="17" t="s">
        <v>870</v>
      </c>
      <c r="HI77" s="17" t="s">
        <v>870</v>
      </c>
      <c r="HJ77" s="17" t="s">
        <v>870</v>
      </c>
      <c r="HK77" s="17" t="s">
        <v>870</v>
      </c>
      <c r="HL77" s="17" t="s">
        <v>870</v>
      </c>
      <c r="HM77" s="17" t="s">
        <v>870</v>
      </c>
      <c r="HN77" s="17" t="s">
        <v>870</v>
      </c>
      <c r="HO77" s="17" t="s">
        <v>870</v>
      </c>
      <c r="HP77" s="17" t="s">
        <v>870</v>
      </c>
      <c r="HQ77" s="17" t="s">
        <v>870</v>
      </c>
      <c r="HR77" s="17" t="s">
        <v>870</v>
      </c>
      <c r="HS77" s="17" t="s">
        <v>870</v>
      </c>
      <c r="HT77" s="17" t="s">
        <v>870</v>
      </c>
      <c r="HU77" s="17" t="s">
        <v>870</v>
      </c>
      <c r="HV77" s="17" t="s">
        <v>870</v>
      </c>
      <c r="HW77" s="17" t="s">
        <v>870</v>
      </c>
      <c r="HX77" s="17" t="s">
        <v>870</v>
      </c>
      <c r="HY77" s="17" t="s">
        <v>870</v>
      </c>
      <c r="HZ77" s="17" t="s">
        <v>870</v>
      </c>
      <c r="IA77" s="17" t="s">
        <v>870</v>
      </c>
      <c r="IB77" s="17" t="s">
        <v>870</v>
      </c>
      <c r="IC77" s="17" t="s">
        <v>870</v>
      </c>
      <c r="ID77" s="17" t="s">
        <v>870</v>
      </c>
      <c r="IE77" s="17" t="s">
        <v>870</v>
      </c>
      <c r="IF77" s="17" t="s">
        <v>870</v>
      </c>
      <c r="IG77" s="17" t="s">
        <v>870</v>
      </c>
      <c r="IH77" s="17" t="s">
        <v>870</v>
      </c>
      <c r="II77" s="17" t="s">
        <v>870</v>
      </c>
      <c r="IJ77" s="63"/>
      <c r="IK77" s="61" t="s">
        <v>2</v>
      </c>
      <c r="IL77" s="17" t="s">
        <v>870</v>
      </c>
      <c r="IM77" s="17" t="s">
        <v>870</v>
      </c>
      <c r="IN77" s="17" t="s">
        <v>870</v>
      </c>
      <c r="IO77" s="17" t="s">
        <v>870</v>
      </c>
    </row>
    <row r="78" spans="1:249" x14ac:dyDescent="0.25">
      <c r="A78" t="s">
        <v>1722</v>
      </c>
      <c r="B78" s="17" t="s">
        <v>870</v>
      </c>
      <c r="C78" s="17" t="s">
        <v>870</v>
      </c>
      <c r="D78" s="17" t="s">
        <v>870</v>
      </c>
      <c r="E78" s="17" t="s">
        <v>870</v>
      </c>
      <c r="F78" s="17" t="s">
        <v>870</v>
      </c>
      <c r="G78" s="17" t="s">
        <v>870</v>
      </c>
      <c r="H78" s="17" t="s">
        <v>870</v>
      </c>
      <c r="I78" s="17" t="s">
        <v>870</v>
      </c>
      <c r="J78" s="17" t="s">
        <v>870</v>
      </c>
      <c r="K78" s="17" t="s">
        <v>870</v>
      </c>
      <c r="L78" s="17" t="s">
        <v>870</v>
      </c>
      <c r="M78" s="17" t="s">
        <v>870</v>
      </c>
      <c r="N78" s="17" t="s">
        <v>870</v>
      </c>
      <c r="O78" s="17" t="s">
        <v>870</v>
      </c>
      <c r="P78" s="17" t="s">
        <v>870</v>
      </c>
      <c r="Q78" s="17" t="s">
        <v>870</v>
      </c>
      <c r="R78" s="17" t="s">
        <v>870</v>
      </c>
      <c r="S78" s="17" t="s">
        <v>870</v>
      </c>
      <c r="T78" s="17" t="s">
        <v>870</v>
      </c>
      <c r="U78" s="17" t="s">
        <v>870</v>
      </c>
      <c r="V78" s="17" t="s">
        <v>870</v>
      </c>
      <c r="W78" s="17" t="s">
        <v>870</v>
      </c>
      <c r="X78" s="17" t="s">
        <v>870</v>
      </c>
      <c r="Y78" s="17" t="s">
        <v>870</v>
      </c>
      <c r="Z78" s="17" t="s">
        <v>870</v>
      </c>
      <c r="AA78" s="17" t="s">
        <v>870</v>
      </c>
      <c r="AB78" s="17" t="s">
        <v>870</v>
      </c>
      <c r="AC78" s="17" t="s">
        <v>870</v>
      </c>
      <c r="AD78" s="17" t="s">
        <v>870</v>
      </c>
      <c r="AE78" s="17" t="s">
        <v>870</v>
      </c>
      <c r="AF78" s="17" t="s">
        <v>870</v>
      </c>
      <c r="AG78" s="17" t="s">
        <v>870</v>
      </c>
      <c r="AH78" s="17" t="s">
        <v>870</v>
      </c>
      <c r="AI78" s="17" t="s">
        <v>870</v>
      </c>
      <c r="AJ78" s="17" t="s">
        <v>870</v>
      </c>
      <c r="AK78" s="17" t="s">
        <v>870</v>
      </c>
      <c r="AL78" s="17" t="s">
        <v>870</v>
      </c>
      <c r="AM78" s="17" t="s">
        <v>870</v>
      </c>
      <c r="AN78" s="17" t="s">
        <v>870</v>
      </c>
      <c r="AO78" s="17" t="s">
        <v>870</v>
      </c>
      <c r="AP78" s="17" t="s">
        <v>870</v>
      </c>
      <c r="AQ78" s="17" t="s">
        <v>870</v>
      </c>
      <c r="AR78" s="17" t="s">
        <v>870</v>
      </c>
      <c r="AS78" s="17" t="s">
        <v>870</v>
      </c>
      <c r="AT78" s="17" t="s">
        <v>870</v>
      </c>
      <c r="AU78" s="17" t="s">
        <v>870</v>
      </c>
      <c r="AV78" s="17" t="s">
        <v>870</v>
      </c>
      <c r="AW78" s="17" t="s">
        <v>870</v>
      </c>
      <c r="AX78" s="17" t="s">
        <v>870</v>
      </c>
      <c r="AY78" s="17" t="s">
        <v>870</v>
      </c>
      <c r="AZ78" s="17" t="s">
        <v>870</v>
      </c>
      <c r="BA78" s="17" t="s">
        <v>870</v>
      </c>
      <c r="BB78" s="17" t="s">
        <v>870</v>
      </c>
      <c r="BC78" s="17" t="s">
        <v>870</v>
      </c>
      <c r="BD78" s="17" t="s">
        <v>870</v>
      </c>
      <c r="BE78" s="17" t="s">
        <v>870</v>
      </c>
      <c r="BF78" s="17" t="s">
        <v>870</v>
      </c>
      <c r="BG78" s="17" t="s">
        <v>870</v>
      </c>
      <c r="BH78" s="17" t="s">
        <v>870</v>
      </c>
      <c r="BI78" s="17" t="s">
        <v>870</v>
      </c>
      <c r="BJ78" s="17" t="s">
        <v>870</v>
      </c>
      <c r="BK78" s="17" t="s">
        <v>870</v>
      </c>
      <c r="BL78" s="17" t="s">
        <v>870</v>
      </c>
      <c r="BM78" s="17" t="s">
        <v>870</v>
      </c>
      <c r="BN78" s="17" t="s">
        <v>870</v>
      </c>
      <c r="BO78" s="17" t="s">
        <v>870</v>
      </c>
      <c r="BP78" s="17" t="s">
        <v>870</v>
      </c>
      <c r="BQ78" s="17" t="s">
        <v>870</v>
      </c>
      <c r="BR78" s="17" t="s">
        <v>870</v>
      </c>
      <c r="BS78" s="17" t="s">
        <v>870</v>
      </c>
      <c r="BT78" s="17" t="s">
        <v>870</v>
      </c>
      <c r="BU78" s="17" t="s">
        <v>870</v>
      </c>
      <c r="BV78" s="17" t="s">
        <v>870</v>
      </c>
      <c r="BW78" s="17" t="s">
        <v>870</v>
      </c>
      <c r="BX78" s="17" t="s">
        <v>870</v>
      </c>
      <c r="BY78" s="17" t="s">
        <v>870</v>
      </c>
      <c r="BZ78" s="17" t="s">
        <v>870</v>
      </c>
      <c r="CA78" s="17" t="s">
        <v>870</v>
      </c>
      <c r="CB78" s="17" t="s">
        <v>870</v>
      </c>
      <c r="CC78" s="17" t="s">
        <v>870</v>
      </c>
      <c r="CD78" s="17" t="s">
        <v>870</v>
      </c>
      <c r="CE78" s="17" t="s">
        <v>870</v>
      </c>
      <c r="CF78" s="17" t="s">
        <v>870</v>
      </c>
      <c r="CG78" s="17" t="s">
        <v>870</v>
      </c>
      <c r="CH78" s="17" t="s">
        <v>870</v>
      </c>
      <c r="CI78" s="17" t="s">
        <v>870</v>
      </c>
      <c r="CJ78" s="17" t="s">
        <v>870</v>
      </c>
      <c r="CK78" s="17" t="s">
        <v>870</v>
      </c>
      <c r="CL78" s="17" t="s">
        <v>870</v>
      </c>
      <c r="CM78" s="17" t="s">
        <v>870</v>
      </c>
      <c r="CN78" s="17" t="s">
        <v>870</v>
      </c>
      <c r="CO78" s="17" t="s">
        <v>870</v>
      </c>
      <c r="CP78" s="17" t="s">
        <v>870</v>
      </c>
      <c r="CQ78" s="17" t="s">
        <v>870</v>
      </c>
      <c r="CR78" s="17" t="s">
        <v>870</v>
      </c>
      <c r="CS78" s="17" t="s">
        <v>870</v>
      </c>
      <c r="CT78" s="17" t="s">
        <v>870</v>
      </c>
      <c r="CU78" s="17" t="s">
        <v>870</v>
      </c>
      <c r="CV78" s="17" t="s">
        <v>870</v>
      </c>
      <c r="CW78" s="17" t="s">
        <v>870</v>
      </c>
      <c r="CX78" s="17" t="s">
        <v>870</v>
      </c>
      <c r="CY78" s="17" t="s">
        <v>870</v>
      </c>
      <c r="CZ78" s="17" t="s">
        <v>870</v>
      </c>
      <c r="DA78" s="17" t="s">
        <v>870</v>
      </c>
      <c r="DB78" s="17" t="s">
        <v>870</v>
      </c>
      <c r="DC78" s="17" t="s">
        <v>870</v>
      </c>
      <c r="DD78" s="17" t="s">
        <v>870</v>
      </c>
      <c r="DE78" s="17" t="s">
        <v>870</v>
      </c>
      <c r="DF78" s="17" t="s">
        <v>870</v>
      </c>
      <c r="DG78" s="17" t="s">
        <v>870</v>
      </c>
      <c r="DH78" s="17" t="s">
        <v>870</v>
      </c>
      <c r="DI78" s="17" t="s">
        <v>870</v>
      </c>
      <c r="DJ78" s="17" t="s">
        <v>870</v>
      </c>
      <c r="DK78" s="17" t="s">
        <v>870</v>
      </c>
      <c r="DL78" s="17" t="s">
        <v>870</v>
      </c>
      <c r="DM78" s="17" t="s">
        <v>870</v>
      </c>
      <c r="DN78" s="17" t="s">
        <v>870</v>
      </c>
      <c r="DO78" s="17" t="s">
        <v>870</v>
      </c>
      <c r="DP78" s="17" t="s">
        <v>870</v>
      </c>
      <c r="DQ78" s="17" t="s">
        <v>870</v>
      </c>
      <c r="DR78" s="17" t="s">
        <v>870</v>
      </c>
      <c r="DS78" s="17" t="s">
        <v>870</v>
      </c>
      <c r="DT78" s="17" t="s">
        <v>870</v>
      </c>
      <c r="DU78" s="17" t="s">
        <v>870</v>
      </c>
      <c r="DV78" s="17" t="s">
        <v>870</v>
      </c>
      <c r="DW78" s="17" t="s">
        <v>870</v>
      </c>
      <c r="DX78" s="17" t="s">
        <v>870</v>
      </c>
      <c r="DY78" s="17" t="s">
        <v>870</v>
      </c>
      <c r="DZ78" s="17" t="s">
        <v>870</v>
      </c>
      <c r="EA78" s="17" t="s">
        <v>870</v>
      </c>
      <c r="EB78" s="17" t="s">
        <v>870</v>
      </c>
      <c r="EC78" s="17" t="s">
        <v>870</v>
      </c>
      <c r="ED78" s="17" t="s">
        <v>870</v>
      </c>
      <c r="EE78" s="17" t="s">
        <v>870</v>
      </c>
      <c r="EF78" s="17" t="s">
        <v>870</v>
      </c>
      <c r="EG78" s="17" t="s">
        <v>870</v>
      </c>
      <c r="EH78" s="17" t="s">
        <v>870</v>
      </c>
      <c r="EI78" s="17" t="s">
        <v>870</v>
      </c>
      <c r="EJ78" s="17" t="s">
        <v>870</v>
      </c>
      <c r="EK78" s="17" t="s">
        <v>870</v>
      </c>
      <c r="EL78" s="17" t="s">
        <v>870</v>
      </c>
      <c r="EM78" s="17" t="s">
        <v>870</v>
      </c>
      <c r="EN78" s="17" t="s">
        <v>870</v>
      </c>
      <c r="EO78" s="17" t="s">
        <v>870</v>
      </c>
      <c r="EP78" s="17" t="s">
        <v>870</v>
      </c>
      <c r="EQ78" s="17" t="s">
        <v>870</v>
      </c>
      <c r="ER78" s="17" t="s">
        <v>870</v>
      </c>
      <c r="ES78" s="17" t="s">
        <v>870</v>
      </c>
      <c r="ET78" s="17" t="s">
        <v>870</v>
      </c>
      <c r="EU78" s="17" t="s">
        <v>870</v>
      </c>
      <c r="EV78" s="17" t="s">
        <v>870</v>
      </c>
      <c r="EW78" s="17" t="s">
        <v>870</v>
      </c>
      <c r="EX78" s="17" t="s">
        <v>870</v>
      </c>
      <c r="EY78" s="17" t="s">
        <v>870</v>
      </c>
      <c r="EZ78" s="17" t="s">
        <v>870</v>
      </c>
      <c r="FA78" s="17" t="s">
        <v>870</v>
      </c>
      <c r="FB78" s="17" t="s">
        <v>870</v>
      </c>
      <c r="FC78" s="17" t="s">
        <v>870</v>
      </c>
      <c r="FD78" s="17" t="s">
        <v>870</v>
      </c>
      <c r="FE78" s="17" t="s">
        <v>870</v>
      </c>
      <c r="FF78" s="17" t="s">
        <v>870</v>
      </c>
      <c r="FG78" s="17" t="s">
        <v>870</v>
      </c>
      <c r="FH78" s="17" t="s">
        <v>870</v>
      </c>
      <c r="FI78" s="17" t="s">
        <v>870</v>
      </c>
      <c r="FJ78" s="17" t="s">
        <v>870</v>
      </c>
      <c r="FK78" s="17" t="s">
        <v>870</v>
      </c>
      <c r="FL78" s="17" t="s">
        <v>870</v>
      </c>
      <c r="FM78" s="17" t="s">
        <v>870</v>
      </c>
      <c r="FN78" s="17" t="s">
        <v>870</v>
      </c>
      <c r="FO78" s="17" t="s">
        <v>870</v>
      </c>
      <c r="FP78" s="17" t="s">
        <v>870</v>
      </c>
      <c r="FQ78" s="17" t="s">
        <v>870</v>
      </c>
      <c r="FR78" s="17" t="s">
        <v>870</v>
      </c>
      <c r="FS78" s="17" t="s">
        <v>870</v>
      </c>
      <c r="FT78" s="17" t="s">
        <v>870</v>
      </c>
      <c r="FU78" s="17" t="s">
        <v>870</v>
      </c>
      <c r="FV78" s="17" t="s">
        <v>870</v>
      </c>
      <c r="FW78" s="17" t="s">
        <v>870</v>
      </c>
      <c r="FX78" s="17" t="s">
        <v>870</v>
      </c>
      <c r="FY78" s="17" t="s">
        <v>870</v>
      </c>
      <c r="FZ78" s="17" t="s">
        <v>870</v>
      </c>
      <c r="GA78" s="17" t="s">
        <v>870</v>
      </c>
      <c r="GB78" s="17" t="s">
        <v>870</v>
      </c>
      <c r="GC78" s="17" t="s">
        <v>870</v>
      </c>
      <c r="GD78" s="17" t="s">
        <v>870</v>
      </c>
      <c r="GE78" s="17" t="s">
        <v>870</v>
      </c>
      <c r="GF78" s="17" t="s">
        <v>870</v>
      </c>
      <c r="GG78" s="17" t="s">
        <v>870</v>
      </c>
      <c r="GH78" s="17" t="s">
        <v>870</v>
      </c>
      <c r="GI78" s="17" t="s">
        <v>870</v>
      </c>
      <c r="GJ78" s="17" t="s">
        <v>870</v>
      </c>
      <c r="GK78" s="17" t="s">
        <v>870</v>
      </c>
      <c r="GL78" s="17" t="s">
        <v>870</v>
      </c>
      <c r="GM78" s="17" t="s">
        <v>870</v>
      </c>
      <c r="GN78" s="17" t="s">
        <v>870</v>
      </c>
      <c r="GO78" s="17" t="s">
        <v>870</v>
      </c>
      <c r="GP78" s="17" t="s">
        <v>870</v>
      </c>
      <c r="GQ78" s="17" t="s">
        <v>870</v>
      </c>
      <c r="GR78" s="17" t="s">
        <v>870</v>
      </c>
      <c r="GS78" s="17" t="s">
        <v>870</v>
      </c>
      <c r="GT78" s="17" t="s">
        <v>870</v>
      </c>
      <c r="GU78" s="17" t="s">
        <v>870</v>
      </c>
      <c r="GV78" s="17" t="s">
        <v>870</v>
      </c>
      <c r="GW78" s="17" t="s">
        <v>870</v>
      </c>
      <c r="GX78" s="17" t="s">
        <v>870</v>
      </c>
      <c r="GY78" s="17" t="s">
        <v>870</v>
      </c>
      <c r="GZ78" s="17" t="s">
        <v>870</v>
      </c>
      <c r="HA78" s="17" t="s">
        <v>870</v>
      </c>
      <c r="HB78" s="17" t="s">
        <v>870</v>
      </c>
      <c r="HC78" s="17" t="s">
        <v>870</v>
      </c>
      <c r="HD78" s="17" t="s">
        <v>870</v>
      </c>
      <c r="HE78" s="17" t="s">
        <v>870</v>
      </c>
      <c r="HF78" s="17" t="s">
        <v>870</v>
      </c>
      <c r="HG78" s="17" t="s">
        <v>870</v>
      </c>
      <c r="HH78" s="17" t="s">
        <v>870</v>
      </c>
      <c r="HI78" s="17" t="s">
        <v>870</v>
      </c>
      <c r="HJ78" s="17" t="s">
        <v>870</v>
      </c>
      <c r="HK78" s="17" t="s">
        <v>870</v>
      </c>
      <c r="HL78" s="17" t="s">
        <v>870</v>
      </c>
      <c r="HM78" s="17" t="s">
        <v>870</v>
      </c>
      <c r="HN78" s="17" t="s">
        <v>870</v>
      </c>
      <c r="HO78" s="17" t="s">
        <v>870</v>
      </c>
      <c r="HP78" s="17" t="s">
        <v>870</v>
      </c>
      <c r="HQ78" s="17" t="s">
        <v>870</v>
      </c>
      <c r="HR78" s="17" t="s">
        <v>870</v>
      </c>
      <c r="HS78" s="17" t="s">
        <v>870</v>
      </c>
      <c r="HT78" s="17" t="s">
        <v>870</v>
      </c>
      <c r="HU78" s="17" t="s">
        <v>870</v>
      </c>
      <c r="HV78" s="17" t="s">
        <v>870</v>
      </c>
      <c r="HW78" s="17" t="s">
        <v>870</v>
      </c>
      <c r="HX78" s="17" t="s">
        <v>870</v>
      </c>
      <c r="HY78" s="17" t="s">
        <v>870</v>
      </c>
      <c r="HZ78" s="17" t="s">
        <v>870</v>
      </c>
      <c r="IA78" s="17" t="s">
        <v>870</v>
      </c>
      <c r="IB78" s="17" t="s">
        <v>870</v>
      </c>
      <c r="IC78" s="17" t="s">
        <v>870</v>
      </c>
      <c r="ID78" s="17" t="s">
        <v>870</v>
      </c>
      <c r="IE78" s="17" t="s">
        <v>870</v>
      </c>
      <c r="IF78" s="17" t="s">
        <v>870</v>
      </c>
      <c r="IG78" s="17" t="s">
        <v>870</v>
      </c>
      <c r="IH78" s="17" t="s">
        <v>870</v>
      </c>
      <c r="II78" s="17" t="s">
        <v>870</v>
      </c>
      <c r="IJ78" s="17" t="s">
        <v>870</v>
      </c>
      <c r="IK78" s="17" t="s">
        <v>870</v>
      </c>
      <c r="IL78" s="61" t="s">
        <v>2</v>
      </c>
      <c r="IM78" s="61" t="s">
        <v>2</v>
      </c>
      <c r="IN78" s="63"/>
      <c r="IO78" s="63"/>
    </row>
    <row r="79" spans="1:249" x14ac:dyDescent="0.25">
      <c r="A79" t="s">
        <v>1672</v>
      </c>
      <c r="B79" s="17" t="s">
        <v>870</v>
      </c>
      <c r="C79" s="17" t="s">
        <v>870</v>
      </c>
      <c r="D79" s="17" t="s">
        <v>870</v>
      </c>
      <c r="E79" s="17" t="s">
        <v>870</v>
      </c>
      <c r="F79" s="17" t="s">
        <v>870</v>
      </c>
      <c r="G79" s="17" t="s">
        <v>870</v>
      </c>
      <c r="H79" s="17" t="s">
        <v>870</v>
      </c>
      <c r="I79" s="17" t="s">
        <v>870</v>
      </c>
      <c r="J79" s="17" t="s">
        <v>870</v>
      </c>
      <c r="K79" s="17" t="s">
        <v>870</v>
      </c>
      <c r="L79" s="17" t="s">
        <v>870</v>
      </c>
      <c r="M79" s="17" t="s">
        <v>870</v>
      </c>
      <c r="N79" s="17" t="s">
        <v>870</v>
      </c>
      <c r="O79" s="17" t="s">
        <v>870</v>
      </c>
      <c r="P79" s="17" t="s">
        <v>870</v>
      </c>
      <c r="Q79" s="17" t="s">
        <v>870</v>
      </c>
      <c r="R79" s="17" t="s">
        <v>870</v>
      </c>
      <c r="S79" s="17" t="s">
        <v>870</v>
      </c>
      <c r="T79" s="17" t="s">
        <v>870</v>
      </c>
      <c r="U79" s="17" t="s">
        <v>870</v>
      </c>
      <c r="V79" s="17" t="s">
        <v>870</v>
      </c>
      <c r="W79" s="17" t="s">
        <v>870</v>
      </c>
      <c r="X79" s="17" t="s">
        <v>870</v>
      </c>
      <c r="Y79" s="17" t="s">
        <v>870</v>
      </c>
      <c r="Z79" s="17" t="s">
        <v>870</v>
      </c>
      <c r="AA79" s="17" t="s">
        <v>870</v>
      </c>
      <c r="AB79" s="17" t="s">
        <v>870</v>
      </c>
      <c r="AC79" s="17" t="s">
        <v>870</v>
      </c>
      <c r="AD79" s="17" t="s">
        <v>870</v>
      </c>
      <c r="AE79" s="17" t="s">
        <v>870</v>
      </c>
      <c r="AF79" s="17" t="s">
        <v>870</v>
      </c>
      <c r="AG79" s="17" t="s">
        <v>870</v>
      </c>
      <c r="AH79" s="17" t="s">
        <v>870</v>
      </c>
      <c r="AI79" s="17" t="s">
        <v>870</v>
      </c>
      <c r="AJ79" s="17" t="s">
        <v>870</v>
      </c>
      <c r="AK79" s="17" t="s">
        <v>870</v>
      </c>
      <c r="AL79" s="17" t="s">
        <v>870</v>
      </c>
      <c r="AM79" s="17" t="s">
        <v>870</v>
      </c>
      <c r="AN79" s="17" t="s">
        <v>870</v>
      </c>
      <c r="AO79" s="17" t="s">
        <v>870</v>
      </c>
      <c r="AP79" s="17" t="s">
        <v>870</v>
      </c>
      <c r="AQ79" s="17" t="s">
        <v>870</v>
      </c>
      <c r="AR79" s="17" t="s">
        <v>870</v>
      </c>
      <c r="AS79" s="17" t="s">
        <v>870</v>
      </c>
      <c r="AT79" s="17" t="s">
        <v>870</v>
      </c>
      <c r="AU79" s="17" t="s">
        <v>870</v>
      </c>
      <c r="AV79" s="17" t="s">
        <v>870</v>
      </c>
      <c r="AW79" s="17" t="s">
        <v>870</v>
      </c>
      <c r="AX79" s="17" t="s">
        <v>870</v>
      </c>
      <c r="AY79" s="17" t="s">
        <v>870</v>
      </c>
      <c r="AZ79" s="17" t="s">
        <v>870</v>
      </c>
      <c r="BA79" s="17" t="s">
        <v>870</v>
      </c>
      <c r="BB79" s="17" t="s">
        <v>870</v>
      </c>
      <c r="BC79" s="17" t="s">
        <v>870</v>
      </c>
      <c r="BD79" s="17" t="s">
        <v>870</v>
      </c>
      <c r="BE79" s="17" t="s">
        <v>870</v>
      </c>
      <c r="BF79" s="17" t="s">
        <v>870</v>
      </c>
      <c r="BG79" s="17" t="s">
        <v>870</v>
      </c>
      <c r="BH79" s="17" t="s">
        <v>870</v>
      </c>
      <c r="BI79" s="17" t="s">
        <v>870</v>
      </c>
      <c r="BJ79" s="17" t="s">
        <v>870</v>
      </c>
      <c r="BK79" s="17" t="s">
        <v>870</v>
      </c>
      <c r="BL79" s="17" t="s">
        <v>870</v>
      </c>
      <c r="BM79" s="17" t="s">
        <v>870</v>
      </c>
      <c r="BN79" s="17" t="s">
        <v>870</v>
      </c>
      <c r="BO79" s="17" t="s">
        <v>870</v>
      </c>
      <c r="BP79" s="17" t="s">
        <v>870</v>
      </c>
      <c r="BQ79" s="17" t="s">
        <v>870</v>
      </c>
      <c r="BR79" s="17" t="s">
        <v>870</v>
      </c>
      <c r="BS79" s="17" t="s">
        <v>870</v>
      </c>
      <c r="BT79" s="17" t="s">
        <v>870</v>
      </c>
      <c r="BU79" s="17" t="s">
        <v>870</v>
      </c>
      <c r="BV79" s="17" t="s">
        <v>870</v>
      </c>
      <c r="BW79" s="17" t="s">
        <v>870</v>
      </c>
      <c r="BX79" s="17" t="s">
        <v>870</v>
      </c>
      <c r="BY79" s="17" t="s">
        <v>870</v>
      </c>
      <c r="BZ79" s="17" t="s">
        <v>870</v>
      </c>
      <c r="CA79" s="17" t="s">
        <v>870</v>
      </c>
      <c r="CB79" s="17" t="s">
        <v>870</v>
      </c>
      <c r="CC79" s="17" t="s">
        <v>870</v>
      </c>
      <c r="CD79" s="17" t="s">
        <v>870</v>
      </c>
      <c r="CE79" s="17" t="s">
        <v>870</v>
      </c>
      <c r="CF79" s="17" t="s">
        <v>870</v>
      </c>
      <c r="CG79" s="17" t="s">
        <v>870</v>
      </c>
      <c r="CH79" s="17" t="s">
        <v>870</v>
      </c>
      <c r="CI79" s="17" t="s">
        <v>870</v>
      </c>
      <c r="CJ79" s="17" t="s">
        <v>870</v>
      </c>
      <c r="CK79" s="17" t="s">
        <v>870</v>
      </c>
      <c r="CL79" s="17" t="s">
        <v>870</v>
      </c>
      <c r="CM79" s="17" t="s">
        <v>870</v>
      </c>
      <c r="CN79" s="17" t="s">
        <v>870</v>
      </c>
      <c r="CO79" s="17" t="s">
        <v>870</v>
      </c>
      <c r="CP79" s="17" t="s">
        <v>870</v>
      </c>
      <c r="CQ79" s="17" t="s">
        <v>870</v>
      </c>
      <c r="CR79" s="17" t="s">
        <v>870</v>
      </c>
      <c r="CS79" s="17" t="s">
        <v>870</v>
      </c>
      <c r="CT79" s="17" t="s">
        <v>870</v>
      </c>
      <c r="CU79" s="17" t="s">
        <v>870</v>
      </c>
      <c r="CV79" s="17" t="s">
        <v>870</v>
      </c>
      <c r="CW79" s="17" t="s">
        <v>870</v>
      </c>
      <c r="CX79" s="17" t="s">
        <v>870</v>
      </c>
      <c r="CY79" s="17" t="s">
        <v>870</v>
      </c>
      <c r="CZ79" s="17" t="s">
        <v>870</v>
      </c>
      <c r="DA79" s="17" t="s">
        <v>870</v>
      </c>
      <c r="DB79" s="17" t="s">
        <v>870</v>
      </c>
      <c r="DC79" s="17" t="s">
        <v>870</v>
      </c>
      <c r="DD79" s="17" t="s">
        <v>870</v>
      </c>
      <c r="DE79" s="17" t="s">
        <v>870</v>
      </c>
      <c r="DF79" s="17" t="s">
        <v>870</v>
      </c>
      <c r="DG79" s="17" t="s">
        <v>870</v>
      </c>
      <c r="DH79" s="17" t="s">
        <v>870</v>
      </c>
      <c r="DI79" s="17" t="s">
        <v>870</v>
      </c>
      <c r="DJ79" s="17" t="s">
        <v>870</v>
      </c>
      <c r="DK79" s="17" t="s">
        <v>870</v>
      </c>
      <c r="DL79" s="17" t="s">
        <v>870</v>
      </c>
      <c r="DM79" s="17" t="s">
        <v>870</v>
      </c>
      <c r="DN79" s="17" t="s">
        <v>870</v>
      </c>
      <c r="DO79" s="17" t="s">
        <v>870</v>
      </c>
      <c r="DP79" s="17" t="s">
        <v>870</v>
      </c>
      <c r="DQ79" s="17" t="s">
        <v>870</v>
      </c>
      <c r="DR79" s="17" t="s">
        <v>870</v>
      </c>
      <c r="DS79" s="17" t="s">
        <v>870</v>
      </c>
      <c r="DT79" s="17" t="s">
        <v>870</v>
      </c>
      <c r="DU79" s="17" t="s">
        <v>870</v>
      </c>
      <c r="DV79" s="17" t="s">
        <v>870</v>
      </c>
      <c r="DW79" s="17" t="s">
        <v>870</v>
      </c>
      <c r="DX79" s="17" t="s">
        <v>870</v>
      </c>
      <c r="DY79" s="17" t="s">
        <v>870</v>
      </c>
      <c r="DZ79" s="17" t="s">
        <v>870</v>
      </c>
      <c r="EA79" s="17" t="s">
        <v>870</v>
      </c>
      <c r="EB79" s="17" t="s">
        <v>870</v>
      </c>
      <c r="EC79" s="17" t="s">
        <v>870</v>
      </c>
      <c r="ED79" s="17" t="s">
        <v>870</v>
      </c>
      <c r="EE79" s="17" t="s">
        <v>870</v>
      </c>
      <c r="EF79" s="17" t="s">
        <v>870</v>
      </c>
      <c r="EG79" s="17" t="s">
        <v>870</v>
      </c>
      <c r="EH79" s="17" t="s">
        <v>870</v>
      </c>
      <c r="EI79" s="17" t="s">
        <v>870</v>
      </c>
      <c r="EJ79" s="17" t="s">
        <v>870</v>
      </c>
      <c r="EK79" s="17" t="s">
        <v>870</v>
      </c>
      <c r="EL79" s="17" t="s">
        <v>870</v>
      </c>
      <c r="EM79" s="17" t="s">
        <v>870</v>
      </c>
      <c r="EN79" s="17" t="s">
        <v>870</v>
      </c>
      <c r="EO79" s="17" t="s">
        <v>870</v>
      </c>
      <c r="EP79" s="17" t="s">
        <v>870</v>
      </c>
      <c r="EQ79" s="17" t="s">
        <v>870</v>
      </c>
      <c r="ER79" s="17" t="s">
        <v>870</v>
      </c>
      <c r="ES79" s="17" t="s">
        <v>870</v>
      </c>
      <c r="ET79" s="17" t="s">
        <v>870</v>
      </c>
      <c r="EU79" s="17" t="s">
        <v>870</v>
      </c>
      <c r="EV79" s="17" t="s">
        <v>870</v>
      </c>
      <c r="EW79" s="17" t="s">
        <v>870</v>
      </c>
      <c r="EX79" s="17" t="s">
        <v>870</v>
      </c>
      <c r="EY79" s="17" t="s">
        <v>870</v>
      </c>
      <c r="EZ79" s="17" t="s">
        <v>870</v>
      </c>
      <c r="FA79" s="17" t="s">
        <v>870</v>
      </c>
      <c r="FB79" s="17" t="s">
        <v>870</v>
      </c>
      <c r="FC79" s="17" t="s">
        <v>870</v>
      </c>
      <c r="FD79" s="17" t="s">
        <v>870</v>
      </c>
      <c r="FE79" s="17" t="s">
        <v>870</v>
      </c>
      <c r="FF79" s="17" t="s">
        <v>870</v>
      </c>
      <c r="FG79" s="17" t="s">
        <v>870</v>
      </c>
      <c r="FH79" s="17" t="s">
        <v>870</v>
      </c>
      <c r="FI79" s="17" t="s">
        <v>870</v>
      </c>
      <c r="FJ79" s="17" t="s">
        <v>870</v>
      </c>
      <c r="FK79" s="17" t="s">
        <v>870</v>
      </c>
      <c r="FL79" s="17" t="s">
        <v>870</v>
      </c>
      <c r="FM79" s="17" t="s">
        <v>870</v>
      </c>
      <c r="FN79" s="17" t="s">
        <v>870</v>
      </c>
      <c r="FO79" s="17" t="s">
        <v>870</v>
      </c>
      <c r="FP79" s="17" t="s">
        <v>870</v>
      </c>
      <c r="FQ79" s="17" t="s">
        <v>870</v>
      </c>
      <c r="FR79" s="17" t="s">
        <v>870</v>
      </c>
      <c r="FS79" s="17" t="s">
        <v>870</v>
      </c>
      <c r="FT79" s="17" t="s">
        <v>870</v>
      </c>
      <c r="FU79" s="17" t="s">
        <v>870</v>
      </c>
      <c r="FV79" s="17" t="s">
        <v>870</v>
      </c>
      <c r="FW79" s="17" t="s">
        <v>870</v>
      </c>
      <c r="FX79" s="17" t="s">
        <v>870</v>
      </c>
      <c r="FY79" s="17" t="s">
        <v>870</v>
      </c>
      <c r="FZ79" s="17" t="s">
        <v>870</v>
      </c>
      <c r="GA79" s="17" t="s">
        <v>870</v>
      </c>
      <c r="GB79" s="17" t="s">
        <v>870</v>
      </c>
      <c r="GC79" s="17" t="s">
        <v>870</v>
      </c>
      <c r="GD79" s="17" t="s">
        <v>870</v>
      </c>
      <c r="GE79" s="17" t="s">
        <v>870</v>
      </c>
      <c r="GF79" s="17" t="s">
        <v>870</v>
      </c>
      <c r="GG79" s="17" t="s">
        <v>870</v>
      </c>
      <c r="GH79" s="17" t="s">
        <v>870</v>
      </c>
      <c r="GI79" s="17" t="s">
        <v>870</v>
      </c>
      <c r="GJ79" s="17" t="s">
        <v>870</v>
      </c>
      <c r="GK79" s="17" t="s">
        <v>870</v>
      </c>
      <c r="GL79" s="17" t="s">
        <v>870</v>
      </c>
      <c r="GM79" s="17" t="s">
        <v>870</v>
      </c>
      <c r="GN79" s="17" t="s">
        <v>870</v>
      </c>
      <c r="GO79" s="17" t="s">
        <v>870</v>
      </c>
      <c r="GP79" s="17" t="s">
        <v>870</v>
      </c>
      <c r="GQ79" s="17" t="s">
        <v>870</v>
      </c>
      <c r="GR79" s="17" t="s">
        <v>870</v>
      </c>
      <c r="GS79" s="17" t="s">
        <v>870</v>
      </c>
      <c r="GT79" s="17" t="s">
        <v>870</v>
      </c>
      <c r="GU79" s="17" t="s">
        <v>870</v>
      </c>
      <c r="GV79" s="17" t="s">
        <v>870</v>
      </c>
      <c r="GW79" s="17" t="s">
        <v>870</v>
      </c>
      <c r="GX79" s="17" t="s">
        <v>870</v>
      </c>
      <c r="GY79" s="17" t="s">
        <v>870</v>
      </c>
      <c r="GZ79" s="17" t="s">
        <v>870</v>
      </c>
      <c r="HA79" s="17" t="s">
        <v>870</v>
      </c>
      <c r="HB79" s="17" t="s">
        <v>870</v>
      </c>
      <c r="HC79" s="17" t="s">
        <v>870</v>
      </c>
      <c r="HD79" s="17" t="s">
        <v>870</v>
      </c>
      <c r="HE79" s="17" t="s">
        <v>870</v>
      </c>
      <c r="HF79" s="17" t="s">
        <v>870</v>
      </c>
      <c r="HG79" s="17" t="s">
        <v>870</v>
      </c>
      <c r="HH79" s="17" t="s">
        <v>870</v>
      </c>
      <c r="HI79" s="17" t="s">
        <v>870</v>
      </c>
      <c r="HJ79" s="17" t="s">
        <v>870</v>
      </c>
      <c r="HK79" s="17" t="s">
        <v>870</v>
      </c>
      <c r="HL79" s="17" t="s">
        <v>870</v>
      </c>
      <c r="HM79" s="17" t="s">
        <v>870</v>
      </c>
      <c r="HN79" s="17" t="s">
        <v>870</v>
      </c>
      <c r="HO79" s="17" t="s">
        <v>870</v>
      </c>
      <c r="HP79" s="17" t="s">
        <v>870</v>
      </c>
      <c r="HQ79" s="17" t="s">
        <v>870</v>
      </c>
      <c r="HR79" s="17" t="s">
        <v>870</v>
      </c>
      <c r="HS79" s="17" t="s">
        <v>870</v>
      </c>
      <c r="HT79" s="17" t="s">
        <v>870</v>
      </c>
      <c r="HU79" s="17" t="s">
        <v>870</v>
      </c>
      <c r="HV79" s="17" t="s">
        <v>870</v>
      </c>
      <c r="HW79" s="17" t="s">
        <v>870</v>
      </c>
      <c r="HX79" s="17" t="s">
        <v>870</v>
      </c>
      <c r="HY79" s="17" t="s">
        <v>870</v>
      </c>
      <c r="HZ79" s="17" t="s">
        <v>870</v>
      </c>
      <c r="IA79" s="17" t="s">
        <v>870</v>
      </c>
      <c r="IB79" s="17" t="s">
        <v>870</v>
      </c>
      <c r="IC79" s="17" t="s">
        <v>870</v>
      </c>
      <c r="ID79" s="17" t="s">
        <v>870</v>
      </c>
      <c r="IE79" s="17" t="s">
        <v>870</v>
      </c>
      <c r="IF79" s="17" t="s">
        <v>870</v>
      </c>
      <c r="IG79" s="17" t="s">
        <v>870</v>
      </c>
      <c r="IH79" s="17" t="s">
        <v>870</v>
      </c>
      <c r="II79" s="17" t="s">
        <v>870</v>
      </c>
      <c r="IJ79" s="17" t="s">
        <v>870</v>
      </c>
      <c r="IK79" s="17" t="s">
        <v>870</v>
      </c>
      <c r="IL79" s="17" t="s">
        <v>870</v>
      </c>
      <c r="IM79" s="17" t="s">
        <v>870</v>
      </c>
      <c r="IN79" s="63"/>
      <c r="IO79" s="63"/>
    </row>
    <row r="80" spans="1:249" x14ac:dyDescent="0.25"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</row>
    <row r="81" spans="1:41" x14ac:dyDescent="0.25"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</row>
    <row r="82" spans="1:41" x14ac:dyDescent="0.25"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</row>
    <row r="83" spans="1:41" x14ac:dyDescent="0.25">
      <c r="B83" s="120" t="s">
        <v>928</v>
      </c>
      <c r="C83" s="120"/>
      <c r="D83" s="120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</row>
    <row r="84" spans="1:41" x14ac:dyDescent="0.25">
      <c r="B84" s="18" t="s">
        <v>2</v>
      </c>
      <c r="C84" s="18" t="s">
        <v>4</v>
      </c>
      <c r="D84" s="18" t="s">
        <v>1</v>
      </c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</row>
    <row r="85" spans="1:41" x14ac:dyDescent="0.25">
      <c r="A85" t="s">
        <v>13</v>
      </c>
      <c r="B85" s="17">
        <v>24</v>
      </c>
      <c r="C85" s="17">
        <v>57</v>
      </c>
      <c r="D85" s="17">
        <v>8</v>
      </c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</row>
    <row r="86" spans="1:41" x14ac:dyDescent="0.25">
      <c r="A86" t="s">
        <v>7</v>
      </c>
      <c r="B86" s="17">
        <v>14</v>
      </c>
      <c r="C86" s="17">
        <v>15</v>
      </c>
      <c r="D86" s="17">
        <v>10</v>
      </c>
      <c r="F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</row>
    <row r="87" spans="1:41" x14ac:dyDescent="0.25">
      <c r="A87" t="s">
        <v>30</v>
      </c>
      <c r="B87" s="17">
        <v>8</v>
      </c>
      <c r="C87" s="17">
        <v>17</v>
      </c>
      <c r="D87" s="17">
        <v>14</v>
      </c>
      <c r="F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</row>
    <row r="88" spans="1:41" x14ac:dyDescent="0.25">
      <c r="A88" t="s">
        <v>36</v>
      </c>
      <c r="B88" s="17">
        <v>3</v>
      </c>
      <c r="C88" s="17">
        <v>4</v>
      </c>
      <c r="D88" s="17">
        <v>28</v>
      </c>
      <c r="F88" s="17"/>
      <c r="G88" s="17"/>
      <c r="H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</row>
    <row r="89" spans="1:41" x14ac:dyDescent="0.25">
      <c r="A89" t="s">
        <v>20</v>
      </c>
      <c r="B89" s="17">
        <v>4</v>
      </c>
      <c r="C89" s="17">
        <v>6</v>
      </c>
      <c r="D89" s="17">
        <v>29</v>
      </c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</row>
    <row r="90" spans="1:41" x14ac:dyDescent="0.25">
      <c r="A90" t="s">
        <v>22</v>
      </c>
      <c r="B90" s="17">
        <v>3</v>
      </c>
      <c r="C90" s="17">
        <v>7</v>
      </c>
      <c r="D90" s="17">
        <v>58</v>
      </c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</row>
    <row r="91" spans="1:41" x14ac:dyDescent="0.25">
      <c r="A91" t="s">
        <v>34</v>
      </c>
      <c r="B91" s="17">
        <v>6</v>
      </c>
      <c r="C91" s="17">
        <v>8</v>
      </c>
      <c r="D91" s="17">
        <v>6</v>
      </c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</row>
    <row r="92" spans="1:41" x14ac:dyDescent="0.25">
      <c r="A92" t="s">
        <v>324</v>
      </c>
      <c r="B92" s="17">
        <v>7</v>
      </c>
      <c r="C92" s="17">
        <v>20</v>
      </c>
      <c r="D92" s="17">
        <v>25</v>
      </c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</row>
    <row r="93" spans="1:41" x14ac:dyDescent="0.25">
      <c r="A93" t="s">
        <v>255</v>
      </c>
      <c r="B93" s="17">
        <v>3</v>
      </c>
      <c r="C93" s="17">
        <v>5</v>
      </c>
      <c r="D93" s="17">
        <v>86</v>
      </c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</row>
    <row r="94" spans="1:41" x14ac:dyDescent="0.25">
      <c r="A94" t="s">
        <v>226</v>
      </c>
      <c r="B94" s="17">
        <v>4</v>
      </c>
      <c r="C94" s="17">
        <v>4</v>
      </c>
      <c r="D94" s="17">
        <v>14</v>
      </c>
      <c r="F94" s="17"/>
      <c r="G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</row>
    <row r="95" spans="1:41" x14ac:dyDescent="0.25">
      <c r="A95" t="s">
        <v>10</v>
      </c>
      <c r="B95" s="17">
        <v>2</v>
      </c>
      <c r="C95" s="17">
        <v>7</v>
      </c>
      <c r="D95" s="17">
        <v>8</v>
      </c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</row>
    <row r="96" spans="1:41" x14ac:dyDescent="0.25">
      <c r="A96" t="s">
        <v>17</v>
      </c>
      <c r="B96" s="17">
        <v>2</v>
      </c>
      <c r="C96" s="17">
        <v>3</v>
      </c>
      <c r="D96" s="17">
        <v>28</v>
      </c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</row>
    <row r="97" spans="1:28" x14ac:dyDescent="0.25">
      <c r="A97" t="s">
        <v>434</v>
      </c>
      <c r="B97" s="17">
        <v>6</v>
      </c>
      <c r="C97" s="17">
        <v>7</v>
      </c>
      <c r="D97" s="17">
        <v>39</v>
      </c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</row>
    <row r="98" spans="1:28" x14ac:dyDescent="0.25">
      <c r="A98" t="s">
        <v>16</v>
      </c>
      <c r="B98" s="17">
        <v>2</v>
      </c>
      <c r="C98" s="17">
        <v>4</v>
      </c>
      <c r="D98" s="17">
        <v>9</v>
      </c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</row>
    <row r="99" spans="1:28" x14ac:dyDescent="0.25">
      <c r="A99" t="s">
        <v>18</v>
      </c>
      <c r="B99" s="17">
        <v>3</v>
      </c>
      <c r="C99" s="17">
        <v>3</v>
      </c>
      <c r="D99" s="17">
        <v>16</v>
      </c>
      <c r="F99" s="17"/>
      <c r="G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</row>
    <row r="100" spans="1:28" x14ac:dyDescent="0.25">
      <c r="A100" t="s">
        <v>77</v>
      </c>
      <c r="B100" s="17">
        <v>3</v>
      </c>
      <c r="C100" s="17">
        <v>5</v>
      </c>
      <c r="D100" s="17">
        <v>6</v>
      </c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</row>
    <row r="101" spans="1:28" x14ac:dyDescent="0.25">
      <c r="A101" t="s">
        <v>232</v>
      </c>
      <c r="B101" s="17">
        <v>2</v>
      </c>
      <c r="C101" s="17">
        <v>6</v>
      </c>
      <c r="D101" s="17">
        <v>22</v>
      </c>
      <c r="F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</row>
    <row r="102" spans="1:28" x14ac:dyDescent="0.25">
      <c r="A102" t="s">
        <v>225</v>
      </c>
      <c r="B102" s="17">
        <v>1</v>
      </c>
      <c r="C102" s="17">
        <v>2</v>
      </c>
      <c r="D102" s="17">
        <v>16</v>
      </c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</row>
    <row r="103" spans="1:28" x14ac:dyDescent="0.25">
      <c r="A103" t="s">
        <v>227</v>
      </c>
      <c r="B103" s="17">
        <v>2</v>
      </c>
      <c r="C103" s="17">
        <v>2</v>
      </c>
      <c r="D103" s="17">
        <v>22</v>
      </c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</row>
    <row r="104" spans="1:28" x14ac:dyDescent="0.25">
      <c r="A104" t="s">
        <v>8</v>
      </c>
      <c r="B104" s="17">
        <v>8</v>
      </c>
      <c r="C104" s="17">
        <v>8</v>
      </c>
      <c r="D104" s="17">
        <v>2</v>
      </c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</row>
    <row r="105" spans="1:28" x14ac:dyDescent="0.25">
      <c r="A105" t="s">
        <v>82</v>
      </c>
      <c r="B105" s="17">
        <v>2</v>
      </c>
      <c r="C105" s="17">
        <v>3</v>
      </c>
      <c r="D105" s="17">
        <v>16</v>
      </c>
      <c r="J105" s="17"/>
      <c r="K105" s="17"/>
      <c r="L105" s="17"/>
      <c r="M105" s="17"/>
    </row>
    <row r="106" spans="1:28" x14ac:dyDescent="0.25">
      <c r="A106" t="s">
        <v>358</v>
      </c>
      <c r="B106" s="17">
        <v>4</v>
      </c>
      <c r="C106" s="17">
        <v>12</v>
      </c>
      <c r="D106" s="17">
        <v>14</v>
      </c>
      <c r="F106" s="17"/>
      <c r="G106" s="17"/>
      <c r="H106" s="17"/>
      <c r="I106" s="17"/>
      <c r="J106" s="17"/>
      <c r="K106" s="17"/>
      <c r="L106" s="17"/>
      <c r="M106" s="17"/>
    </row>
    <row r="107" spans="1:28" x14ac:dyDescent="0.25">
      <c r="A107" t="s">
        <v>438</v>
      </c>
      <c r="B107" s="17">
        <v>5</v>
      </c>
      <c r="C107" s="17">
        <v>5</v>
      </c>
      <c r="D107" s="17">
        <v>18</v>
      </c>
      <c r="F107" s="17"/>
      <c r="G107" s="17"/>
      <c r="H107" s="17"/>
      <c r="I107" s="17"/>
    </row>
    <row r="108" spans="1:28" x14ac:dyDescent="0.25">
      <c r="A108" t="s">
        <v>39</v>
      </c>
      <c r="B108" s="17">
        <v>4</v>
      </c>
      <c r="C108" s="17">
        <v>5</v>
      </c>
      <c r="D108" s="17">
        <v>8</v>
      </c>
      <c r="F108" s="17"/>
      <c r="G108" s="17"/>
      <c r="H108" s="17"/>
      <c r="I108" s="17"/>
    </row>
    <row r="109" spans="1:28" x14ac:dyDescent="0.25">
      <c r="A109" t="s">
        <v>203</v>
      </c>
      <c r="B109" s="17">
        <v>6</v>
      </c>
      <c r="C109" s="17">
        <v>6</v>
      </c>
      <c r="D109" s="17">
        <v>6</v>
      </c>
      <c r="F109" s="17"/>
      <c r="G109" s="17"/>
      <c r="H109" s="17"/>
      <c r="I109" s="17"/>
    </row>
    <row r="110" spans="1:28" x14ac:dyDescent="0.25">
      <c r="A110" t="s">
        <v>9</v>
      </c>
      <c r="B110" s="17">
        <v>3</v>
      </c>
      <c r="C110" s="17">
        <v>4</v>
      </c>
      <c r="D110" s="17">
        <v>16</v>
      </c>
      <c r="F110" s="17"/>
      <c r="G110" s="17"/>
      <c r="I110" s="17"/>
    </row>
    <row r="111" spans="1:28" x14ac:dyDescent="0.25">
      <c r="A111" t="s">
        <v>31</v>
      </c>
      <c r="B111" s="17">
        <v>2</v>
      </c>
      <c r="C111" s="17">
        <v>2</v>
      </c>
      <c r="D111" s="17">
        <v>8</v>
      </c>
      <c r="F111" s="17"/>
      <c r="G111" s="17"/>
      <c r="H111" s="17"/>
      <c r="I111" s="17"/>
    </row>
    <row r="112" spans="1:28" x14ac:dyDescent="0.25">
      <c r="A112" t="s">
        <v>35</v>
      </c>
      <c r="B112" s="17">
        <v>1</v>
      </c>
      <c r="C112" s="17">
        <v>2</v>
      </c>
      <c r="D112" s="17">
        <v>22</v>
      </c>
      <c r="F112" s="17"/>
      <c r="G112" s="17"/>
      <c r="H112" s="17"/>
      <c r="I112" s="17"/>
    </row>
    <row r="113" spans="1:14" x14ac:dyDescent="0.25">
      <c r="A113" t="s">
        <v>19</v>
      </c>
      <c r="B113" s="17">
        <v>2</v>
      </c>
      <c r="C113" s="17">
        <v>4</v>
      </c>
      <c r="D113" s="17">
        <v>2</v>
      </c>
      <c r="F113" s="17"/>
      <c r="G113" s="17"/>
      <c r="H113" s="17"/>
      <c r="I113" s="17"/>
    </row>
    <row r="114" spans="1:14" x14ac:dyDescent="0.25">
      <c r="A114" t="s">
        <v>14</v>
      </c>
      <c r="B114" s="17">
        <v>2</v>
      </c>
      <c r="C114" s="17">
        <v>4</v>
      </c>
      <c r="D114" s="17">
        <v>6</v>
      </c>
      <c r="F114" s="17"/>
      <c r="G114" s="17"/>
      <c r="H114" s="17"/>
      <c r="I114" s="17"/>
    </row>
    <row r="115" spans="1:14" x14ac:dyDescent="0.25">
      <c r="A115" t="s">
        <v>37</v>
      </c>
      <c r="B115" s="17">
        <v>1</v>
      </c>
      <c r="C115" s="17">
        <v>2</v>
      </c>
      <c r="D115" s="17">
        <v>9</v>
      </c>
    </row>
    <row r="116" spans="1:14" x14ac:dyDescent="0.25">
      <c r="A116" t="s">
        <v>12</v>
      </c>
      <c r="B116" s="17">
        <v>1</v>
      </c>
      <c r="C116" s="17">
        <v>2</v>
      </c>
      <c r="D116" s="17">
        <v>18</v>
      </c>
    </row>
    <row r="117" spans="1:14" x14ac:dyDescent="0.25">
      <c r="A117" t="s">
        <v>83</v>
      </c>
      <c r="B117" s="17">
        <v>4</v>
      </c>
      <c r="C117" s="17">
        <v>4</v>
      </c>
      <c r="D117" s="17">
        <v>6</v>
      </c>
    </row>
    <row r="118" spans="1:14" x14ac:dyDescent="0.25">
      <c r="A118" t="s">
        <v>15</v>
      </c>
      <c r="B118" s="17">
        <v>1</v>
      </c>
      <c r="C118" s="17">
        <v>2</v>
      </c>
      <c r="D118" s="17">
        <v>4</v>
      </c>
      <c r="F118" s="17"/>
    </row>
    <row r="119" spans="1:14" x14ac:dyDescent="0.25">
      <c r="A119" t="s">
        <v>356</v>
      </c>
      <c r="B119" s="17">
        <v>3</v>
      </c>
      <c r="C119" s="17">
        <v>3</v>
      </c>
      <c r="D119" s="17">
        <v>2</v>
      </c>
      <c r="J119" s="17"/>
      <c r="K119" s="17"/>
      <c r="L119" s="17"/>
      <c r="M119" s="17"/>
      <c r="N119" s="17"/>
    </row>
    <row r="120" spans="1:14" x14ac:dyDescent="0.25">
      <c r="A120" t="s">
        <v>256</v>
      </c>
      <c r="B120" s="17">
        <v>2</v>
      </c>
      <c r="C120" s="17">
        <v>3</v>
      </c>
      <c r="D120" s="17">
        <v>10</v>
      </c>
      <c r="J120" s="17"/>
      <c r="K120" s="17"/>
      <c r="L120" s="17"/>
      <c r="M120" s="17"/>
      <c r="N120" s="17"/>
    </row>
    <row r="121" spans="1:14" x14ac:dyDescent="0.25">
      <c r="A121" t="s">
        <v>21</v>
      </c>
      <c r="B121" s="17">
        <v>1</v>
      </c>
      <c r="C121" s="17">
        <v>2</v>
      </c>
      <c r="D121" s="17">
        <v>28</v>
      </c>
      <c r="J121" s="17"/>
      <c r="K121" s="17"/>
      <c r="L121" s="17"/>
      <c r="M121" s="17"/>
      <c r="N121" s="17"/>
    </row>
    <row r="122" spans="1:14" x14ac:dyDescent="0.25">
      <c r="A122" t="s">
        <v>437</v>
      </c>
      <c r="B122" s="17">
        <v>2</v>
      </c>
      <c r="C122" s="17">
        <v>2</v>
      </c>
      <c r="D122" s="17">
        <v>6</v>
      </c>
      <c r="F122" s="17"/>
      <c r="J122" s="17"/>
      <c r="K122" s="17"/>
      <c r="L122" s="17"/>
      <c r="M122" s="17"/>
      <c r="N122" s="17"/>
    </row>
    <row r="123" spans="1:14" x14ac:dyDescent="0.25">
      <c r="A123" t="s">
        <v>254</v>
      </c>
      <c r="B123" s="17">
        <v>1</v>
      </c>
      <c r="C123" s="17">
        <v>3</v>
      </c>
      <c r="D123" s="17">
        <v>10</v>
      </c>
      <c r="J123" s="17"/>
      <c r="K123" s="17"/>
      <c r="L123" s="17"/>
      <c r="M123" s="17"/>
      <c r="N123" s="17"/>
    </row>
    <row r="124" spans="1:14" x14ac:dyDescent="0.25">
      <c r="A124" t="s">
        <v>33</v>
      </c>
      <c r="B124" s="17">
        <v>1</v>
      </c>
      <c r="C124" s="17">
        <v>1</v>
      </c>
      <c r="D124" s="17">
        <v>15</v>
      </c>
      <c r="J124" s="17"/>
      <c r="K124" s="17"/>
      <c r="L124" s="17"/>
      <c r="M124" s="17"/>
      <c r="N124" s="17"/>
    </row>
    <row r="125" spans="1:14" x14ac:dyDescent="0.25">
      <c r="A125" t="s">
        <v>93</v>
      </c>
      <c r="B125" s="17">
        <v>2</v>
      </c>
      <c r="C125" s="17">
        <v>2</v>
      </c>
      <c r="D125" s="17">
        <v>4</v>
      </c>
      <c r="J125" s="17"/>
      <c r="K125" s="17"/>
      <c r="L125" s="17"/>
      <c r="M125" s="17"/>
      <c r="N125" s="17"/>
    </row>
    <row r="126" spans="1:14" x14ac:dyDescent="0.25">
      <c r="A126" t="s">
        <v>320</v>
      </c>
      <c r="B126" s="17">
        <v>2</v>
      </c>
      <c r="C126" s="17">
        <v>2</v>
      </c>
      <c r="D126" s="17">
        <v>18</v>
      </c>
      <c r="J126" s="17"/>
      <c r="K126" s="17"/>
      <c r="L126" s="17"/>
      <c r="M126" s="17"/>
      <c r="N126" s="17"/>
    </row>
    <row r="127" spans="1:14" x14ac:dyDescent="0.25">
      <c r="A127" t="s">
        <v>223</v>
      </c>
      <c r="B127" s="17">
        <v>1</v>
      </c>
      <c r="C127" s="17">
        <v>2</v>
      </c>
      <c r="D127" s="17">
        <v>4</v>
      </c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25">
      <c r="A128" t="s">
        <v>446</v>
      </c>
      <c r="B128" s="17">
        <v>2</v>
      </c>
      <c r="C128" s="17">
        <v>4</v>
      </c>
      <c r="D128" s="17">
        <v>10</v>
      </c>
      <c r="E128" s="17"/>
      <c r="F128" s="17"/>
      <c r="G128" s="17"/>
      <c r="H128" s="17"/>
      <c r="I128" s="17"/>
      <c r="J128" s="17"/>
      <c r="K128" s="17"/>
      <c r="L128" s="17"/>
      <c r="M128" s="17"/>
      <c r="N128" s="17"/>
    </row>
    <row r="129" spans="1:14" x14ac:dyDescent="0.25">
      <c r="A129" t="s">
        <v>24</v>
      </c>
      <c r="B129" s="17">
        <v>1</v>
      </c>
      <c r="C129" s="17">
        <v>2</v>
      </c>
      <c r="D129" s="17">
        <v>13</v>
      </c>
      <c r="E129" s="17"/>
      <c r="F129" s="17"/>
      <c r="G129" s="17"/>
      <c r="H129" s="17"/>
      <c r="I129" s="17"/>
      <c r="J129" s="17"/>
      <c r="K129" s="17"/>
      <c r="L129" s="17"/>
      <c r="M129" s="17"/>
      <c r="N129" s="17"/>
    </row>
    <row r="130" spans="1:14" x14ac:dyDescent="0.25">
      <c r="A130" t="s">
        <v>91</v>
      </c>
      <c r="B130" s="17" t="s">
        <v>929</v>
      </c>
      <c r="C130" s="17">
        <v>1</v>
      </c>
      <c r="D130" s="17">
        <v>11</v>
      </c>
      <c r="E130" s="17"/>
      <c r="F130" s="17"/>
      <c r="G130" s="17"/>
      <c r="H130" s="17"/>
      <c r="I130" s="17"/>
      <c r="J130" s="17"/>
      <c r="K130" s="17"/>
      <c r="L130" s="17"/>
      <c r="M130" s="17"/>
      <c r="N130" s="17"/>
    </row>
    <row r="131" spans="1:14" x14ac:dyDescent="0.25">
      <c r="A131" t="s">
        <v>204</v>
      </c>
      <c r="B131" s="17">
        <v>1</v>
      </c>
      <c r="C131" s="17">
        <v>1</v>
      </c>
      <c r="D131" s="17">
        <v>2</v>
      </c>
      <c r="E131" s="17"/>
      <c r="F131" s="17"/>
      <c r="G131" s="17"/>
      <c r="H131" s="17"/>
      <c r="I131" s="17"/>
      <c r="J131" s="17"/>
      <c r="K131" s="17"/>
      <c r="L131" s="17"/>
      <c r="M131" s="17"/>
      <c r="N131" s="17"/>
    </row>
    <row r="132" spans="1:14" x14ac:dyDescent="0.25">
      <c r="A132" t="s">
        <v>11</v>
      </c>
      <c r="B132" s="17">
        <v>1</v>
      </c>
      <c r="C132" s="17">
        <v>1</v>
      </c>
      <c r="D132" s="17">
        <v>2</v>
      </c>
      <c r="E132" s="17"/>
      <c r="F132" s="17"/>
      <c r="G132" s="17"/>
      <c r="H132" s="17"/>
      <c r="I132" s="17"/>
      <c r="J132" s="17"/>
      <c r="K132" s="17"/>
      <c r="L132" s="17"/>
      <c r="M132" s="17"/>
      <c r="N132" s="17"/>
    </row>
    <row r="133" spans="1:14" x14ac:dyDescent="0.25">
      <c r="A133" t="s">
        <v>23</v>
      </c>
      <c r="B133" s="17">
        <v>1</v>
      </c>
      <c r="C133" s="17">
        <v>1</v>
      </c>
      <c r="D133" s="17">
        <v>4</v>
      </c>
      <c r="E133" s="17"/>
      <c r="F133" s="17"/>
      <c r="G133" s="17"/>
      <c r="H133" s="17"/>
      <c r="I133" s="17"/>
      <c r="J133" s="17"/>
      <c r="K133" s="17"/>
      <c r="L133" s="17"/>
      <c r="M133" s="17"/>
      <c r="N133" s="17"/>
    </row>
    <row r="134" spans="1:14" x14ac:dyDescent="0.25">
      <c r="A134" t="s">
        <v>92</v>
      </c>
      <c r="B134" s="17">
        <v>1</v>
      </c>
      <c r="C134" s="17">
        <v>2</v>
      </c>
      <c r="D134" s="17">
        <v>7</v>
      </c>
      <c r="E134" s="17"/>
      <c r="F134" s="17"/>
      <c r="G134" s="17"/>
      <c r="H134" s="17"/>
      <c r="I134" s="17"/>
      <c r="J134" s="17"/>
      <c r="K134" s="17"/>
      <c r="L134" s="17"/>
      <c r="M134" s="17"/>
      <c r="N134" s="17"/>
    </row>
    <row r="135" spans="1:14" x14ac:dyDescent="0.25">
      <c r="A135" t="s">
        <v>435</v>
      </c>
      <c r="B135" s="17" t="s">
        <v>929</v>
      </c>
      <c r="C135" s="17">
        <v>1</v>
      </c>
      <c r="D135" s="17">
        <v>25</v>
      </c>
      <c r="E135" s="17"/>
      <c r="F135" s="17"/>
      <c r="G135" s="17"/>
      <c r="H135" s="17"/>
      <c r="I135" s="17"/>
      <c r="J135" s="17"/>
      <c r="K135" s="17"/>
      <c r="L135" s="17"/>
      <c r="M135" s="17"/>
      <c r="N135" s="17"/>
    </row>
    <row r="136" spans="1:14" x14ac:dyDescent="0.25">
      <c r="A136" t="s">
        <v>294</v>
      </c>
      <c r="B136" s="17" t="s">
        <v>929</v>
      </c>
      <c r="C136" s="17">
        <v>1</v>
      </c>
      <c r="D136" s="17">
        <v>32</v>
      </c>
      <c r="E136" s="17"/>
      <c r="F136" s="17"/>
      <c r="G136" s="17"/>
      <c r="H136" s="17"/>
      <c r="I136" s="17"/>
      <c r="J136" s="17"/>
      <c r="K136" s="17"/>
      <c r="L136" s="17"/>
      <c r="M136" s="17"/>
      <c r="N136" s="17"/>
    </row>
    <row r="137" spans="1:14" x14ac:dyDescent="0.25">
      <c r="A137" t="s">
        <v>32</v>
      </c>
      <c r="B137" s="17">
        <v>0</v>
      </c>
      <c r="C137" s="17">
        <v>0</v>
      </c>
      <c r="D137" s="17">
        <v>2</v>
      </c>
      <c r="E137" s="17"/>
      <c r="F137" s="17"/>
      <c r="G137" s="17"/>
      <c r="H137" s="17"/>
      <c r="I137" s="17"/>
      <c r="J137" s="17"/>
      <c r="K137" s="17"/>
      <c r="L137" s="17"/>
      <c r="M137" s="17"/>
      <c r="N137" s="17"/>
    </row>
    <row r="138" spans="1:14" x14ac:dyDescent="0.25">
      <c r="A138" t="s">
        <v>94</v>
      </c>
      <c r="B138" s="17">
        <v>0</v>
      </c>
      <c r="C138" s="17">
        <v>0</v>
      </c>
      <c r="D138" s="17">
        <v>3</v>
      </c>
      <c r="E138" s="17"/>
      <c r="F138" s="17"/>
      <c r="G138" s="17"/>
      <c r="H138" s="17"/>
      <c r="I138" s="17"/>
      <c r="J138" s="17"/>
      <c r="K138" s="17"/>
      <c r="L138" s="17"/>
      <c r="M138" s="17"/>
      <c r="N138" s="17"/>
    </row>
    <row r="139" spans="1:14" x14ac:dyDescent="0.25">
      <c r="A139" t="s">
        <v>224</v>
      </c>
      <c r="B139" s="17">
        <v>0</v>
      </c>
      <c r="C139" s="17">
        <v>0</v>
      </c>
      <c r="D139" s="17">
        <v>5</v>
      </c>
      <c r="E139" s="17"/>
      <c r="F139" s="17"/>
      <c r="G139" s="17"/>
      <c r="H139" s="17"/>
      <c r="I139" s="17"/>
      <c r="J139" s="17"/>
      <c r="K139" s="17"/>
      <c r="L139" s="17"/>
      <c r="M139" s="17"/>
      <c r="N139" s="17"/>
    </row>
    <row r="140" spans="1:14" x14ac:dyDescent="0.25">
      <c r="A140" t="s">
        <v>257</v>
      </c>
      <c r="B140" s="17" t="s">
        <v>929</v>
      </c>
      <c r="C140" s="17">
        <v>0</v>
      </c>
      <c r="D140" s="17">
        <v>8</v>
      </c>
      <c r="E140" s="17"/>
      <c r="F140" s="17"/>
      <c r="G140" s="17"/>
      <c r="H140" s="17"/>
      <c r="I140" s="17"/>
    </row>
    <row r="141" spans="1:14" x14ac:dyDescent="0.25">
      <c r="A141" t="s">
        <v>75</v>
      </c>
      <c r="B141" s="17" t="s">
        <v>929</v>
      </c>
      <c r="C141" s="17">
        <v>1</v>
      </c>
      <c r="D141" s="17">
        <v>4</v>
      </c>
      <c r="E141" s="17"/>
      <c r="F141" s="17"/>
      <c r="G141" s="17"/>
      <c r="H141" s="17"/>
      <c r="I141" s="17"/>
    </row>
    <row r="142" spans="1:14" x14ac:dyDescent="0.25">
      <c r="A142" t="s">
        <v>293</v>
      </c>
      <c r="B142" s="17" t="s">
        <v>929</v>
      </c>
      <c r="C142" s="17">
        <v>0</v>
      </c>
      <c r="D142" s="17">
        <v>4</v>
      </c>
      <c r="E142" s="17"/>
      <c r="F142" s="17"/>
      <c r="G142" s="17"/>
      <c r="H142" s="17"/>
      <c r="I142" s="17"/>
    </row>
    <row r="143" spans="1:14" x14ac:dyDescent="0.25">
      <c r="A143" t="s">
        <v>87</v>
      </c>
      <c r="B143" s="17" t="s">
        <v>929</v>
      </c>
      <c r="C143" s="17">
        <v>0</v>
      </c>
      <c r="D143" s="17">
        <v>12</v>
      </c>
      <c r="E143" s="17"/>
      <c r="F143" s="17"/>
      <c r="G143" s="17"/>
      <c r="H143" s="17"/>
      <c r="I143" s="17"/>
    </row>
    <row r="144" spans="1:14" x14ac:dyDescent="0.25">
      <c r="A144" t="s">
        <v>436</v>
      </c>
      <c r="B144" s="17">
        <v>0</v>
      </c>
      <c r="C144" s="17">
        <v>0</v>
      </c>
      <c r="D144" s="17">
        <v>4</v>
      </c>
      <c r="E144" s="17"/>
      <c r="F144" s="17"/>
      <c r="G144" s="17"/>
      <c r="H144" s="17"/>
      <c r="I144" s="17"/>
    </row>
    <row r="145" spans="1:9" x14ac:dyDescent="0.25">
      <c r="A145" t="s">
        <v>250</v>
      </c>
      <c r="B145" s="17" t="s">
        <v>929</v>
      </c>
      <c r="C145" s="17">
        <v>0</v>
      </c>
      <c r="D145" s="17">
        <v>1</v>
      </c>
      <c r="E145" s="17"/>
      <c r="F145" s="17"/>
      <c r="G145" s="17"/>
      <c r="H145" s="17"/>
      <c r="I145" s="17"/>
    </row>
    <row r="146" spans="1:9" x14ac:dyDescent="0.25">
      <c r="A146" t="s">
        <v>1178</v>
      </c>
      <c r="B146" s="17">
        <v>4</v>
      </c>
      <c r="C146" s="17">
        <v>8</v>
      </c>
      <c r="D146" s="17">
        <v>7</v>
      </c>
      <c r="E146" s="17"/>
      <c r="F146" s="17"/>
      <c r="G146" s="17"/>
      <c r="H146" s="17"/>
      <c r="I146" s="17"/>
    </row>
    <row r="147" spans="1:9" x14ac:dyDescent="0.25">
      <c r="A147" t="s">
        <v>1188</v>
      </c>
      <c r="B147" s="17">
        <v>2</v>
      </c>
      <c r="C147" s="17">
        <v>3</v>
      </c>
      <c r="D147" s="17">
        <v>6</v>
      </c>
      <c r="E147" s="17"/>
      <c r="F147" s="17"/>
      <c r="G147" s="17"/>
      <c r="H147" s="17"/>
      <c r="I147" s="17"/>
    </row>
    <row r="148" spans="1:9" x14ac:dyDescent="0.25">
      <c r="A148" t="s">
        <v>1191</v>
      </c>
      <c r="B148" s="17">
        <v>2</v>
      </c>
      <c r="C148" s="17">
        <v>2</v>
      </c>
      <c r="D148" s="17">
        <v>6</v>
      </c>
    </row>
    <row r="149" spans="1:9" x14ac:dyDescent="0.25">
      <c r="A149" t="s">
        <v>1182</v>
      </c>
      <c r="B149" s="17">
        <v>2</v>
      </c>
      <c r="C149" s="17">
        <v>2</v>
      </c>
      <c r="D149" s="17">
        <v>6</v>
      </c>
    </row>
    <row r="150" spans="1:9" x14ac:dyDescent="0.25">
      <c r="A150" t="s">
        <v>1193</v>
      </c>
      <c r="B150" s="17">
        <v>1</v>
      </c>
      <c r="C150" s="17">
        <v>1</v>
      </c>
      <c r="D150" s="17">
        <v>4</v>
      </c>
    </row>
    <row r="151" spans="1:9" x14ac:dyDescent="0.25">
      <c r="A151" t="s">
        <v>1478</v>
      </c>
      <c r="B151" s="17" t="s">
        <v>929</v>
      </c>
      <c r="C151" s="17">
        <v>0</v>
      </c>
      <c r="D151" s="17">
        <v>8</v>
      </c>
    </row>
    <row r="152" spans="1:9" x14ac:dyDescent="0.25">
      <c r="A152" t="s">
        <v>1192</v>
      </c>
      <c r="B152" s="17">
        <v>1</v>
      </c>
      <c r="C152" s="17">
        <v>1</v>
      </c>
      <c r="D152" s="17">
        <v>14</v>
      </c>
    </row>
    <row r="153" spans="1:9" x14ac:dyDescent="0.25">
      <c r="A153" t="s">
        <v>1503</v>
      </c>
      <c r="B153" s="17">
        <v>1</v>
      </c>
      <c r="C153" s="17">
        <v>1</v>
      </c>
      <c r="D153" s="17">
        <v>2</v>
      </c>
    </row>
    <row r="154" spans="1:9" x14ac:dyDescent="0.25">
      <c r="A154" t="s">
        <v>1518</v>
      </c>
      <c r="B154" s="17">
        <v>1</v>
      </c>
      <c r="C154" s="17">
        <v>1</v>
      </c>
      <c r="D154" s="17">
        <v>2</v>
      </c>
    </row>
    <row r="155" spans="1:9" x14ac:dyDescent="0.25">
      <c r="A155" t="s">
        <v>1548</v>
      </c>
      <c r="B155" s="17">
        <v>1</v>
      </c>
      <c r="C155" s="17">
        <v>1</v>
      </c>
      <c r="D155" s="17">
        <v>2</v>
      </c>
    </row>
    <row r="156" spans="1:9" x14ac:dyDescent="0.25">
      <c r="A156" t="s">
        <v>1549</v>
      </c>
      <c r="B156" s="17">
        <v>0</v>
      </c>
      <c r="C156" s="17">
        <v>0</v>
      </c>
      <c r="D156" s="17">
        <v>2</v>
      </c>
    </row>
    <row r="157" spans="1:9" x14ac:dyDescent="0.25">
      <c r="A157" t="s">
        <v>1680</v>
      </c>
      <c r="B157" s="17">
        <v>2</v>
      </c>
      <c r="C157" s="17">
        <v>2</v>
      </c>
      <c r="D157" s="17">
        <v>6</v>
      </c>
    </row>
    <row r="158" spans="1:9" x14ac:dyDescent="0.25">
      <c r="A158" t="s">
        <v>1696</v>
      </c>
      <c r="B158" s="17">
        <v>1</v>
      </c>
      <c r="C158" s="17">
        <v>1</v>
      </c>
      <c r="D158" s="17">
        <v>2</v>
      </c>
    </row>
    <row r="159" spans="1:9" x14ac:dyDescent="0.25">
      <c r="A159" t="s">
        <v>1722</v>
      </c>
      <c r="B159" s="17">
        <v>2</v>
      </c>
      <c r="C159" s="17">
        <v>2</v>
      </c>
      <c r="D159" s="17">
        <v>4</v>
      </c>
    </row>
    <row r="160" spans="1:9" x14ac:dyDescent="0.25">
      <c r="A160" t="s">
        <v>1672</v>
      </c>
      <c r="B160" s="17" t="s">
        <v>929</v>
      </c>
      <c r="C160" s="17">
        <v>0</v>
      </c>
      <c r="D160" s="17">
        <v>2</v>
      </c>
    </row>
  </sheetData>
  <mergeCells count="15">
    <mergeCell ref="IJ1:JG1"/>
    <mergeCell ref="HP1:II1"/>
    <mergeCell ref="GV1:HO1"/>
    <mergeCell ref="B83:D83"/>
    <mergeCell ref="CV1:DO1"/>
    <mergeCell ref="GB1:GU1"/>
    <mergeCell ref="DP1:EM1"/>
    <mergeCell ref="EN1:FC1"/>
    <mergeCell ref="FD1:FG1"/>
    <mergeCell ref="FH1:GA1"/>
    <mergeCell ref="B1:U1"/>
    <mergeCell ref="V1:AM1"/>
    <mergeCell ref="AN1:BG1"/>
    <mergeCell ref="BH1:CA1"/>
    <mergeCell ref="CB1:CU1"/>
  </mergeCells>
  <phoneticPr fontId="10" type="noConversion"/>
  <pageMargins left="0.7" right="0.7" top="0.78740157499999996" bottom="0.78740157499999996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F56DE-67B9-40FB-BD96-32200F2EC05F}">
  <dimension ref="B3:Z151"/>
  <sheetViews>
    <sheetView topLeftCell="A91" zoomScale="80" zoomScaleNormal="80" workbookViewId="0">
      <selection activeCell="AD116" sqref="AD116"/>
    </sheetView>
  </sheetViews>
  <sheetFormatPr defaultRowHeight="15" x14ac:dyDescent="0.25"/>
  <cols>
    <col min="2" max="2" width="3.28515625" bestFit="1" customWidth="1"/>
    <col min="4" max="4" width="19.7109375" customWidth="1"/>
    <col min="5" max="5" width="6.5703125" customWidth="1"/>
    <col min="6" max="6" width="6.28515625" customWidth="1"/>
    <col min="7" max="7" width="6.42578125" customWidth="1"/>
    <col min="8" max="8" width="10.28515625" customWidth="1"/>
    <col min="9" max="9" width="3" bestFit="1" customWidth="1"/>
    <col min="10" max="10" width="11.42578125" customWidth="1"/>
    <col min="11" max="11" width="17.140625" customWidth="1"/>
    <col min="12" max="12" width="6.5703125" customWidth="1"/>
    <col min="13" max="13" width="6.42578125" customWidth="1"/>
    <col min="14" max="14" width="5.85546875" customWidth="1"/>
    <col min="15" max="15" width="5.140625" customWidth="1"/>
    <col min="16" max="16" width="3" bestFit="1" customWidth="1"/>
    <col min="18" max="18" width="18.85546875" customWidth="1"/>
    <col min="19" max="19" width="6.28515625" customWidth="1"/>
    <col min="20" max="20" width="6.5703125" customWidth="1"/>
    <col min="21" max="21" width="6.42578125" customWidth="1"/>
    <col min="22" max="22" width="6.140625" customWidth="1"/>
    <col min="23" max="23" width="10.140625" customWidth="1"/>
    <col min="25" max="25" width="11.85546875" customWidth="1"/>
  </cols>
  <sheetData>
    <row r="3" spans="2:19" x14ac:dyDescent="0.25">
      <c r="D3" s="11" t="s">
        <v>74</v>
      </c>
      <c r="K3" s="11" t="s">
        <v>76</v>
      </c>
      <c r="R3" s="11" t="s">
        <v>97</v>
      </c>
    </row>
    <row r="4" spans="2:19" x14ac:dyDescent="0.25">
      <c r="E4" s="11" t="s">
        <v>2</v>
      </c>
      <c r="F4" s="11" t="s">
        <v>3</v>
      </c>
      <c r="G4" s="51" t="s">
        <v>4</v>
      </c>
      <c r="L4" s="11" t="s">
        <v>2</v>
      </c>
      <c r="M4" s="11" t="s">
        <v>3</v>
      </c>
      <c r="N4" s="51" t="s">
        <v>4</v>
      </c>
      <c r="S4" s="51" t="s">
        <v>98</v>
      </c>
    </row>
    <row r="5" spans="2:19" x14ac:dyDescent="0.25">
      <c r="B5" s="12">
        <v>1</v>
      </c>
      <c r="D5" t="s">
        <v>227</v>
      </c>
      <c r="E5" s="22">
        <v>4</v>
      </c>
      <c r="F5" s="22">
        <v>1</v>
      </c>
      <c r="G5" s="52">
        <f t="shared" ref="G5:G21" si="0">E5+F5</f>
        <v>5</v>
      </c>
      <c r="I5" s="9">
        <v>1</v>
      </c>
      <c r="K5" t="s">
        <v>324</v>
      </c>
      <c r="L5" s="22">
        <v>3</v>
      </c>
      <c r="M5" s="22">
        <v>0</v>
      </c>
      <c r="N5" s="52">
        <f t="shared" ref="N5:N11" si="1">L5+M5</f>
        <v>3</v>
      </c>
      <c r="P5" s="9">
        <v>1</v>
      </c>
      <c r="R5" t="s">
        <v>13</v>
      </c>
      <c r="S5" s="52">
        <v>4</v>
      </c>
    </row>
    <row r="6" spans="2:19" x14ac:dyDescent="0.25">
      <c r="B6" s="12">
        <v>2</v>
      </c>
      <c r="D6" t="s">
        <v>36</v>
      </c>
      <c r="E6" s="22">
        <v>0</v>
      </c>
      <c r="F6" s="22">
        <v>3</v>
      </c>
      <c r="G6" s="52">
        <f t="shared" si="0"/>
        <v>3</v>
      </c>
      <c r="I6" s="9">
        <v>2</v>
      </c>
      <c r="K6" t="s">
        <v>232</v>
      </c>
      <c r="L6" s="22">
        <v>1</v>
      </c>
      <c r="M6" s="22">
        <v>0</v>
      </c>
      <c r="N6" s="52">
        <f t="shared" si="1"/>
        <v>1</v>
      </c>
      <c r="P6" s="9">
        <v>2</v>
      </c>
      <c r="R6" t="s">
        <v>1178</v>
      </c>
      <c r="S6" s="52">
        <v>3</v>
      </c>
    </row>
    <row r="7" spans="2:19" x14ac:dyDescent="0.25">
      <c r="B7" s="12">
        <v>3</v>
      </c>
      <c r="D7" t="s">
        <v>255</v>
      </c>
      <c r="E7" s="22">
        <v>2</v>
      </c>
      <c r="F7" s="22">
        <v>0</v>
      </c>
      <c r="G7" s="52">
        <f t="shared" si="0"/>
        <v>2</v>
      </c>
      <c r="I7" s="9">
        <v>3</v>
      </c>
      <c r="K7" t="s">
        <v>446</v>
      </c>
      <c r="L7" s="22">
        <v>1</v>
      </c>
      <c r="M7" s="22">
        <v>0</v>
      </c>
      <c r="N7" s="52">
        <f t="shared" si="1"/>
        <v>1</v>
      </c>
      <c r="P7" s="9">
        <v>3</v>
      </c>
      <c r="R7" t="s">
        <v>8</v>
      </c>
      <c r="S7" s="52">
        <v>2</v>
      </c>
    </row>
    <row r="8" spans="2:19" x14ac:dyDescent="0.25">
      <c r="B8" s="12">
        <v>4</v>
      </c>
      <c r="D8" t="s">
        <v>434</v>
      </c>
      <c r="E8" s="22">
        <v>1</v>
      </c>
      <c r="F8" s="22">
        <v>1</v>
      </c>
      <c r="G8" s="52">
        <f t="shared" si="0"/>
        <v>2</v>
      </c>
      <c r="I8" s="9">
        <v>4</v>
      </c>
      <c r="K8" t="s">
        <v>36</v>
      </c>
      <c r="L8" s="22">
        <v>1</v>
      </c>
      <c r="M8" s="22">
        <v>0</v>
      </c>
      <c r="N8" s="52">
        <f t="shared" si="1"/>
        <v>1</v>
      </c>
      <c r="P8" s="9">
        <v>4</v>
      </c>
      <c r="R8" t="s">
        <v>36</v>
      </c>
      <c r="S8" s="52">
        <v>1</v>
      </c>
    </row>
    <row r="9" spans="2:19" x14ac:dyDescent="0.25">
      <c r="B9" s="12">
        <v>5</v>
      </c>
      <c r="D9" t="s">
        <v>324</v>
      </c>
      <c r="E9" s="22">
        <v>1</v>
      </c>
      <c r="F9" s="22">
        <v>1</v>
      </c>
      <c r="G9" s="52">
        <f t="shared" si="0"/>
        <v>2</v>
      </c>
      <c r="I9" s="9">
        <v>5</v>
      </c>
      <c r="K9" t="s">
        <v>9</v>
      </c>
      <c r="L9" s="22">
        <v>0</v>
      </c>
      <c r="M9" s="22">
        <v>1</v>
      </c>
      <c r="N9" s="52">
        <f t="shared" si="1"/>
        <v>1</v>
      </c>
      <c r="P9" s="9">
        <v>5</v>
      </c>
      <c r="R9" t="s">
        <v>9</v>
      </c>
      <c r="S9" s="52">
        <v>1</v>
      </c>
    </row>
    <row r="10" spans="2:19" x14ac:dyDescent="0.25">
      <c r="B10" s="12">
        <v>6</v>
      </c>
      <c r="D10" t="s">
        <v>22</v>
      </c>
      <c r="E10" s="22">
        <v>1</v>
      </c>
      <c r="F10" s="22">
        <v>0</v>
      </c>
      <c r="G10" s="52">
        <f t="shared" si="0"/>
        <v>1</v>
      </c>
      <c r="I10" s="9">
        <v>6</v>
      </c>
      <c r="K10" t="s">
        <v>14</v>
      </c>
      <c r="L10" s="22">
        <v>0</v>
      </c>
      <c r="M10" s="22">
        <v>1</v>
      </c>
      <c r="N10" s="52">
        <f t="shared" si="1"/>
        <v>1</v>
      </c>
      <c r="P10" s="9">
        <v>6</v>
      </c>
      <c r="R10" t="s">
        <v>434</v>
      </c>
      <c r="S10" s="52">
        <v>1</v>
      </c>
    </row>
    <row r="11" spans="2:19" x14ac:dyDescent="0.25">
      <c r="B11" s="12">
        <v>7</v>
      </c>
      <c r="D11" t="s">
        <v>14</v>
      </c>
      <c r="E11" s="22">
        <v>1</v>
      </c>
      <c r="F11" s="22">
        <v>0</v>
      </c>
      <c r="G11" s="52">
        <f t="shared" si="0"/>
        <v>1</v>
      </c>
      <c r="I11" s="9">
        <v>7</v>
      </c>
      <c r="K11" t="s">
        <v>1182</v>
      </c>
      <c r="L11" s="22">
        <v>0</v>
      </c>
      <c r="M11" s="22">
        <v>1</v>
      </c>
      <c r="N11" s="52">
        <f t="shared" si="1"/>
        <v>1</v>
      </c>
      <c r="P11" s="9">
        <v>7</v>
      </c>
      <c r="R11" t="s">
        <v>7</v>
      </c>
      <c r="S11" s="52">
        <v>1</v>
      </c>
    </row>
    <row r="12" spans="2:19" x14ac:dyDescent="0.25">
      <c r="B12" s="12">
        <v>8</v>
      </c>
      <c r="D12" t="s">
        <v>13</v>
      </c>
      <c r="E12" s="22">
        <v>1</v>
      </c>
      <c r="F12" s="22">
        <v>0</v>
      </c>
      <c r="G12" s="52">
        <f t="shared" si="0"/>
        <v>1</v>
      </c>
      <c r="I12" s="9">
        <v>8</v>
      </c>
      <c r="L12" s="22"/>
      <c r="M12" s="22"/>
      <c r="N12" s="52"/>
      <c r="P12" s="9">
        <v>8</v>
      </c>
      <c r="R12" t="s">
        <v>438</v>
      </c>
      <c r="S12" s="52">
        <v>1</v>
      </c>
    </row>
    <row r="13" spans="2:19" x14ac:dyDescent="0.25">
      <c r="B13" s="12">
        <v>9</v>
      </c>
      <c r="D13" t="s">
        <v>1705</v>
      </c>
      <c r="E13" s="22">
        <v>1</v>
      </c>
      <c r="F13" s="22">
        <v>0</v>
      </c>
      <c r="G13" s="52">
        <f t="shared" si="0"/>
        <v>1</v>
      </c>
      <c r="I13" s="9">
        <v>9</v>
      </c>
      <c r="L13" s="22"/>
      <c r="M13" s="22"/>
      <c r="N13" s="52"/>
      <c r="P13" s="9">
        <v>9</v>
      </c>
      <c r="R13" t="s">
        <v>324</v>
      </c>
      <c r="S13" s="52">
        <v>1</v>
      </c>
    </row>
    <row r="14" spans="2:19" x14ac:dyDescent="0.25">
      <c r="B14" s="12">
        <v>10</v>
      </c>
      <c r="D14" t="s">
        <v>232</v>
      </c>
      <c r="E14" s="22">
        <v>0</v>
      </c>
      <c r="F14" s="22">
        <v>1</v>
      </c>
      <c r="G14" s="52">
        <f t="shared" si="0"/>
        <v>1</v>
      </c>
      <c r="I14" s="9">
        <v>10</v>
      </c>
      <c r="L14" s="22"/>
      <c r="M14" s="22"/>
      <c r="N14" s="52"/>
      <c r="P14" s="9">
        <v>10</v>
      </c>
      <c r="S14" s="22"/>
    </row>
    <row r="15" spans="2:19" x14ac:dyDescent="0.25">
      <c r="B15" s="12">
        <v>11</v>
      </c>
      <c r="D15" t="s">
        <v>9</v>
      </c>
      <c r="E15" s="22">
        <v>0</v>
      </c>
      <c r="F15" s="22">
        <v>1</v>
      </c>
      <c r="G15" s="52">
        <f t="shared" si="0"/>
        <v>1</v>
      </c>
      <c r="L15" s="22"/>
      <c r="M15" s="22"/>
      <c r="N15" s="52"/>
      <c r="S15" s="22"/>
    </row>
    <row r="16" spans="2:19" x14ac:dyDescent="0.25">
      <c r="B16" s="12">
        <v>12</v>
      </c>
      <c r="D16" t="s">
        <v>8</v>
      </c>
      <c r="E16" s="22">
        <v>0</v>
      </c>
      <c r="F16" s="22">
        <v>1</v>
      </c>
      <c r="G16" s="52">
        <f t="shared" si="0"/>
        <v>1</v>
      </c>
    </row>
    <row r="17" spans="2:23" x14ac:dyDescent="0.25">
      <c r="B17" s="12">
        <v>13</v>
      </c>
      <c r="D17" t="s">
        <v>438</v>
      </c>
      <c r="E17" s="22">
        <v>0</v>
      </c>
      <c r="F17" s="22">
        <v>1</v>
      </c>
      <c r="G17" s="52">
        <f t="shared" si="0"/>
        <v>1</v>
      </c>
    </row>
    <row r="18" spans="2:23" x14ac:dyDescent="0.25">
      <c r="B18" s="12">
        <v>14</v>
      </c>
      <c r="D18" t="s">
        <v>1182</v>
      </c>
      <c r="E18" s="22">
        <v>0</v>
      </c>
      <c r="F18" s="22">
        <v>1</v>
      </c>
      <c r="G18" s="52">
        <f t="shared" si="0"/>
        <v>1</v>
      </c>
    </row>
    <row r="19" spans="2:23" x14ac:dyDescent="0.25">
      <c r="B19" s="12">
        <v>15</v>
      </c>
      <c r="D19" t="s">
        <v>436</v>
      </c>
      <c r="E19" s="22">
        <v>0</v>
      </c>
      <c r="F19" s="22">
        <v>1</v>
      </c>
      <c r="G19" s="52">
        <f t="shared" si="0"/>
        <v>1</v>
      </c>
    </row>
    <row r="20" spans="2:23" x14ac:dyDescent="0.25">
      <c r="B20" s="12">
        <v>16</v>
      </c>
      <c r="D20" t="s">
        <v>1678</v>
      </c>
      <c r="E20" s="22">
        <v>0</v>
      </c>
      <c r="F20" s="22">
        <v>1</v>
      </c>
      <c r="G20" s="52">
        <f t="shared" si="0"/>
        <v>1</v>
      </c>
    </row>
    <row r="21" spans="2:23" x14ac:dyDescent="0.25">
      <c r="B21" s="12">
        <v>17</v>
      </c>
      <c r="D21" t="s">
        <v>1188</v>
      </c>
      <c r="E21" s="22">
        <v>0</v>
      </c>
      <c r="F21" s="22">
        <v>1</v>
      </c>
      <c r="G21" s="52">
        <f t="shared" si="0"/>
        <v>1</v>
      </c>
    </row>
    <row r="24" spans="2:23" x14ac:dyDescent="0.25">
      <c r="D24" s="11" t="s">
        <v>99</v>
      </c>
      <c r="K24" s="11" t="s">
        <v>100</v>
      </c>
    </row>
    <row r="25" spans="2:23" x14ac:dyDescent="0.25">
      <c r="E25" s="51" t="s">
        <v>98</v>
      </c>
      <c r="L25" s="51" t="s">
        <v>98</v>
      </c>
    </row>
    <row r="26" spans="2:23" x14ac:dyDescent="0.25">
      <c r="B26" s="9">
        <v>1</v>
      </c>
      <c r="D26" t="s">
        <v>13</v>
      </c>
      <c r="E26" s="31">
        <v>3</v>
      </c>
      <c r="I26" s="9">
        <v>1</v>
      </c>
      <c r="K26" t="s">
        <v>8</v>
      </c>
      <c r="L26" s="52">
        <v>1</v>
      </c>
    </row>
    <row r="27" spans="2:23" x14ac:dyDescent="0.25">
      <c r="B27" s="9">
        <v>2</v>
      </c>
      <c r="D27" t="s">
        <v>8</v>
      </c>
      <c r="E27" s="52">
        <v>1</v>
      </c>
      <c r="I27" s="9">
        <v>2</v>
      </c>
      <c r="K27" t="s">
        <v>13</v>
      </c>
      <c r="L27" s="31">
        <v>1</v>
      </c>
    </row>
    <row r="30" spans="2:23" x14ac:dyDescent="0.25">
      <c r="D30" s="30" t="s">
        <v>205</v>
      </c>
      <c r="R30" s="18" t="s">
        <v>207</v>
      </c>
    </row>
    <row r="31" spans="2:23" x14ac:dyDescent="0.25">
      <c r="D31" s="18" t="s">
        <v>0</v>
      </c>
      <c r="E31" s="18" t="s">
        <v>2</v>
      </c>
      <c r="F31" s="18" t="s">
        <v>3</v>
      </c>
      <c r="G31" s="32" t="s">
        <v>4</v>
      </c>
      <c r="H31" s="18" t="s">
        <v>206</v>
      </c>
      <c r="I31" s="120" t="s">
        <v>165</v>
      </c>
      <c r="J31" s="120"/>
      <c r="K31" s="120"/>
      <c r="R31" s="18" t="s">
        <v>0</v>
      </c>
      <c r="S31" s="18" t="s">
        <v>1</v>
      </c>
      <c r="T31" s="18" t="s">
        <v>2</v>
      </c>
      <c r="U31" s="18" t="s">
        <v>3</v>
      </c>
      <c r="V31" s="32" t="s">
        <v>4</v>
      </c>
      <c r="W31" s="18" t="s">
        <v>206</v>
      </c>
    </row>
    <row r="32" spans="2:23" x14ac:dyDescent="0.25">
      <c r="B32" s="9">
        <v>1</v>
      </c>
      <c r="D32" t="s">
        <v>8</v>
      </c>
      <c r="E32" s="17">
        <v>5</v>
      </c>
      <c r="F32" s="17">
        <v>2</v>
      </c>
      <c r="G32" s="31">
        <f t="shared" ref="G32:G37" si="2">E32+F32</f>
        <v>7</v>
      </c>
      <c r="H32" s="17" t="s">
        <v>473</v>
      </c>
      <c r="I32" s="111" t="s">
        <v>753</v>
      </c>
      <c r="J32" s="111"/>
      <c r="K32" s="111"/>
      <c r="P32" s="9">
        <v>1</v>
      </c>
      <c r="R32" t="s">
        <v>324</v>
      </c>
      <c r="S32" s="17">
        <v>12</v>
      </c>
      <c r="T32" s="17">
        <v>16</v>
      </c>
      <c r="U32" s="17">
        <v>21</v>
      </c>
      <c r="V32" s="31">
        <f t="shared" ref="V32:V33" si="3">T32+U32</f>
        <v>37</v>
      </c>
      <c r="W32" s="17" t="s">
        <v>473</v>
      </c>
    </row>
    <row r="33" spans="2:23" x14ac:dyDescent="0.25">
      <c r="B33" s="9">
        <v>2</v>
      </c>
      <c r="D33" t="s">
        <v>13</v>
      </c>
      <c r="E33" s="17">
        <v>5</v>
      </c>
      <c r="F33" s="17">
        <v>2</v>
      </c>
      <c r="G33" s="31">
        <f t="shared" si="2"/>
        <v>7</v>
      </c>
      <c r="H33" s="17" t="s">
        <v>473</v>
      </c>
      <c r="I33" s="103" t="s">
        <v>1119</v>
      </c>
      <c r="J33" s="103"/>
      <c r="K33" s="103"/>
      <c r="P33" s="9">
        <v>2</v>
      </c>
      <c r="R33" t="s">
        <v>13</v>
      </c>
      <c r="S33" s="17">
        <v>5</v>
      </c>
      <c r="T33" s="17">
        <v>18</v>
      </c>
      <c r="U33" s="17">
        <v>7</v>
      </c>
      <c r="V33" s="31">
        <f t="shared" si="3"/>
        <v>25</v>
      </c>
      <c r="W33" s="17" t="s">
        <v>473</v>
      </c>
    </row>
    <row r="34" spans="2:23" x14ac:dyDescent="0.25">
      <c r="B34" s="9">
        <v>3</v>
      </c>
      <c r="D34" t="s">
        <v>324</v>
      </c>
      <c r="E34" s="17">
        <v>1</v>
      </c>
      <c r="F34" s="17">
        <v>6</v>
      </c>
      <c r="G34" s="31">
        <f t="shared" si="2"/>
        <v>7</v>
      </c>
      <c r="H34" s="17" t="s">
        <v>473</v>
      </c>
      <c r="I34" s="103" t="s">
        <v>753</v>
      </c>
      <c r="J34" s="103"/>
      <c r="K34" s="103"/>
      <c r="P34" s="9">
        <v>3</v>
      </c>
      <c r="R34" t="s">
        <v>8</v>
      </c>
      <c r="S34" s="17">
        <v>6</v>
      </c>
      <c r="T34" s="17">
        <v>14</v>
      </c>
      <c r="U34" s="17">
        <v>7</v>
      </c>
      <c r="V34" s="31">
        <f t="shared" ref="V34:V41" si="4">T34+U34</f>
        <v>21</v>
      </c>
      <c r="W34" s="17" t="s">
        <v>473</v>
      </c>
    </row>
    <row r="35" spans="2:23" x14ac:dyDescent="0.25">
      <c r="B35" s="9">
        <v>4</v>
      </c>
      <c r="D35" t="s">
        <v>324</v>
      </c>
      <c r="E35" s="17">
        <v>1</v>
      </c>
      <c r="F35" s="17">
        <v>6</v>
      </c>
      <c r="G35" s="31">
        <f t="shared" si="2"/>
        <v>7</v>
      </c>
      <c r="H35" s="17" t="s">
        <v>473</v>
      </c>
      <c r="I35" s="103" t="s">
        <v>1064</v>
      </c>
      <c r="J35" s="103"/>
      <c r="K35" s="103"/>
      <c r="P35" s="9">
        <v>4</v>
      </c>
      <c r="R35" t="s">
        <v>1178</v>
      </c>
      <c r="S35" s="17">
        <v>11</v>
      </c>
      <c r="T35" s="17">
        <v>13</v>
      </c>
      <c r="U35" s="17">
        <v>8</v>
      </c>
      <c r="V35" s="31">
        <f t="shared" si="4"/>
        <v>21</v>
      </c>
      <c r="W35" s="17" t="s">
        <v>1154</v>
      </c>
    </row>
    <row r="36" spans="2:23" x14ac:dyDescent="0.25">
      <c r="B36" s="9">
        <v>5</v>
      </c>
      <c r="D36" t="s">
        <v>13</v>
      </c>
      <c r="E36" s="17">
        <v>4</v>
      </c>
      <c r="F36" s="17">
        <v>2</v>
      </c>
      <c r="G36" s="31">
        <f t="shared" si="2"/>
        <v>6</v>
      </c>
      <c r="H36" s="17" t="s">
        <v>473</v>
      </c>
      <c r="I36" s="103" t="s">
        <v>774</v>
      </c>
      <c r="J36" s="103"/>
      <c r="K36" s="103"/>
      <c r="P36" s="9">
        <v>5</v>
      </c>
      <c r="R36" t="s">
        <v>36</v>
      </c>
      <c r="S36" s="17">
        <v>16</v>
      </c>
      <c r="T36" s="17">
        <v>11</v>
      </c>
      <c r="U36" s="17">
        <v>8</v>
      </c>
      <c r="V36" s="31">
        <f t="shared" si="4"/>
        <v>19</v>
      </c>
      <c r="W36" s="17" t="s">
        <v>473</v>
      </c>
    </row>
    <row r="37" spans="2:23" x14ac:dyDescent="0.25">
      <c r="B37" s="9">
        <v>6</v>
      </c>
      <c r="D37" t="s">
        <v>434</v>
      </c>
      <c r="E37" s="17">
        <v>3</v>
      </c>
      <c r="F37" s="17">
        <v>2</v>
      </c>
      <c r="G37" s="31">
        <f t="shared" si="2"/>
        <v>5</v>
      </c>
      <c r="H37" s="17" t="s">
        <v>473</v>
      </c>
      <c r="I37" s="103" t="s">
        <v>1042</v>
      </c>
      <c r="J37" s="103"/>
      <c r="K37" s="103"/>
      <c r="P37" s="9">
        <v>6</v>
      </c>
      <c r="R37" t="s">
        <v>324</v>
      </c>
      <c r="S37" s="17">
        <v>8</v>
      </c>
      <c r="T37" s="17">
        <v>12</v>
      </c>
      <c r="U37" s="17">
        <v>5</v>
      </c>
      <c r="V37" s="31">
        <f t="shared" si="4"/>
        <v>17</v>
      </c>
      <c r="W37" s="17" t="s">
        <v>1154</v>
      </c>
    </row>
    <row r="38" spans="2:23" x14ac:dyDescent="0.25">
      <c r="B38" s="9">
        <v>7</v>
      </c>
      <c r="D38" t="s">
        <v>36</v>
      </c>
      <c r="E38" s="17">
        <v>2</v>
      </c>
      <c r="F38" s="17">
        <v>3</v>
      </c>
      <c r="G38" s="31">
        <f t="shared" ref="G38:G39" si="5">E38+F38</f>
        <v>5</v>
      </c>
      <c r="H38" s="17" t="s">
        <v>473</v>
      </c>
      <c r="I38" s="103" t="s">
        <v>1103</v>
      </c>
      <c r="J38" s="103"/>
      <c r="K38" s="103"/>
      <c r="P38" s="9">
        <v>7</v>
      </c>
      <c r="R38" t="s">
        <v>227</v>
      </c>
      <c r="S38" s="17">
        <v>18</v>
      </c>
      <c r="T38" s="17">
        <v>6</v>
      </c>
      <c r="U38" s="17">
        <v>10</v>
      </c>
      <c r="V38" s="31">
        <f t="shared" si="4"/>
        <v>16</v>
      </c>
      <c r="W38" s="17" t="s">
        <v>473</v>
      </c>
    </row>
    <row r="39" spans="2:23" x14ac:dyDescent="0.25">
      <c r="B39" s="9">
        <v>8</v>
      </c>
      <c r="D39" t="s">
        <v>13</v>
      </c>
      <c r="E39" s="17">
        <v>2</v>
      </c>
      <c r="F39" s="17">
        <v>3</v>
      </c>
      <c r="G39" s="31">
        <f t="shared" si="5"/>
        <v>5</v>
      </c>
      <c r="H39" s="17" t="s">
        <v>473</v>
      </c>
      <c r="I39" s="103" t="s">
        <v>1105</v>
      </c>
      <c r="J39" s="103"/>
      <c r="K39" s="103"/>
      <c r="P39" s="9">
        <v>8</v>
      </c>
      <c r="R39" t="s">
        <v>1188</v>
      </c>
      <c r="S39" s="17">
        <v>13</v>
      </c>
      <c r="T39" s="17">
        <v>8</v>
      </c>
      <c r="U39" s="17">
        <v>6</v>
      </c>
      <c r="V39" s="31">
        <f t="shared" si="4"/>
        <v>14</v>
      </c>
      <c r="W39" s="17" t="s">
        <v>1154</v>
      </c>
    </row>
    <row r="40" spans="2:23" x14ac:dyDescent="0.25">
      <c r="B40" s="9">
        <v>9</v>
      </c>
      <c r="D40" t="s">
        <v>434</v>
      </c>
      <c r="E40" s="17">
        <v>2</v>
      </c>
      <c r="F40" s="17">
        <v>3</v>
      </c>
      <c r="G40" s="31">
        <f t="shared" ref="G40:G45" si="6">E40+F40</f>
        <v>5</v>
      </c>
      <c r="H40" s="17" t="s">
        <v>1154</v>
      </c>
      <c r="I40" s="103" t="s">
        <v>1255</v>
      </c>
      <c r="J40" s="103"/>
      <c r="K40" s="103"/>
      <c r="P40" s="9">
        <v>9</v>
      </c>
      <c r="R40" t="s">
        <v>434</v>
      </c>
      <c r="S40" s="17">
        <v>8</v>
      </c>
      <c r="T40" s="17">
        <v>6</v>
      </c>
      <c r="U40" s="17">
        <v>8</v>
      </c>
      <c r="V40" s="31">
        <f t="shared" si="4"/>
        <v>14</v>
      </c>
      <c r="W40" s="17" t="s">
        <v>473</v>
      </c>
    </row>
    <row r="41" spans="2:23" x14ac:dyDescent="0.25">
      <c r="B41" s="9">
        <v>10</v>
      </c>
      <c r="D41" t="s">
        <v>13</v>
      </c>
      <c r="E41" s="17">
        <v>4</v>
      </c>
      <c r="F41" s="17">
        <v>0</v>
      </c>
      <c r="G41" s="31">
        <f t="shared" si="6"/>
        <v>4</v>
      </c>
      <c r="H41" s="17" t="s">
        <v>473</v>
      </c>
      <c r="I41" s="103" t="s">
        <v>1120</v>
      </c>
      <c r="J41" s="103"/>
      <c r="K41" s="103"/>
      <c r="P41" s="9">
        <v>10</v>
      </c>
      <c r="R41" t="s">
        <v>434</v>
      </c>
      <c r="S41" s="17">
        <v>7</v>
      </c>
      <c r="T41" s="17">
        <v>6</v>
      </c>
      <c r="U41" s="17">
        <v>7</v>
      </c>
      <c r="V41" s="31">
        <f t="shared" si="4"/>
        <v>13</v>
      </c>
      <c r="W41" s="17" t="s">
        <v>1154</v>
      </c>
    </row>
    <row r="42" spans="2:23" x14ac:dyDescent="0.25">
      <c r="D42" t="s">
        <v>438</v>
      </c>
      <c r="E42" s="17">
        <v>3</v>
      </c>
      <c r="F42" s="17">
        <v>1</v>
      </c>
      <c r="G42" s="31">
        <f t="shared" si="6"/>
        <v>4</v>
      </c>
      <c r="H42" s="17" t="s">
        <v>473</v>
      </c>
      <c r="I42" s="103" t="s">
        <v>1105</v>
      </c>
      <c r="J42" s="103"/>
      <c r="K42" s="103"/>
    </row>
    <row r="43" spans="2:23" x14ac:dyDescent="0.25">
      <c r="D43" t="s">
        <v>9</v>
      </c>
      <c r="E43" s="17">
        <v>3</v>
      </c>
      <c r="F43" s="17">
        <v>1</v>
      </c>
      <c r="G43" s="31">
        <f t="shared" si="6"/>
        <v>4</v>
      </c>
      <c r="H43" s="17" t="s">
        <v>473</v>
      </c>
      <c r="I43" s="103" t="s">
        <v>1004</v>
      </c>
      <c r="J43" s="103"/>
      <c r="K43" s="103"/>
    </row>
    <row r="44" spans="2:23" x14ac:dyDescent="0.25">
      <c r="D44" t="s">
        <v>8</v>
      </c>
      <c r="E44" s="17">
        <v>3</v>
      </c>
      <c r="F44" s="17">
        <v>1</v>
      </c>
      <c r="G44" s="31">
        <f t="shared" si="6"/>
        <v>4</v>
      </c>
      <c r="H44" s="17" t="s">
        <v>473</v>
      </c>
      <c r="I44" s="103" t="s">
        <v>1062</v>
      </c>
      <c r="J44" s="103"/>
      <c r="K44" s="103"/>
      <c r="R44" s="120" t="s">
        <v>1345</v>
      </c>
      <c r="S44" s="120"/>
    </row>
    <row r="45" spans="2:23" x14ac:dyDescent="0.25">
      <c r="D45" t="s">
        <v>7</v>
      </c>
      <c r="E45" s="17">
        <v>3</v>
      </c>
      <c r="F45" s="17">
        <v>1</v>
      </c>
      <c r="G45" s="31">
        <f t="shared" si="6"/>
        <v>4</v>
      </c>
      <c r="H45" s="17" t="s">
        <v>473</v>
      </c>
      <c r="I45" s="103" t="s">
        <v>1064</v>
      </c>
      <c r="J45" s="103"/>
      <c r="K45" s="103"/>
      <c r="R45" s="18" t="s">
        <v>0</v>
      </c>
      <c r="S45" s="18" t="s">
        <v>1</v>
      </c>
      <c r="T45" s="71" t="s">
        <v>3</v>
      </c>
      <c r="U45" s="120" t="s">
        <v>206</v>
      </c>
      <c r="V45" s="120"/>
    </row>
    <row r="46" spans="2:23" x14ac:dyDescent="0.25">
      <c r="D46" t="s">
        <v>1178</v>
      </c>
      <c r="E46" s="17">
        <v>3</v>
      </c>
      <c r="F46" s="17">
        <v>1</v>
      </c>
      <c r="G46" s="31">
        <f t="shared" ref="G46" si="7">E46+F46</f>
        <v>4</v>
      </c>
      <c r="H46" s="17" t="s">
        <v>1154</v>
      </c>
      <c r="I46" s="103" t="s">
        <v>1207</v>
      </c>
      <c r="J46" s="103"/>
      <c r="K46" s="103"/>
      <c r="P46" s="9">
        <v>1</v>
      </c>
      <c r="R46" t="s">
        <v>324</v>
      </c>
      <c r="S46" s="17">
        <v>12</v>
      </c>
      <c r="T46" s="72">
        <v>21</v>
      </c>
      <c r="U46" s="103" t="s">
        <v>473</v>
      </c>
      <c r="V46" s="103"/>
    </row>
    <row r="47" spans="2:23" x14ac:dyDescent="0.25">
      <c r="D47" t="s">
        <v>7</v>
      </c>
      <c r="E47" s="17">
        <v>2</v>
      </c>
      <c r="F47" s="17">
        <v>2</v>
      </c>
      <c r="G47" s="31">
        <f t="shared" ref="G47:G52" si="8">E47+F47</f>
        <v>4</v>
      </c>
      <c r="H47" s="17" t="s">
        <v>473</v>
      </c>
      <c r="I47" s="103" t="s">
        <v>774</v>
      </c>
      <c r="J47" s="103"/>
      <c r="K47" s="103"/>
      <c r="P47" s="9">
        <v>2</v>
      </c>
      <c r="R47" t="s">
        <v>227</v>
      </c>
      <c r="S47" s="17">
        <v>18</v>
      </c>
      <c r="T47" s="72">
        <v>10</v>
      </c>
      <c r="U47" s="103" t="s">
        <v>473</v>
      </c>
      <c r="V47" s="103"/>
    </row>
    <row r="48" spans="2:23" x14ac:dyDescent="0.25">
      <c r="D48" t="s">
        <v>225</v>
      </c>
      <c r="E48" s="17">
        <v>2</v>
      </c>
      <c r="F48" s="17">
        <v>2</v>
      </c>
      <c r="G48" s="31">
        <f t="shared" si="8"/>
        <v>4</v>
      </c>
      <c r="H48" s="17" t="s">
        <v>473</v>
      </c>
      <c r="I48" s="103" t="s">
        <v>753</v>
      </c>
      <c r="J48" s="103"/>
      <c r="K48" s="103"/>
      <c r="P48" s="9">
        <v>3</v>
      </c>
      <c r="R48" t="s">
        <v>1347</v>
      </c>
      <c r="S48" s="17">
        <v>8</v>
      </c>
      <c r="T48" s="72">
        <v>8</v>
      </c>
      <c r="U48" s="103" t="s">
        <v>473</v>
      </c>
      <c r="V48" s="103"/>
    </row>
    <row r="49" spans="2:26" x14ac:dyDescent="0.25">
      <c r="D49" t="s">
        <v>1063</v>
      </c>
      <c r="E49" s="17">
        <v>2</v>
      </c>
      <c r="F49" s="17">
        <v>2</v>
      </c>
      <c r="G49" s="31">
        <f t="shared" si="8"/>
        <v>4</v>
      </c>
      <c r="H49" s="17" t="s">
        <v>473</v>
      </c>
      <c r="I49" s="103" t="s">
        <v>1064</v>
      </c>
      <c r="J49" s="103"/>
      <c r="K49" s="103"/>
      <c r="P49" s="9">
        <v>4</v>
      </c>
      <c r="R49" t="s">
        <v>1178</v>
      </c>
      <c r="S49" s="17">
        <v>10</v>
      </c>
      <c r="T49" s="72">
        <v>8</v>
      </c>
      <c r="U49" s="103" t="s">
        <v>1154</v>
      </c>
      <c r="V49" s="103"/>
    </row>
    <row r="50" spans="2:26" x14ac:dyDescent="0.25">
      <c r="D50" t="s">
        <v>324</v>
      </c>
      <c r="E50" s="17">
        <v>2</v>
      </c>
      <c r="F50" s="17">
        <v>2</v>
      </c>
      <c r="G50" s="31">
        <f t="shared" si="8"/>
        <v>4</v>
      </c>
      <c r="H50" s="17" t="s">
        <v>473</v>
      </c>
      <c r="I50" s="103" t="s">
        <v>1103</v>
      </c>
      <c r="J50" s="103"/>
      <c r="K50" s="103"/>
      <c r="P50" s="9">
        <v>5</v>
      </c>
      <c r="R50" t="s">
        <v>1182</v>
      </c>
      <c r="S50" s="17">
        <v>15</v>
      </c>
      <c r="T50" s="72">
        <v>8</v>
      </c>
      <c r="U50" s="103" t="s">
        <v>1154</v>
      </c>
      <c r="V50" s="103"/>
    </row>
    <row r="51" spans="2:26" x14ac:dyDescent="0.25">
      <c r="D51" t="s">
        <v>8</v>
      </c>
      <c r="E51" s="17">
        <v>2</v>
      </c>
      <c r="F51" s="17">
        <v>2</v>
      </c>
      <c r="G51" s="31">
        <f t="shared" si="8"/>
        <v>4</v>
      </c>
      <c r="H51" s="17" t="s">
        <v>473</v>
      </c>
      <c r="I51" s="103" t="s">
        <v>1120</v>
      </c>
      <c r="J51" s="103"/>
      <c r="K51" s="103"/>
      <c r="P51" s="9">
        <v>6</v>
      </c>
      <c r="R51" t="s">
        <v>36</v>
      </c>
      <c r="S51" s="17">
        <v>16</v>
      </c>
      <c r="T51" s="72">
        <v>8</v>
      </c>
      <c r="U51" s="103" t="s">
        <v>473</v>
      </c>
      <c r="V51" s="103"/>
    </row>
    <row r="52" spans="2:26" x14ac:dyDescent="0.25">
      <c r="D52" t="s">
        <v>1178</v>
      </c>
      <c r="E52" s="17">
        <v>1</v>
      </c>
      <c r="F52" s="17">
        <v>3</v>
      </c>
      <c r="G52" s="31">
        <f t="shared" si="8"/>
        <v>4</v>
      </c>
      <c r="H52" s="17" t="s">
        <v>1154</v>
      </c>
      <c r="I52" s="103" t="s">
        <v>1183</v>
      </c>
      <c r="J52" s="103"/>
      <c r="K52" s="103"/>
      <c r="P52" s="9">
        <v>7</v>
      </c>
      <c r="R52" t="s">
        <v>13</v>
      </c>
      <c r="S52" s="17">
        <v>5</v>
      </c>
      <c r="T52" s="72">
        <v>7</v>
      </c>
      <c r="U52" s="103" t="s">
        <v>473</v>
      </c>
      <c r="V52" s="103"/>
    </row>
    <row r="53" spans="2:26" x14ac:dyDescent="0.25">
      <c r="P53" s="9">
        <v>8</v>
      </c>
      <c r="R53" t="s">
        <v>8</v>
      </c>
      <c r="S53" s="17">
        <v>6</v>
      </c>
      <c r="T53" s="72">
        <v>7</v>
      </c>
      <c r="U53" s="103" t="s">
        <v>473</v>
      </c>
      <c r="V53" s="103"/>
    </row>
    <row r="54" spans="2:26" x14ac:dyDescent="0.25">
      <c r="P54" s="9">
        <v>9</v>
      </c>
      <c r="R54" t="s">
        <v>434</v>
      </c>
      <c r="S54" s="17">
        <v>7</v>
      </c>
      <c r="T54" s="72">
        <v>7</v>
      </c>
      <c r="U54" s="103" t="s">
        <v>1154</v>
      </c>
      <c r="V54" s="103"/>
    </row>
    <row r="55" spans="2:26" x14ac:dyDescent="0.25">
      <c r="D55" s="30" t="s">
        <v>1346</v>
      </c>
      <c r="E55" s="41"/>
      <c r="P55" s="9">
        <v>10</v>
      </c>
      <c r="R55" t="s">
        <v>7</v>
      </c>
      <c r="S55" s="17">
        <v>5</v>
      </c>
      <c r="T55" s="72">
        <v>6</v>
      </c>
      <c r="U55" s="103" t="s">
        <v>473</v>
      </c>
      <c r="V55" s="103"/>
      <c r="Z55" s="41"/>
    </row>
    <row r="56" spans="2:26" x14ac:dyDescent="0.25">
      <c r="D56" s="18" t="s">
        <v>0</v>
      </c>
      <c r="E56" s="18" t="s">
        <v>1</v>
      </c>
      <c r="F56" s="71" t="s">
        <v>2</v>
      </c>
      <c r="G56" s="120" t="s">
        <v>206</v>
      </c>
      <c r="H56" s="120"/>
      <c r="R56" t="s">
        <v>1188</v>
      </c>
      <c r="S56" s="17">
        <v>13</v>
      </c>
      <c r="T56" s="72">
        <v>6</v>
      </c>
      <c r="U56" s="103" t="s">
        <v>1154</v>
      </c>
      <c r="V56" s="103"/>
    </row>
    <row r="57" spans="2:26" x14ac:dyDescent="0.25">
      <c r="B57" s="9">
        <v>1</v>
      </c>
      <c r="D57" t="s">
        <v>13</v>
      </c>
      <c r="E57" s="17">
        <v>5</v>
      </c>
      <c r="F57" s="72">
        <v>18</v>
      </c>
      <c r="G57" s="103" t="s">
        <v>473</v>
      </c>
      <c r="H57" s="103"/>
    </row>
    <row r="58" spans="2:26" x14ac:dyDescent="0.25">
      <c r="B58" s="9">
        <v>2</v>
      </c>
      <c r="D58" t="s">
        <v>324</v>
      </c>
      <c r="E58" s="17">
        <v>12</v>
      </c>
      <c r="F58" s="72">
        <v>16</v>
      </c>
      <c r="G58" s="103" t="s">
        <v>473</v>
      </c>
      <c r="H58" s="103"/>
    </row>
    <row r="59" spans="2:26" x14ac:dyDescent="0.25">
      <c r="B59" s="9">
        <v>3</v>
      </c>
      <c r="D59" t="s">
        <v>8</v>
      </c>
      <c r="E59" s="17">
        <v>6</v>
      </c>
      <c r="F59" s="72">
        <v>14</v>
      </c>
      <c r="G59" s="103" t="s">
        <v>473</v>
      </c>
      <c r="H59" s="103"/>
      <c r="R59" s="132" t="s">
        <v>461</v>
      </c>
      <c r="S59" s="132"/>
    </row>
    <row r="60" spans="2:26" x14ac:dyDescent="0.25">
      <c r="B60" s="9">
        <v>4</v>
      </c>
      <c r="D60" t="s">
        <v>1178</v>
      </c>
      <c r="E60" s="17">
        <v>10</v>
      </c>
      <c r="F60" s="72">
        <v>13</v>
      </c>
      <c r="G60" s="103" t="s">
        <v>1154</v>
      </c>
      <c r="H60" s="103"/>
      <c r="R60" s="18" t="s">
        <v>0</v>
      </c>
      <c r="S60" s="127" t="s">
        <v>266</v>
      </c>
      <c r="T60" s="127"/>
      <c r="U60" s="120" t="s">
        <v>267</v>
      </c>
      <c r="V60" s="120"/>
      <c r="W60" s="120" t="s">
        <v>165</v>
      </c>
      <c r="X60" s="120"/>
      <c r="Y60" s="120"/>
    </row>
    <row r="61" spans="2:26" x14ac:dyDescent="0.25">
      <c r="B61" s="9">
        <v>5</v>
      </c>
      <c r="D61" t="s">
        <v>324</v>
      </c>
      <c r="E61" s="17">
        <v>7</v>
      </c>
      <c r="F61" s="72">
        <v>12</v>
      </c>
      <c r="G61" s="103" t="s">
        <v>1154</v>
      </c>
      <c r="H61" s="103"/>
      <c r="P61" s="9">
        <v>1</v>
      </c>
      <c r="R61" t="s">
        <v>232</v>
      </c>
      <c r="S61" s="110" t="s">
        <v>494</v>
      </c>
      <c r="T61" s="110"/>
      <c r="U61" s="118">
        <v>44871</v>
      </c>
      <c r="V61" s="118"/>
      <c r="W61" s="103" t="s">
        <v>1004</v>
      </c>
      <c r="X61" s="103"/>
      <c r="Y61" s="103"/>
    </row>
    <row r="62" spans="2:26" x14ac:dyDescent="0.25">
      <c r="B62" s="9">
        <v>6</v>
      </c>
      <c r="D62" t="s">
        <v>36</v>
      </c>
      <c r="E62" s="17">
        <v>16</v>
      </c>
      <c r="F62" s="72">
        <v>11</v>
      </c>
      <c r="G62" s="103" t="s">
        <v>473</v>
      </c>
      <c r="H62" s="103"/>
      <c r="P62" s="9">
        <v>2</v>
      </c>
      <c r="R62" t="s">
        <v>1178</v>
      </c>
      <c r="S62" s="110" t="s">
        <v>693</v>
      </c>
      <c r="T62" s="110"/>
      <c r="U62" s="118" t="s">
        <v>1257</v>
      </c>
      <c r="V62" s="118"/>
      <c r="W62" s="103" t="s">
        <v>1258</v>
      </c>
      <c r="X62" s="103"/>
      <c r="Y62" s="103"/>
    </row>
    <row r="63" spans="2:26" x14ac:dyDescent="0.25">
      <c r="B63" s="9">
        <v>7</v>
      </c>
      <c r="D63" t="s">
        <v>1188</v>
      </c>
      <c r="E63" s="17">
        <v>13</v>
      </c>
      <c r="F63" s="72">
        <v>8</v>
      </c>
      <c r="G63" s="103" t="s">
        <v>1154</v>
      </c>
      <c r="H63" s="103"/>
      <c r="P63" s="9">
        <v>3</v>
      </c>
      <c r="R63" t="s">
        <v>255</v>
      </c>
      <c r="S63" s="110" t="s">
        <v>691</v>
      </c>
      <c r="T63" s="110"/>
      <c r="U63" s="118">
        <v>44948</v>
      </c>
      <c r="V63" s="118"/>
      <c r="W63" s="103" t="s">
        <v>1064</v>
      </c>
      <c r="X63" s="103"/>
      <c r="Y63" s="103"/>
    </row>
    <row r="64" spans="2:26" x14ac:dyDescent="0.25">
      <c r="B64" s="9">
        <v>8</v>
      </c>
      <c r="D64" t="s">
        <v>446</v>
      </c>
      <c r="E64" s="17">
        <v>20</v>
      </c>
      <c r="F64" s="72">
        <v>8</v>
      </c>
      <c r="G64" s="103" t="s">
        <v>473</v>
      </c>
      <c r="H64" s="103"/>
      <c r="P64" s="9">
        <v>4</v>
      </c>
      <c r="R64" t="s">
        <v>226</v>
      </c>
      <c r="S64" s="110" t="s">
        <v>1066</v>
      </c>
      <c r="T64" s="110"/>
      <c r="U64" s="118">
        <v>44934</v>
      </c>
      <c r="V64" s="118"/>
      <c r="W64" s="103" t="s">
        <v>1062</v>
      </c>
      <c r="X64" s="103"/>
      <c r="Y64" s="103"/>
    </row>
    <row r="65" spans="2:25" x14ac:dyDescent="0.25">
      <c r="B65" s="9">
        <v>9</v>
      </c>
      <c r="D65" t="s">
        <v>434</v>
      </c>
      <c r="E65" s="17">
        <v>7</v>
      </c>
      <c r="F65" s="72">
        <v>6</v>
      </c>
      <c r="G65" s="103" t="s">
        <v>1154</v>
      </c>
      <c r="H65" s="103"/>
      <c r="P65" s="9">
        <v>5</v>
      </c>
      <c r="R65" t="s">
        <v>8</v>
      </c>
      <c r="S65" s="110" t="s">
        <v>511</v>
      </c>
      <c r="T65" s="110"/>
      <c r="U65" s="118">
        <v>44934</v>
      </c>
      <c r="V65" s="118"/>
      <c r="W65" s="103" t="s">
        <v>754</v>
      </c>
      <c r="X65" s="103"/>
      <c r="Y65" s="103"/>
    </row>
    <row r="66" spans="2:25" x14ac:dyDescent="0.25">
      <c r="B66" s="9">
        <v>10</v>
      </c>
      <c r="D66" t="s">
        <v>434</v>
      </c>
      <c r="E66" s="17">
        <v>8</v>
      </c>
      <c r="F66" s="72">
        <v>6</v>
      </c>
      <c r="G66" s="103" t="s">
        <v>473</v>
      </c>
      <c r="H66" s="103"/>
      <c r="P66" s="9">
        <v>6</v>
      </c>
      <c r="R66" t="s">
        <v>1178</v>
      </c>
      <c r="S66" s="110" t="s">
        <v>511</v>
      </c>
      <c r="T66" s="110"/>
      <c r="U66" s="118">
        <v>45256</v>
      </c>
      <c r="V66" s="118"/>
      <c r="W66" s="103" t="s">
        <v>1209</v>
      </c>
      <c r="X66" s="103"/>
      <c r="Y66" s="103"/>
    </row>
    <row r="67" spans="2:25" x14ac:dyDescent="0.25">
      <c r="D67" t="s">
        <v>227</v>
      </c>
      <c r="E67" s="17">
        <v>14</v>
      </c>
      <c r="F67" s="72">
        <v>6</v>
      </c>
      <c r="G67" s="103" t="s">
        <v>1154</v>
      </c>
      <c r="H67" s="103"/>
      <c r="P67" s="9">
        <v>7</v>
      </c>
      <c r="R67" t="s">
        <v>36</v>
      </c>
      <c r="S67" s="110" t="s">
        <v>1256</v>
      </c>
      <c r="T67" s="110"/>
      <c r="U67" s="118" t="s">
        <v>1257</v>
      </c>
      <c r="V67" s="118"/>
      <c r="W67" s="103" t="s">
        <v>1258</v>
      </c>
      <c r="X67" s="103"/>
      <c r="Y67" s="103"/>
    </row>
    <row r="68" spans="2:25" x14ac:dyDescent="0.25">
      <c r="D68" t="s">
        <v>227</v>
      </c>
      <c r="E68" s="17">
        <v>18</v>
      </c>
      <c r="F68" s="72">
        <v>6</v>
      </c>
      <c r="G68" s="103" t="s">
        <v>473</v>
      </c>
      <c r="H68" s="103"/>
      <c r="P68" s="9">
        <v>8</v>
      </c>
      <c r="R68" t="s">
        <v>13</v>
      </c>
      <c r="S68" s="110" t="s">
        <v>776</v>
      </c>
      <c r="T68" s="110"/>
      <c r="U68" s="118">
        <v>44850</v>
      </c>
      <c r="V68" s="118"/>
      <c r="W68" s="103" t="s">
        <v>774</v>
      </c>
      <c r="X68" s="103"/>
      <c r="Y68" s="103"/>
    </row>
    <row r="69" spans="2:25" x14ac:dyDescent="0.25">
      <c r="P69" s="9">
        <v>9</v>
      </c>
      <c r="R69" t="s">
        <v>13</v>
      </c>
      <c r="S69" s="110" t="s">
        <v>1106</v>
      </c>
      <c r="T69" s="110"/>
      <c r="U69" s="118">
        <v>44968</v>
      </c>
      <c r="V69" s="118"/>
      <c r="W69" s="103" t="s">
        <v>1105</v>
      </c>
      <c r="X69" s="103"/>
      <c r="Y69" s="103"/>
    </row>
    <row r="70" spans="2:25" x14ac:dyDescent="0.25">
      <c r="P70" s="9">
        <v>10</v>
      </c>
      <c r="R70" t="s">
        <v>8</v>
      </c>
      <c r="S70" s="110" t="s">
        <v>1121</v>
      </c>
      <c r="T70" s="110"/>
      <c r="U70" s="118">
        <v>45018</v>
      </c>
      <c r="V70" s="118"/>
      <c r="W70" s="103" t="s">
        <v>1119</v>
      </c>
      <c r="X70" s="103"/>
      <c r="Y70" s="103"/>
    </row>
    <row r="71" spans="2:25" x14ac:dyDescent="0.25">
      <c r="D71" s="101" t="s">
        <v>618</v>
      </c>
      <c r="E71" s="101"/>
      <c r="F71" s="101"/>
      <c r="G71" s="101"/>
    </row>
    <row r="72" spans="2:25" x14ac:dyDescent="0.25">
      <c r="D72" s="11" t="s">
        <v>0</v>
      </c>
      <c r="E72" s="51" t="s">
        <v>266</v>
      </c>
      <c r="F72" s="101" t="s">
        <v>267</v>
      </c>
      <c r="G72" s="101"/>
      <c r="H72" s="101" t="s">
        <v>165</v>
      </c>
      <c r="I72" s="101"/>
      <c r="J72" s="101"/>
      <c r="K72" s="101"/>
    </row>
    <row r="73" spans="2:25" x14ac:dyDescent="0.25">
      <c r="B73" s="9">
        <v>1</v>
      </c>
      <c r="D73" s="38" t="s">
        <v>13</v>
      </c>
      <c r="E73" s="53" t="s">
        <v>1088</v>
      </c>
      <c r="F73" s="118">
        <v>44968</v>
      </c>
      <c r="G73" s="118"/>
      <c r="H73" s="103" t="s">
        <v>1104</v>
      </c>
      <c r="I73" s="103"/>
      <c r="J73" s="103"/>
      <c r="K73" s="103"/>
      <c r="R73" s="101" t="s">
        <v>520</v>
      </c>
      <c r="S73" s="101"/>
    </row>
    <row r="74" spans="2:25" x14ac:dyDescent="0.25">
      <c r="B74" s="9">
        <v>2</v>
      </c>
      <c r="D74" s="38" t="s">
        <v>8</v>
      </c>
      <c r="E74" s="53" t="s">
        <v>755</v>
      </c>
      <c r="F74" s="118">
        <v>44822</v>
      </c>
      <c r="G74" s="118"/>
      <c r="H74" s="103" t="s">
        <v>753</v>
      </c>
      <c r="I74" s="103"/>
      <c r="J74" s="103"/>
      <c r="K74" s="103"/>
      <c r="R74" s="18" t="s">
        <v>0</v>
      </c>
      <c r="S74" s="127" t="s">
        <v>266</v>
      </c>
      <c r="T74" s="127"/>
      <c r="U74" s="120" t="s">
        <v>519</v>
      </c>
      <c r="V74" s="120"/>
      <c r="W74" s="120"/>
    </row>
    <row r="75" spans="2:25" x14ac:dyDescent="0.25">
      <c r="B75" s="9">
        <v>3</v>
      </c>
      <c r="D75" s="38" t="s">
        <v>13</v>
      </c>
      <c r="E75" s="53" t="s">
        <v>1122</v>
      </c>
      <c r="F75" s="118">
        <v>45018</v>
      </c>
      <c r="G75" s="118"/>
      <c r="H75" s="103" t="s">
        <v>1120</v>
      </c>
      <c r="I75" s="103"/>
      <c r="J75" s="103"/>
      <c r="K75" s="103"/>
      <c r="P75" s="9">
        <v>1</v>
      </c>
      <c r="R75" t="s">
        <v>1369</v>
      </c>
      <c r="S75" s="117" t="s">
        <v>1682</v>
      </c>
      <c r="T75" s="117"/>
      <c r="U75" s="121" t="s">
        <v>1681</v>
      </c>
      <c r="V75" s="108"/>
      <c r="W75" s="108"/>
    </row>
    <row r="76" spans="2:25" x14ac:dyDescent="0.25">
      <c r="B76" s="9">
        <v>4</v>
      </c>
      <c r="D76" s="38" t="s">
        <v>13</v>
      </c>
      <c r="E76" s="53" t="s">
        <v>775</v>
      </c>
      <c r="F76" s="118">
        <v>44850</v>
      </c>
      <c r="G76" s="118"/>
      <c r="H76" s="103" t="s">
        <v>774</v>
      </c>
      <c r="I76" s="103"/>
      <c r="J76" s="103"/>
      <c r="K76" s="103"/>
      <c r="P76" s="9">
        <v>2</v>
      </c>
      <c r="R76" t="s">
        <v>75</v>
      </c>
      <c r="S76" s="117" t="s">
        <v>1259</v>
      </c>
      <c r="T76" s="117"/>
      <c r="U76" s="121" t="s">
        <v>1257</v>
      </c>
      <c r="V76" s="108"/>
      <c r="W76" s="108"/>
    </row>
    <row r="77" spans="2:25" x14ac:dyDescent="0.25">
      <c r="B77" s="9">
        <v>5</v>
      </c>
      <c r="D77" s="38" t="s">
        <v>7</v>
      </c>
      <c r="E77" s="53" t="s">
        <v>1065</v>
      </c>
      <c r="F77" s="118">
        <v>44948</v>
      </c>
      <c r="G77" s="118"/>
      <c r="H77" s="103" t="s">
        <v>1064</v>
      </c>
      <c r="I77" s="103"/>
      <c r="J77" s="103"/>
      <c r="K77" s="103"/>
      <c r="P77" s="9">
        <v>3</v>
      </c>
      <c r="R77" t="s">
        <v>435</v>
      </c>
      <c r="S77" s="117" t="s">
        <v>1743</v>
      </c>
      <c r="T77" s="117"/>
      <c r="U77" s="121" t="s">
        <v>1744</v>
      </c>
      <c r="V77" s="108"/>
      <c r="W77" s="108"/>
    </row>
    <row r="78" spans="2:25" x14ac:dyDescent="0.25">
      <c r="B78" s="9">
        <v>6</v>
      </c>
      <c r="D78" s="38" t="s">
        <v>324</v>
      </c>
      <c r="E78" s="53" t="s">
        <v>1195</v>
      </c>
      <c r="F78" s="118">
        <v>45206</v>
      </c>
      <c r="G78" s="118"/>
      <c r="H78" s="103" t="s">
        <v>1196</v>
      </c>
      <c r="I78" s="103"/>
      <c r="J78" s="103"/>
      <c r="K78" s="103"/>
      <c r="P78" s="9">
        <v>4</v>
      </c>
      <c r="R78" t="s">
        <v>751</v>
      </c>
      <c r="S78" s="117" t="s">
        <v>1124</v>
      </c>
      <c r="T78" s="117"/>
      <c r="U78" s="121" t="s">
        <v>1125</v>
      </c>
      <c r="V78" s="108"/>
      <c r="W78" s="108"/>
    </row>
    <row r="79" spans="2:25" x14ac:dyDescent="0.25">
      <c r="B79" s="9">
        <v>7</v>
      </c>
      <c r="D79" s="38" t="s">
        <v>1178</v>
      </c>
      <c r="E79" s="53" t="s">
        <v>1208</v>
      </c>
      <c r="F79" s="118">
        <v>45256</v>
      </c>
      <c r="G79" s="118"/>
      <c r="H79" s="103" t="s">
        <v>1207</v>
      </c>
      <c r="I79" s="103"/>
      <c r="J79" s="103"/>
      <c r="K79" s="103"/>
      <c r="M79" s="41"/>
      <c r="P79" s="9">
        <v>5</v>
      </c>
      <c r="R79" t="s">
        <v>751</v>
      </c>
      <c r="S79" s="117" t="s">
        <v>1007</v>
      </c>
      <c r="T79" s="117"/>
      <c r="U79" s="108" t="s">
        <v>1006</v>
      </c>
      <c r="V79" s="108"/>
      <c r="W79" s="108"/>
    </row>
    <row r="80" spans="2:25" x14ac:dyDescent="0.25">
      <c r="B80" s="9">
        <v>8</v>
      </c>
      <c r="D80" s="38" t="s">
        <v>9</v>
      </c>
      <c r="E80" s="53" t="s">
        <v>1005</v>
      </c>
      <c r="F80" s="118">
        <v>44871</v>
      </c>
      <c r="G80" s="118"/>
      <c r="H80" s="103" t="s">
        <v>1004</v>
      </c>
      <c r="I80" s="103"/>
      <c r="J80" s="103"/>
      <c r="K80" s="103"/>
      <c r="P80" s="9">
        <v>6</v>
      </c>
      <c r="R80" t="s">
        <v>1369</v>
      </c>
      <c r="S80" s="117" t="s">
        <v>1710</v>
      </c>
      <c r="T80" s="117"/>
      <c r="U80" s="121" t="s">
        <v>1711</v>
      </c>
      <c r="V80" s="108"/>
      <c r="W80" s="108"/>
    </row>
    <row r="81" spans="2:26" x14ac:dyDescent="0.25">
      <c r="B81" s="9">
        <v>9</v>
      </c>
      <c r="D81" s="38" t="s">
        <v>434</v>
      </c>
      <c r="E81" s="53" t="s">
        <v>1043</v>
      </c>
      <c r="F81" s="118">
        <v>44905</v>
      </c>
      <c r="G81" s="103"/>
      <c r="H81" s="103" t="s">
        <v>1042</v>
      </c>
      <c r="I81" s="103"/>
      <c r="J81" s="103"/>
      <c r="K81" s="103"/>
      <c r="P81" s="9">
        <v>7</v>
      </c>
      <c r="R81" t="s">
        <v>751</v>
      </c>
      <c r="S81" s="117" t="s">
        <v>1067</v>
      </c>
      <c r="T81" s="117"/>
      <c r="U81" s="121" t="s">
        <v>1683</v>
      </c>
      <c r="V81" s="108"/>
      <c r="W81" s="108"/>
    </row>
    <row r="82" spans="2:26" x14ac:dyDescent="0.25">
      <c r="B82" s="9">
        <v>10</v>
      </c>
      <c r="D82" s="38" t="s">
        <v>36</v>
      </c>
      <c r="E82" s="53" t="s">
        <v>756</v>
      </c>
      <c r="F82" s="118">
        <v>44822</v>
      </c>
      <c r="G82" s="118"/>
      <c r="H82" s="103" t="s">
        <v>753</v>
      </c>
      <c r="I82" s="103"/>
      <c r="J82" s="103"/>
      <c r="K82" s="103"/>
      <c r="P82" s="9">
        <v>8</v>
      </c>
      <c r="R82" t="s">
        <v>435</v>
      </c>
      <c r="S82" s="117" t="s">
        <v>1045</v>
      </c>
      <c r="T82" s="117"/>
      <c r="U82" s="121" t="s">
        <v>1684</v>
      </c>
      <c r="V82" s="108"/>
      <c r="W82" s="108"/>
    </row>
    <row r="83" spans="2:26" x14ac:dyDescent="0.25">
      <c r="P83" s="9">
        <v>9</v>
      </c>
      <c r="R83" t="s">
        <v>1181</v>
      </c>
      <c r="S83" s="117" t="s">
        <v>1285</v>
      </c>
      <c r="T83" s="117"/>
      <c r="U83" s="121" t="s">
        <v>1286</v>
      </c>
      <c r="V83" s="108"/>
      <c r="W83" s="108"/>
    </row>
    <row r="84" spans="2:26" x14ac:dyDescent="0.25">
      <c r="P84" s="9">
        <v>10</v>
      </c>
      <c r="R84" t="s">
        <v>1369</v>
      </c>
      <c r="S84" s="117" t="s">
        <v>1712</v>
      </c>
      <c r="T84" s="117"/>
      <c r="U84" s="121" t="s">
        <v>1713</v>
      </c>
      <c r="V84" s="108"/>
      <c r="W84" s="108"/>
    </row>
    <row r="85" spans="2:26" x14ac:dyDescent="0.25">
      <c r="D85" s="120" t="s">
        <v>517</v>
      </c>
      <c r="E85" s="109"/>
      <c r="Z85" s="41"/>
    </row>
    <row r="86" spans="2:26" x14ac:dyDescent="0.25">
      <c r="D86" s="18" t="s">
        <v>0</v>
      </c>
      <c r="E86" s="127" t="s">
        <v>518</v>
      </c>
      <c r="F86" s="127"/>
      <c r="G86" s="127"/>
      <c r="H86" s="101" t="s">
        <v>519</v>
      </c>
      <c r="I86" s="101"/>
      <c r="J86" s="101"/>
      <c r="K86" s="101"/>
    </row>
    <row r="87" spans="2:26" x14ac:dyDescent="0.25">
      <c r="B87" s="9">
        <v>1</v>
      </c>
      <c r="D87" t="s">
        <v>751</v>
      </c>
      <c r="E87" s="123" t="s">
        <v>1123</v>
      </c>
      <c r="F87" s="123"/>
      <c r="G87" s="123"/>
      <c r="H87" s="108" t="s">
        <v>1070</v>
      </c>
      <c r="I87" s="108"/>
      <c r="J87" s="108"/>
      <c r="K87" s="108"/>
      <c r="R87" s="101" t="s">
        <v>660</v>
      </c>
      <c r="S87" s="101"/>
    </row>
    <row r="88" spans="2:26" x14ac:dyDescent="0.25">
      <c r="B88" s="9">
        <v>2</v>
      </c>
      <c r="D88" t="s">
        <v>1181</v>
      </c>
      <c r="E88" s="123">
        <v>3</v>
      </c>
      <c r="F88" s="123"/>
      <c r="G88" s="123"/>
      <c r="H88" s="108" t="s">
        <v>1197</v>
      </c>
      <c r="I88" s="108"/>
      <c r="J88" s="108"/>
      <c r="K88" s="108"/>
      <c r="R88" s="18" t="s">
        <v>0</v>
      </c>
      <c r="S88" s="127" t="s">
        <v>266</v>
      </c>
      <c r="T88" s="127"/>
      <c r="U88" s="120" t="s">
        <v>267</v>
      </c>
      <c r="V88" s="120"/>
      <c r="W88" s="120" t="s">
        <v>165</v>
      </c>
      <c r="X88" s="120"/>
      <c r="Y88" s="120"/>
    </row>
    <row r="89" spans="2:26" x14ac:dyDescent="0.25">
      <c r="B89" s="9">
        <v>3</v>
      </c>
      <c r="D89" t="s">
        <v>751</v>
      </c>
      <c r="E89" s="123">
        <v>2</v>
      </c>
      <c r="F89" s="123"/>
      <c r="G89" s="123"/>
      <c r="H89" s="121" t="s">
        <v>1006</v>
      </c>
      <c r="I89" s="108"/>
      <c r="J89" s="108"/>
      <c r="K89" s="108"/>
      <c r="P89" s="9">
        <v>1</v>
      </c>
      <c r="R89" s="17" t="s">
        <v>13</v>
      </c>
      <c r="S89" s="110" t="s">
        <v>1109</v>
      </c>
      <c r="T89" s="110"/>
      <c r="U89" s="118">
        <v>44968</v>
      </c>
      <c r="V89" s="118"/>
      <c r="W89" s="103" t="s">
        <v>1103</v>
      </c>
      <c r="X89" s="103"/>
      <c r="Y89" s="103"/>
    </row>
    <row r="90" spans="2:26" x14ac:dyDescent="0.25">
      <c r="B90" s="9">
        <v>4</v>
      </c>
      <c r="D90" t="s">
        <v>435</v>
      </c>
      <c r="E90" s="123">
        <v>2</v>
      </c>
      <c r="F90" s="123"/>
      <c r="G90" s="123"/>
      <c r="H90" s="108" t="s">
        <v>1044</v>
      </c>
      <c r="I90" s="108"/>
      <c r="J90" s="108"/>
      <c r="K90" s="108"/>
      <c r="P90" s="9">
        <v>2</v>
      </c>
      <c r="R90" s="17" t="s">
        <v>13</v>
      </c>
      <c r="S90" s="110" t="s">
        <v>432</v>
      </c>
      <c r="T90" s="110"/>
      <c r="U90" s="118">
        <v>45018</v>
      </c>
      <c r="V90" s="118"/>
      <c r="W90" s="103" t="s">
        <v>1119</v>
      </c>
      <c r="X90" s="103"/>
      <c r="Y90" s="103"/>
    </row>
    <row r="91" spans="2:26" x14ac:dyDescent="0.25">
      <c r="B91" s="9">
        <v>5</v>
      </c>
      <c r="D91" t="s">
        <v>75</v>
      </c>
      <c r="E91" s="123" t="s">
        <v>1261</v>
      </c>
      <c r="F91" s="123"/>
      <c r="G91" s="123"/>
      <c r="H91" s="108" t="s">
        <v>1262</v>
      </c>
      <c r="I91" s="108"/>
      <c r="J91" s="108"/>
      <c r="K91" s="108"/>
      <c r="P91" s="9">
        <v>3</v>
      </c>
      <c r="R91" s="17" t="s">
        <v>13</v>
      </c>
      <c r="S91" s="110" t="s">
        <v>1128</v>
      </c>
      <c r="T91" s="110"/>
      <c r="U91" s="118">
        <v>45018</v>
      </c>
      <c r="V91" s="118"/>
      <c r="W91" s="103" t="s">
        <v>1119</v>
      </c>
      <c r="X91" s="103"/>
      <c r="Y91" s="103"/>
    </row>
    <row r="92" spans="2:26" x14ac:dyDescent="0.25">
      <c r="B92" s="9">
        <v>6</v>
      </c>
      <c r="D92" t="s">
        <v>1369</v>
      </c>
      <c r="E92" s="123">
        <v>2</v>
      </c>
      <c r="F92" s="123"/>
      <c r="G92" s="123"/>
      <c r="H92" s="108" t="s">
        <v>1681</v>
      </c>
      <c r="I92" s="108"/>
      <c r="J92" s="108"/>
      <c r="K92" s="108"/>
      <c r="P92" s="9">
        <v>4</v>
      </c>
      <c r="R92" s="17" t="s">
        <v>7</v>
      </c>
      <c r="S92" s="110" t="s">
        <v>1069</v>
      </c>
      <c r="T92" s="110"/>
      <c r="U92" s="118">
        <v>44948</v>
      </c>
      <c r="V92" s="118"/>
      <c r="W92" s="103" t="s">
        <v>1064</v>
      </c>
      <c r="X92" s="103"/>
      <c r="Y92" s="103"/>
    </row>
    <row r="93" spans="2:26" x14ac:dyDescent="0.25">
      <c r="B93" s="9">
        <v>7</v>
      </c>
      <c r="D93" t="s">
        <v>1181</v>
      </c>
      <c r="E93" s="123">
        <v>1</v>
      </c>
      <c r="F93" s="123"/>
      <c r="G93" s="123"/>
      <c r="H93" s="121" t="s">
        <v>1263</v>
      </c>
      <c r="I93" s="108"/>
      <c r="J93" s="108"/>
      <c r="K93" s="108"/>
      <c r="P93" s="9">
        <v>5</v>
      </c>
      <c r="R93" s="17" t="s">
        <v>8</v>
      </c>
      <c r="S93" s="110" t="s">
        <v>760</v>
      </c>
      <c r="T93" s="110"/>
      <c r="U93" s="118">
        <v>44822</v>
      </c>
      <c r="V93" s="118"/>
      <c r="W93" s="103" t="s">
        <v>753</v>
      </c>
      <c r="X93" s="103"/>
      <c r="Y93" s="103"/>
    </row>
    <row r="94" spans="2:26" x14ac:dyDescent="0.25">
      <c r="B94" s="9">
        <v>8</v>
      </c>
      <c r="D94" t="s">
        <v>1181</v>
      </c>
      <c r="E94" s="123">
        <v>1</v>
      </c>
      <c r="F94" s="123"/>
      <c r="G94" s="123"/>
      <c r="H94" s="108" t="s">
        <v>1260</v>
      </c>
      <c r="I94" s="108"/>
      <c r="J94" s="108"/>
      <c r="K94" s="108"/>
      <c r="P94" s="9">
        <v>6</v>
      </c>
      <c r="R94" s="17" t="s">
        <v>8</v>
      </c>
      <c r="S94" s="110" t="s">
        <v>512</v>
      </c>
      <c r="T94" s="110"/>
      <c r="U94" s="118">
        <v>44822</v>
      </c>
      <c r="V94" s="118"/>
      <c r="W94" s="103" t="s">
        <v>753</v>
      </c>
      <c r="X94" s="103"/>
      <c r="Y94" s="103"/>
    </row>
    <row r="95" spans="2:26" x14ac:dyDescent="0.25">
      <c r="B95" s="9">
        <v>9</v>
      </c>
      <c r="D95" t="s">
        <v>1181</v>
      </c>
      <c r="E95" s="123">
        <v>1</v>
      </c>
      <c r="F95" s="123"/>
      <c r="G95" s="123"/>
      <c r="H95" s="108" t="s">
        <v>1287</v>
      </c>
      <c r="I95" s="108"/>
      <c r="J95" s="108"/>
      <c r="K95" s="108"/>
      <c r="P95" s="9">
        <v>7</v>
      </c>
      <c r="R95" s="17" t="s">
        <v>434</v>
      </c>
      <c r="S95" s="110" t="s">
        <v>1046</v>
      </c>
      <c r="T95" s="110"/>
      <c r="U95" s="118">
        <v>44905</v>
      </c>
      <c r="V95" s="118"/>
      <c r="W95" s="103" t="s">
        <v>1042</v>
      </c>
      <c r="X95" s="103"/>
      <c r="Y95" s="103"/>
    </row>
    <row r="96" spans="2:26" x14ac:dyDescent="0.25">
      <c r="B96" s="9">
        <v>10</v>
      </c>
      <c r="D96" t="s">
        <v>1369</v>
      </c>
      <c r="E96" s="123" t="s">
        <v>1714</v>
      </c>
      <c r="F96" s="123"/>
      <c r="G96" s="123"/>
      <c r="H96" s="121" t="s">
        <v>1713</v>
      </c>
      <c r="I96" s="108"/>
      <c r="J96" s="108"/>
      <c r="K96" s="108"/>
      <c r="P96" s="9">
        <v>8</v>
      </c>
      <c r="R96" s="17" t="s">
        <v>13</v>
      </c>
      <c r="S96" s="110" t="s">
        <v>1127</v>
      </c>
      <c r="T96" s="110"/>
      <c r="U96" s="118">
        <v>45018</v>
      </c>
      <c r="V96" s="118"/>
      <c r="W96" s="103" t="s">
        <v>1119</v>
      </c>
      <c r="X96" s="103"/>
      <c r="Y96" s="103"/>
    </row>
    <row r="97" spans="2:25" x14ac:dyDescent="0.25">
      <c r="D97" t="s">
        <v>435</v>
      </c>
      <c r="E97" s="123" t="s">
        <v>1714</v>
      </c>
      <c r="F97" s="123"/>
      <c r="G97" s="123"/>
      <c r="H97" s="121" t="s">
        <v>1744</v>
      </c>
      <c r="I97" s="108"/>
      <c r="J97" s="108"/>
      <c r="K97" s="108"/>
      <c r="P97" s="9">
        <v>9</v>
      </c>
      <c r="R97" s="17" t="s">
        <v>13</v>
      </c>
      <c r="S97" s="110" t="s">
        <v>778</v>
      </c>
      <c r="T97" s="110"/>
      <c r="U97" s="118">
        <v>44850</v>
      </c>
      <c r="V97" s="118"/>
      <c r="W97" s="103" t="s">
        <v>774</v>
      </c>
      <c r="X97" s="103"/>
      <c r="Y97" s="103"/>
    </row>
    <row r="98" spans="2:25" x14ac:dyDescent="0.25">
      <c r="P98" s="9">
        <v>10</v>
      </c>
      <c r="R98" s="17" t="s">
        <v>8</v>
      </c>
      <c r="S98" s="110" t="s">
        <v>761</v>
      </c>
      <c r="T98" s="110"/>
      <c r="U98" s="118">
        <v>44822</v>
      </c>
      <c r="V98" s="118"/>
      <c r="W98" s="103" t="s">
        <v>753</v>
      </c>
      <c r="X98" s="103"/>
      <c r="Y98" s="103"/>
    </row>
    <row r="100" spans="2:25" x14ac:dyDescent="0.25">
      <c r="D100" s="109" t="s">
        <v>659</v>
      </c>
      <c r="E100" s="109"/>
    </row>
    <row r="101" spans="2:25" x14ac:dyDescent="0.25">
      <c r="D101" s="18" t="s">
        <v>0</v>
      </c>
      <c r="E101" s="124" t="s">
        <v>266</v>
      </c>
      <c r="F101" s="124"/>
      <c r="G101" s="101" t="s">
        <v>267</v>
      </c>
      <c r="H101" s="101"/>
      <c r="I101" s="101" t="s">
        <v>165</v>
      </c>
      <c r="J101" s="101"/>
      <c r="K101" s="101"/>
      <c r="L101" s="101"/>
      <c r="R101" s="101" t="s">
        <v>662</v>
      </c>
      <c r="S101" s="101"/>
    </row>
    <row r="102" spans="2:25" x14ac:dyDescent="0.25">
      <c r="B102" s="9">
        <v>1</v>
      </c>
      <c r="D102" s="17" t="s">
        <v>13</v>
      </c>
      <c r="E102" s="110" t="s">
        <v>1108</v>
      </c>
      <c r="F102" s="110"/>
      <c r="G102" s="118" t="s">
        <v>1685</v>
      </c>
      <c r="H102" s="118"/>
      <c r="I102" s="103" t="s">
        <v>1103</v>
      </c>
      <c r="J102" s="103"/>
      <c r="K102" s="103"/>
      <c r="L102" s="103"/>
      <c r="R102" s="18" t="s">
        <v>0</v>
      </c>
      <c r="S102" s="124" t="s">
        <v>266</v>
      </c>
      <c r="T102" s="124"/>
      <c r="U102" s="101" t="s">
        <v>267</v>
      </c>
      <c r="V102" s="101"/>
      <c r="W102" s="101" t="s">
        <v>165</v>
      </c>
      <c r="X102" s="101"/>
      <c r="Y102" s="101"/>
    </row>
    <row r="103" spans="2:25" x14ac:dyDescent="0.25">
      <c r="B103" s="9">
        <v>2</v>
      </c>
      <c r="D103" s="17" t="s">
        <v>7</v>
      </c>
      <c r="E103" s="110" t="s">
        <v>1108</v>
      </c>
      <c r="F103" s="110"/>
      <c r="G103" s="118" t="s">
        <v>1683</v>
      </c>
      <c r="H103" s="118"/>
      <c r="I103" s="103" t="s">
        <v>1064</v>
      </c>
      <c r="J103" s="103"/>
      <c r="K103" s="103"/>
      <c r="L103" s="103"/>
      <c r="P103" s="9">
        <v>1</v>
      </c>
      <c r="R103" s="17" t="s">
        <v>13</v>
      </c>
      <c r="S103" s="110" t="s">
        <v>1131</v>
      </c>
      <c r="T103" s="110"/>
      <c r="U103" s="118">
        <v>45018</v>
      </c>
      <c r="V103" s="118"/>
      <c r="W103" s="103" t="s">
        <v>1119</v>
      </c>
      <c r="X103" s="103"/>
      <c r="Y103" s="103"/>
    </row>
    <row r="104" spans="2:25" x14ac:dyDescent="0.25">
      <c r="B104" s="9">
        <v>3</v>
      </c>
      <c r="D104" s="17" t="s">
        <v>1178</v>
      </c>
      <c r="E104" s="110" t="s">
        <v>1688</v>
      </c>
      <c r="F104" s="110"/>
      <c r="G104" s="118" t="s">
        <v>1681</v>
      </c>
      <c r="H104" s="118"/>
      <c r="I104" s="103" t="s">
        <v>1689</v>
      </c>
      <c r="J104" s="103"/>
      <c r="K104" s="103"/>
      <c r="L104" s="103"/>
      <c r="P104" s="9">
        <v>2</v>
      </c>
      <c r="R104" s="17" t="s">
        <v>8</v>
      </c>
      <c r="S104" s="110" t="s">
        <v>759</v>
      </c>
      <c r="T104" s="110"/>
      <c r="U104" s="118">
        <v>44822</v>
      </c>
      <c r="V104" s="118"/>
      <c r="W104" s="103" t="s">
        <v>753</v>
      </c>
      <c r="X104" s="103"/>
      <c r="Y104" s="103"/>
    </row>
    <row r="105" spans="2:25" x14ac:dyDescent="0.25">
      <c r="B105" s="9">
        <v>4</v>
      </c>
      <c r="D105" s="17" t="s">
        <v>13</v>
      </c>
      <c r="E105" s="110" t="s">
        <v>1126</v>
      </c>
      <c r="F105" s="110"/>
      <c r="G105" s="118">
        <v>45018</v>
      </c>
      <c r="H105" s="118"/>
      <c r="I105" s="103" t="s">
        <v>1119</v>
      </c>
      <c r="J105" s="103"/>
      <c r="K105" s="103"/>
      <c r="L105" s="103"/>
      <c r="P105" s="9">
        <v>3</v>
      </c>
      <c r="R105" s="17"/>
      <c r="S105" s="110"/>
      <c r="T105" s="110"/>
      <c r="U105" s="118"/>
      <c r="V105" s="118"/>
      <c r="W105" s="103"/>
      <c r="X105" s="103"/>
      <c r="Y105" s="103"/>
    </row>
    <row r="106" spans="2:25" x14ac:dyDescent="0.25">
      <c r="B106" s="9">
        <v>5</v>
      </c>
      <c r="D106" s="17" t="s">
        <v>1191</v>
      </c>
      <c r="E106" s="110" t="s">
        <v>1745</v>
      </c>
      <c r="F106" s="110"/>
      <c r="G106" s="118" t="s">
        <v>1746</v>
      </c>
      <c r="H106" s="118"/>
      <c r="I106" s="103" t="s">
        <v>1747</v>
      </c>
      <c r="J106" s="103"/>
      <c r="K106" s="103"/>
      <c r="L106" s="103"/>
      <c r="R106" s="17"/>
      <c r="S106" s="48"/>
      <c r="T106" s="48"/>
      <c r="U106" s="49"/>
      <c r="V106" s="49"/>
      <c r="W106" s="41"/>
      <c r="X106" s="41"/>
      <c r="Y106" s="41"/>
    </row>
    <row r="107" spans="2:25" x14ac:dyDescent="0.25">
      <c r="B107" s="9">
        <v>6</v>
      </c>
      <c r="D107" s="17" t="s">
        <v>8</v>
      </c>
      <c r="E107" s="110" t="s">
        <v>758</v>
      </c>
      <c r="F107" s="110"/>
      <c r="G107" s="118">
        <v>44822</v>
      </c>
      <c r="H107" s="118"/>
      <c r="I107" s="103" t="s">
        <v>753</v>
      </c>
      <c r="J107" s="103"/>
      <c r="K107" s="103"/>
      <c r="L107" s="103"/>
      <c r="R107" s="17"/>
      <c r="S107" s="48"/>
      <c r="T107" s="48"/>
      <c r="U107" s="49"/>
      <c r="V107" s="49"/>
      <c r="W107" s="41"/>
      <c r="X107" s="41"/>
      <c r="Y107" s="41"/>
    </row>
    <row r="108" spans="2:25" x14ac:dyDescent="0.25">
      <c r="B108" s="9">
        <v>7</v>
      </c>
      <c r="D108" s="17" t="s">
        <v>36</v>
      </c>
      <c r="E108" s="110" t="s">
        <v>1686</v>
      </c>
      <c r="F108" s="110"/>
      <c r="G108" s="118" t="s">
        <v>1681</v>
      </c>
      <c r="H108" s="118"/>
      <c r="I108" s="103" t="s">
        <v>1687</v>
      </c>
      <c r="J108" s="103"/>
      <c r="K108" s="103"/>
      <c r="L108" s="103"/>
      <c r="R108" s="112" t="s">
        <v>907</v>
      </c>
      <c r="S108" s="114"/>
    </row>
    <row r="109" spans="2:25" x14ac:dyDescent="0.25">
      <c r="B109" s="9">
        <v>8</v>
      </c>
      <c r="D109" s="17" t="s">
        <v>13</v>
      </c>
      <c r="E109" s="110" t="s">
        <v>1107</v>
      </c>
      <c r="F109" s="110"/>
      <c r="G109" s="118">
        <v>44968</v>
      </c>
      <c r="H109" s="118"/>
      <c r="I109" s="103" t="s">
        <v>1103</v>
      </c>
      <c r="J109" s="103"/>
      <c r="K109" s="103"/>
      <c r="L109" s="103"/>
      <c r="R109" s="18" t="s">
        <v>0</v>
      </c>
      <c r="S109" s="115" t="s">
        <v>518</v>
      </c>
      <c r="T109" s="122"/>
      <c r="U109" s="116"/>
      <c r="V109" s="112" t="s">
        <v>519</v>
      </c>
      <c r="W109" s="113"/>
      <c r="X109" s="113"/>
      <c r="Y109" s="114"/>
    </row>
    <row r="110" spans="2:25" x14ac:dyDescent="0.25">
      <c r="B110" s="9">
        <v>9</v>
      </c>
      <c r="D110" s="17" t="s">
        <v>324</v>
      </c>
      <c r="E110" s="110" t="s">
        <v>997</v>
      </c>
      <c r="F110" s="110"/>
      <c r="G110" s="118">
        <v>45206</v>
      </c>
      <c r="H110" s="118"/>
      <c r="I110" s="103" t="s">
        <v>1196</v>
      </c>
      <c r="J110" s="103"/>
      <c r="K110" s="103"/>
      <c r="L110" s="103"/>
      <c r="P110" s="9">
        <v>1</v>
      </c>
      <c r="R110" t="s">
        <v>324</v>
      </c>
      <c r="S110" s="123" t="s">
        <v>1003</v>
      </c>
      <c r="T110" s="123"/>
      <c r="U110" s="123"/>
      <c r="V110" s="108" t="s">
        <v>777</v>
      </c>
      <c r="W110" s="108"/>
      <c r="X110" s="108"/>
      <c r="Y110" s="108"/>
    </row>
    <row r="111" spans="2:25" x14ac:dyDescent="0.25">
      <c r="B111" s="9">
        <v>10</v>
      </c>
      <c r="D111" s="17" t="s">
        <v>8</v>
      </c>
      <c r="E111" s="110" t="s">
        <v>1068</v>
      </c>
      <c r="F111" s="110"/>
      <c r="G111" s="118">
        <v>44934</v>
      </c>
      <c r="H111" s="118"/>
      <c r="I111" s="103" t="s">
        <v>1062</v>
      </c>
      <c r="J111" s="103"/>
      <c r="K111" s="103"/>
      <c r="L111" s="103"/>
      <c r="P111" s="9">
        <v>2</v>
      </c>
      <c r="R111" t="s">
        <v>434</v>
      </c>
      <c r="S111" s="123">
        <v>7</v>
      </c>
      <c r="T111" s="123"/>
      <c r="U111" s="123"/>
      <c r="V111" s="103" t="s">
        <v>1201</v>
      </c>
      <c r="W111" s="103"/>
      <c r="X111" s="103"/>
      <c r="Y111" s="103"/>
    </row>
    <row r="112" spans="2:25" x14ac:dyDescent="0.25">
      <c r="P112" s="9">
        <v>3</v>
      </c>
      <c r="R112" t="s">
        <v>1178</v>
      </c>
      <c r="S112" s="123">
        <v>6</v>
      </c>
      <c r="T112" s="123"/>
      <c r="U112" s="123"/>
      <c r="V112" s="118" t="s">
        <v>1269</v>
      </c>
      <c r="W112" s="103"/>
      <c r="X112" s="103"/>
      <c r="Y112" s="103"/>
    </row>
    <row r="113" spans="2:25" x14ac:dyDescent="0.25">
      <c r="P113" s="9">
        <v>4</v>
      </c>
      <c r="R113" t="s">
        <v>8</v>
      </c>
      <c r="S113" s="119" t="s">
        <v>1110</v>
      </c>
      <c r="T113" s="119"/>
      <c r="U113" s="119"/>
      <c r="V113" s="121" t="s">
        <v>757</v>
      </c>
      <c r="W113" s="108"/>
      <c r="X113" s="108"/>
      <c r="Y113" s="108"/>
    </row>
    <row r="114" spans="2:25" x14ac:dyDescent="0.25">
      <c r="D114" s="132" t="s">
        <v>661</v>
      </c>
      <c r="E114" s="132"/>
      <c r="P114" s="9">
        <v>5</v>
      </c>
      <c r="R114" t="s">
        <v>1182</v>
      </c>
      <c r="S114" s="123" t="s">
        <v>1110</v>
      </c>
      <c r="T114" s="123"/>
      <c r="U114" s="123"/>
      <c r="V114" s="118" t="s">
        <v>1262</v>
      </c>
      <c r="W114" s="103"/>
      <c r="X114" s="103"/>
      <c r="Y114" s="103"/>
    </row>
    <row r="115" spans="2:25" x14ac:dyDescent="0.25">
      <c r="D115" s="11" t="s">
        <v>0</v>
      </c>
      <c r="E115" s="124" t="s">
        <v>266</v>
      </c>
      <c r="F115" s="124"/>
      <c r="G115" s="101" t="s">
        <v>267</v>
      </c>
      <c r="H115" s="101"/>
      <c r="I115" s="101" t="s">
        <v>165</v>
      </c>
      <c r="J115" s="101"/>
      <c r="K115" s="101"/>
      <c r="L115" s="101"/>
      <c r="P115" s="9">
        <v>6</v>
      </c>
      <c r="R115" t="s">
        <v>434</v>
      </c>
      <c r="S115" s="123" t="s">
        <v>1110</v>
      </c>
      <c r="T115" s="123"/>
      <c r="U115" s="123"/>
      <c r="V115" s="118" t="s">
        <v>1266</v>
      </c>
      <c r="W115" s="103"/>
      <c r="X115" s="103"/>
      <c r="Y115" s="103"/>
    </row>
    <row r="116" spans="2:25" x14ac:dyDescent="0.25">
      <c r="B116" s="9">
        <v>1</v>
      </c>
      <c r="D116" s="17" t="s">
        <v>13</v>
      </c>
      <c r="E116" s="110" t="s">
        <v>1130</v>
      </c>
      <c r="F116" s="110"/>
      <c r="G116" s="118">
        <v>45018</v>
      </c>
      <c r="H116" s="118"/>
      <c r="I116" s="103" t="s">
        <v>1119</v>
      </c>
      <c r="J116" s="103"/>
      <c r="K116" s="103"/>
      <c r="L116" s="103"/>
      <c r="P116" s="9">
        <v>7</v>
      </c>
      <c r="R116" t="s">
        <v>7</v>
      </c>
      <c r="S116" s="123">
        <v>5</v>
      </c>
      <c r="T116" s="123"/>
      <c r="U116" s="123"/>
      <c r="V116" s="103" t="s">
        <v>1184</v>
      </c>
      <c r="W116" s="103"/>
      <c r="X116" s="103"/>
      <c r="Y116" s="103"/>
    </row>
    <row r="117" spans="2:25" x14ac:dyDescent="0.25">
      <c r="B117" s="9">
        <v>2</v>
      </c>
      <c r="D117" s="17" t="s">
        <v>13</v>
      </c>
      <c r="E117" s="110" t="s">
        <v>1129</v>
      </c>
      <c r="F117" s="110"/>
      <c r="G117" s="118">
        <v>45018</v>
      </c>
      <c r="H117" s="118"/>
      <c r="I117" s="103" t="s">
        <v>1119</v>
      </c>
      <c r="J117" s="103"/>
      <c r="K117" s="103"/>
      <c r="L117" s="103"/>
      <c r="P117" s="9">
        <v>8</v>
      </c>
      <c r="R117" t="s">
        <v>1188</v>
      </c>
      <c r="S117" s="123">
        <v>5</v>
      </c>
      <c r="T117" s="123"/>
      <c r="U117" s="123"/>
      <c r="V117" s="118" t="s">
        <v>1264</v>
      </c>
      <c r="W117" s="103"/>
      <c r="X117" s="103"/>
      <c r="Y117" s="103"/>
    </row>
    <row r="118" spans="2:25" x14ac:dyDescent="0.25">
      <c r="B118" s="9">
        <v>3</v>
      </c>
      <c r="D118" s="17" t="s">
        <v>8</v>
      </c>
      <c r="E118" s="110" t="s">
        <v>763</v>
      </c>
      <c r="F118" s="110"/>
      <c r="G118" s="118">
        <v>44822</v>
      </c>
      <c r="H118" s="118"/>
      <c r="I118" s="103" t="s">
        <v>753</v>
      </c>
      <c r="J118" s="103"/>
      <c r="K118" s="103"/>
      <c r="L118" s="103"/>
      <c r="P118" s="9">
        <v>9</v>
      </c>
      <c r="R118" t="s">
        <v>13</v>
      </c>
      <c r="S118" s="123" t="s">
        <v>1123</v>
      </c>
      <c r="T118" s="123"/>
      <c r="U118" s="123"/>
      <c r="V118" s="103" t="s">
        <v>777</v>
      </c>
      <c r="W118" s="103"/>
      <c r="X118" s="103"/>
      <c r="Y118" s="103"/>
    </row>
    <row r="119" spans="2:25" x14ac:dyDescent="0.25">
      <c r="B119" s="9">
        <v>4</v>
      </c>
      <c r="D119" s="17" t="s">
        <v>8</v>
      </c>
      <c r="E119" s="110" t="s">
        <v>762</v>
      </c>
      <c r="F119" s="110"/>
      <c r="G119" s="118">
        <v>44822</v>
      </c>
      <c r="H119" s="118"/>
      <c r="I119" s="103" t="s">
        <v>753</v>
      </c>
      <c r="J119" s="103"/>
      <c r="K119" s="103"/>
      <c r="L119" s="103"/>
      <c r="P119" s="9">
        <v>10</v>
      </c>
      <c r="R119" s="38" t="s">
        <v>36</v>
      </c>
      <c r="S119" s="119">
        <v>4</v>
      </c>
      <c r="T119" s="119"/>
      <c r="U119" s="119"/>
      <c r="V119" s="121" t="s">
        <v>1111</v>
      </c>
      <c r="W119" s="108"/>
      <c r="X119" s="108"/>
      <c r="Y119" s="108"/>
    </row>
    <row r="120" spans="2:25" x14ac:dyDescent="0.25">
      <c r="B120" s="9">
        <v>5</v>
      </c>
      <c r="D120" s="17" t="s">
        <v>13</v>
      </c>
      <c r="E120" s="110" t="s">
        <v>779</v>
      </c>
      <c r="F120" s="110"/>
      <c r="G120" s="118">
        <v>44850</v>
      </c>
      <c r="H120" s="118"/>
      <c r="I120" s="108" t="s">
        <v>774</v>
      </c>
      <c r="J120" s="108"/>
      <c r="K120" s="108"/>
      <c r="L120" s="108"/>
      <c r="R120" s="38" t="s">
        <v>446</v>
      </c>
      <c r="S120" s="119">
        <v>4</v>
      </c>
      <c r="T120" s="119"/>
      <c r="U120" s="119"/>
      <c r="V120" s="118" t="s">
        <v>1185</v>
      </c>
      <c r="W120" s="103"/>
      <c r="X120" s="103"/>
      <c r="Y120" s="103"/>
    </row>
    <row r="121" spans="2:25" x14ac:dyDescent="0.25">
      <c r="B121" s="9">
        <v>6</v>
      </c>
      <c r="D121" s="17" t="s">
        <v>13</v>
      </c>
      <c r="E121" s="110" t="s">
        <v>1132</v>
      </c>
      <c r="F121" s="110"/>
      <c r="G121" s="118">
        <v>45018</v>
      </c>
      <c r="H121" s="118"/>
      <c r="I121" s="103" t="s">
        <v>1120</v>
      </c>
      <c r="J121" s="103"/>
      <c r="K121" s="103"/>
      <c r="L121" s="103"/>
      <c r="R121" t="s">
        <v>227</v>
      </c>
      <c r="S121" s="123">
        <v>4</v>
      </c>
      <c r="T121" s="123"/>
      <c r="U121" s="123"/>
      <c r="V121" s="121" t="s">
        <v>1198</v>
      </c>
      <c r="W121" s="108"/>
      <c r="X121" s="108"/>
      <c r="Y121" s="108"/>
    </row>
    <row r="122" spans="2:25" x14ac:dyDescent="0.25">
      <c r="B122" s="9">
        <v>7</v>
      </c>
      <c r="D122" s="17"/>
      <c r="E122" s="110"/>
      <c r="F122" s="110"/>
      <c r="G122" s="118"/>
      <c r="H122" s="118"/>
      <c r="I122" s="103"/>
      <c r="J122" s="103"/>
      <c r="K122" s="103"/>
      <c r="L122" s="103"/>
      <c r="R122" t="s">
        <v>255</v>
      </c>
      <c r="S122" s="123">
        <v>4</v>
      </c>
      <c r="T122" s="123"/>
      <c r="U122" s="123"/>
      <c r="V122" s="121" t="s">
        <v>1264</v>
      </c>
      <c r="W122" s="108"/>
      <c r="X122" s="108"/>
      <c r="Y122" s="108"/>
    </row>
    <row r="123" spans="2:25" x14ac:dyDescent="0.25">
      <c r="B123" s="9">
        <v>8</v>
      </c>
      <c r="D123" s="17"/>
      <c r="E123" s="110"/>
      <c r="F123" s="110"/>
      <c r="G123" s="118"/>
      <c r="H123" s="118"/>
      <c r="I123" s="103"/>
      <c r="J123" s="103"/>
      <c r="K123" s="103"/>
      <c r="L123" s="103"/>
      <c r="R123" t="s">
        <v>1188</v>
      </c>
      <c r="S123" s="123">
        <v>4</v>
      </c>
      <c r="T123" s="123"/>
      <c r="U123" s="123"/>
      <c r="V123" s="118" t="s">
        <v>1690</v>
      </c>
      <c r="W123" s="103"/>
      <c r="X123" s="103"/>
      <c r="Y123" s="103"/>
    </row>
    <row r="124" spans="2:25" x14ac:dyDescent="0.25">
      <c r="B124" s="9">
        <v>9</v>
      </c>
      <c r="D124" s="17"/>
      <c r="E124" s="110"/>
      <c r="F124" s="110"/>
      <c r="G124" s="118"/>
      <c r="H124" s="118"/>
      <c r="I124" s="103"/>
      <c r="J124" s="103"/>
      <c r="K124" s="103"/>
      <c r="L124" s="103"/>
      <c r="R124" t="s">
        <v>226</v>
      </c>
      <c r="S124" s="123" t="s">
        <v>1210</v>
      </c>
      <c r="T124" s="123"/>
      <c r="U124" s="123"/>
      <c r="V124" s="108" t="s">
        <v>1211</v>
      </c>
      <c r="W124" s="108"/>
      <c r="X124" s="108"/>
      <c r="Y124" s="108"/>
    </row>
    <row r="125" spans="2:25" x14ac:dyDescent="0.25">
      <c r="B125" s="9">
        <v>10</v>
      </c>
      <c r="D125" s="17"/>
      <c r="E125" s="110"/>
      <c r="F125" s="110"/>
      <c r="G125" s="118"/>
      <c r="H125" s="118"/>
      <c r="I125" s="103"/>
      <c r="J125" s="103"/>
      <c r="K125" s="103"/>
      <c r="L125" s="103"/>
    </row>
    <row r="127" spans="2:25" x14ac:dyDescent="0.25">
      <c r="R127" s="112" t="s">
        <v>908</v>
      </c>
      <c r="S127" s="114"/>
    </row>
    <row r="128" spans="2:25" x14ac:dyDescent="0.25">
      <c r="D128" s="112" t="s">
        <v>906</v>
      </c>
      <c r="E128" s="114"/>
      <c r="R128" s="18" t="s">
        <v>0</v>
      </c>
      <c r="S128" s="115" t="s">
        <v>518</v>
      </c>
      <c r="T128" s="122"/>
      <c r="U128" s="116"/>
      <c r="V128" s="112" t="s">
        <v>519</v>
      </c>
      <c r="W128" s="113"/>
      <c r="X128" s="113"/>
      <c r="Y128" s="114"/>
    </row>
    <row r="129" spans="2:25" x14ac:dyDescent="0.25">
      <c r="D129" s="18" t="s">
        <v>0</v>
      </c>
      <c r="E129" s="115" t="s">
        <v>518</v>
      </c>
      <c r="F129" s="122"/>
      <c r="G129" s="116"/>
      <c r="H129" s="112" t="s">
        <v>519</v>
      </c>
      <c r="I129" s="113"/>
      <c r="J129" s="113"/>
      <c r="K129" s="114"/>
      <c r="P129" s="9">
        <v>1</v>
      </c>
      <c r="R129" s="38" t="s">
        <v>227</v>
      </c>
      <c r="S129" s="123">
        <v>24</v>
      </c>
      <c r="T129" s="123"/>
      <c r="U129" s="123"/>
      <c r="V129" s="108" t="s">
        <v>1223</v>
      </c>
      <c r="W129" s="108"/>
      <c r="X129" s="108"/>
      <c r="Y129" s="108"/>
    </row>
    <row r="130" spans="2:25" x14ac:dyDescent="0.25">
      <c r="B130" s="9">
        <v>1</v>
      </c>
      <c r="D130" s="38" t="s">
        <v>324</v>
      </c>
      <c r="E130" s="130" t="s">
        <v>1003</v>
      </c>
      <c r="F130" s="130"/>
      <c r="G130" s="130"/>
      <c r="H130" s="118" t="s">
        <v>777</v>
      </c>
      <c r="I130" s="118"/>
      <c r="J130" s="118"/>
      <c r="K130" s="118"/>
      <c r="P130" s="9">
        <v>2</v>
      </c>
      <c r="R130" s="38" t="s">
        <v>446</v>
      </c>
      <c r="S130" s="123">
        <v>22</v>
      </c>
      <c r="T130" s="123"/>
      <c r="U130" s="123"/>
      <c r="V130" s="108" t="s">
        <v>1200</v>
      </c>
      <c r="W130" s="108"/>
      <c r="X130" s="108"/>
      <c r="Y130" s="108"/>
    </row>
    <row r="131" spans="2:25" x14ac:dyDescent="0.25">
      <c r="B131" s="9">
        <v>2</v>
      </c>
      <c r="D131" s="38" t="s">
        <v>1178</v>
      </c>
      <c r="E131" s="119">
        <v>6</v>
      </c>
      <c r="F131" s="119"/>
      <c r="G131" s="119"/>
      <c r="H131" s="118" t="s">
        <v>1269</v>
      </c>
      <c r="I131" s="103"/>
      <c r="J131" s="103"/>
      <c r="K131" s="103"/>
      <c r="P131" s="9">
        <v>3</v>
      </c>
      <c r="R131" t="s">
        <v>35</v>
      </c>
      <c r="S131" s="123">
        <v>22</v>
      </c>
      <c r="T131" s="123"/>
      <c r="U131" s="123"/>
      <c r="V131" s="108" t="s">
        <v>1200</v>
      </c>
      <c r="W131" s="108"/>
      <c r="X131" s="108"/>
      <c r="Y131" s="108"/>
    </row>
    <row r="132" spans="2:25" x14ac:dyDescent="0.25">
      <c r="B132" s="9">
        <v>3</v>
      </c>
      <c r="D132" s="38" t="s">
        <v>8</v>
      </c>
      <c r="E132" s="119" t="s">
        <v>1110</v>
      </c>
      <c r="F132" s="119"/>
      <c r="G132" s="119"/>
      <c r="H132" s="118" t="s">
        <v>757</v>
      </c>
      <c r="I132" s="103"/>
      <c r="J132" s="103"/>
      <c r="K132" s="103"/>
      <c r="P132" s="9">
        <v>4</v>
      </c>
      <c r="R132" t="s">
        <v>255</v>
      </c>
      <c r="S132" s="123">
        <v>22</v>
      </c>
      <c r="T132" s="123"/>
      <c r="U132" s="123"/>
      <c r="V132" s="108" t="s">
        <v>1265</v>
      </c>
      <c r="W132" s="108"/>
      <c r="X132" s="108"/>
      <c r="Y132" s="108"/>
    </row>
    <row r="133" spans="2:25" x14ac:dyDescent="0.25">
      <c r="B133" s="9">
        <v>4</v>
      </c>
      <c r="D133" s="38" t="s">
        <v>13</v>
      </c>
      <c r="E133" s="130" t="s">
        <v>1123</v>
      </c>
      <c r="F133" s="130"/>
      <c r="G133" s="130"/>
      <c r="H133" s="103" t="s">
        <v>777</v>
      </c>
      <c r="I133" s="103"/>
      <c r="J133" s="103"/>
      <c r="K133" s="103"/>
      <c r="P133" s="9">
        <v>5</v>
      </c>
      <c r="R133" s="38" t="s">
        <v>436</v>
      </c>
      <c r="S133" s="123">
        <v>18</v>
      </c>
      <c r="T133" s="123"/>
      <c r="U133" s="123"/>
      <c r="V133" s="121" t="s">
        <v>1692</v>
      </c>
      <c r="W133" s="108"/>
      <c r="X133" s="108"/>
      <c r="Y133" s="108"/>
    </row>
    <row r="134" spans="2:25" x14ac:dyDescent="0.25">
      <c r="B134" s="9">
        <v>5</v>
      </c>
      <c r="D134" s="38" t="s">
        <v>1188</v>
      </c>
      <c r="E134" s="119">
        <v>4</v>
      </c>
      <c r="F134" s="119"/>
      <c r="G134" s="119"/>
      <c r="H134" s="118" t="s">
        <v>1264</v>
      </c>
      <c r="I134" s="103"/>
      <c r="J134" s="103"/>
      <c r="K134" s="103"/>
      <c r="P134" s="9">
        <v>6</v>
      </c>
      <c r="R134" s="38" t="s">
        <v>1182</v>
      </c>
      <c r="S134" s="123">
        <v>13</v>
      </c>
      <c r="T134" s="123"/>
      <c r="U134" s="123"/>
      <c r="V134" s="121" t="s">
        <v>1288</v>
      </c>
      <c r="W134" s="108"/>
      <c r="X134" s="108"/>
      <c r="Y134" s="108"/>
    </row>
    <row r="135" spans="2:25" x14ac:dyDescent="0.25">
      <c r="B135" s="9">
        <v>6</v>
      </c>
      <c r="D135" s="38" t="s">
        <v>227</v>
      </c>
      <c r="E135" s="119">
        <v>3</v>
      </c>
      <c r="F135" s="119"/>
      <c r="G135" s="119"/>
      <c r="H135" s="118" t="s">
        <v>1199</v>
      </c>
      <c r="I135" s="103"/>
      <c r="J135" s="103"/>
      <c r="K135" s="103"/>
      <c r="P135" s="9">
        <v>7</v>
      </c>
      <c r="R135" s="38" t="s">
        <v>1188</v>
      </c>
      <c r="S135" s="123">
        <v>11</v>
      </c>
      <c r="T135" s="123"/>
      <c r="U135" s="123"/>
      <c r="V135" s="108" t="s">
        <v>1271</v>
      </c>
      <c r="W135" s="108"/>
      <c r="X135" s="108"/>
      <c r="Y135" s="108"/>
    </row>
    <row r="136" spans="2:25" x14ac:dyDescent="0.25">
      <c r="B136" s="9">
        <v>7</v>
      </c>
      <c r="D136" s="38" t="s">
        <v>1188</v>
      </c>
      <c r="E136" s="119">
        <v>3</v>
      </c>
      <c r="F136" s="119"/>
      <c r="G136" s="119"/>
      <c r="H136" s="118" t="s">
        <v>1690</v>
      </c>
      <c r="I136" s="103"/>
      <c r="J136" s="103"/>
      <c r="K136" s="103"/>
      <c r="P136" s="9">
        <v>8</v>
      </c>
      <c r="R136" t="s">
        <v>36</v>
      </c>
      <c r="S136" s="123">
        <v>10</v>
      </c>
      <c r="T136" s="123"/>
      <c r="U136" s="123"/>
      <c r="V136" s="108" t="s">
        <v>1072</v>
      </c>
      <c r="W136" s="108"/>
      <c r="X136" s="108"/>
      <c r="Y136" s="108"/>
    </row>
    <row r="137" spans="2:25" x14ac:dyDescent="0.25">
      <c r="B137" s="9">
        <v>8</v>
      </c>
      <c r="D137" s="38" t="s">
        <v>434</v>
      </c>
      <c r="E137" s="119" t="s">
        <v>1301</v>
      </c>
      <c r="F137" s="119"/>
      <c r="G137" s="119"/>
      <c r="H137" s="118" t="s">
        <v>1267</v>
      </c>
      <c r="I137" s="103"/>
      <c r="J137" s="103"/>
      <c r="K137" s="103"/>
      <c r="P137" s="9">
        <v>9</v>
      </c>
      <c r="R137" t="s">
        <v>1192</v>
      </c>
      <c r="S137" s="123">
        <v>10</v>
      </c>
      <c r="T137" s="123"/>
      <c r="U137" s="123"/>
      <c r="V137" s="108" t="s">
        <v>1691</v>
      </c>
      <c r="W137" s="108"/>
      <c r="X137" s="108"/>
      <c r="Y137" s="108"/>
    </row>
    <row r="138" spans="2:25" x14ac:dyDescent="0.25">
      <c r="B138" s="9">
        <v>9</v>
      </c>
      <c r="D138" s="38" t="s">
        <v>324</v>
      </c>
      <c r="E138" s="119">
        <v>2</v>
      </c>
      <c r="F138" s="119"/>
      <c r="G138" s="119"/>
      <c r="H138" s="118">
        <v>44822</v>
      </c>
      <c r="I138" s="103"/>
      <c r="J138" s="103"/>
      <c r="K138" s="103"/>
      <c r="P138" s="9">
        <v>10</v>
      </c>
      <c r="R138" s="38" t="s">
        <v>1181</v>
      </c>
      <c r="S138" s="123">
        <v>9</v>
      </c>
      <c r="T138" s="123"/>
      <c r="U138" s="123"/>
      <c r="V138" s="121" t="s">
        <v>1270</v>
      </c>
      <c r="W138" s="108"/>
      <c r="X138" s="108"/>
      <c r="Y138" s="108"/>
    </row>
    <row r="139" spans="2:25" x14ac:dyDescent="0.25">
      <c r="B139" s="9">
        <v>10</v>
      </c>
      <c r="D139" s="38" t="s">
        <v>36</v>
      </c>
      <c r="E139" s="119">
        <v>2</v>
      </c>
      <c r="F139" s="119"/>
      <c r="G139" s="119"/>
      <c r="H139" s="118">
        <v>44822</v>
      </c>
      <c r="I139" s="103"/>
      <c r="J139" s="103"/>
      <c r="K139" s="103"/>
      <c r="R139" s="38"/>
      <c r="S139" s="34"/>
      <c r="T139" s="34"/>
      <c r="U139" s="34"/>
    </row>
    <row r="140" spans="2:25" x14ac:dyDescent="0.25">
      <c r="D140" t="s">
        <v>22</v>
      </c>
      <c r="E140" s="130">
        <v>2</v>
      </c>
      <c r="F140" s="130"/>
      <c r="G140" s="130"/>
      <c r="H140" s="118" t="s">
        <v>1071</v>
      </c>
      <c r="I140" s="103"/>
      <c r="J140" s="103"/>
      <c r="K140" s="103"/>
      <c r="R140" s="38"/>
      <c r="S140" s="34"/>
      <c r="T140" s="34"/>
      <c r="U140" s="34"/>
    </row>
    <row r="141" spans="2:25" x14ac:dyDescent="0.25">
      <c r="D141" s="38" t="s">
        <v>434</v>
      </c>
      <c r="E141" s="119">
        <v>2</v>
      </c>
      <c r="F141" s="119"/>
      <c r="G141" s="119"/>
      <c r="H141" s="118">
        <v>44905</v>
      </c>
      <c r="I141" s="103"/>
      <c r="J141" s="103"/>
      <c r="K141" s="103"/>
    </row>
    <row r="142" spans="2:25" x14ac:dyDescent="0.25">
      <c r="D142" s="38" t="s">
        <v>227</v>
      </c>
      <c r="E142" s="119">
        <v>2</v>
      </c>
      <c r="F142" s="119"/>
      <c r="G142" s="119"/>
      <c r="H142" s="118">
        <v>44948</v>
      </c>
      <c r="I142" s="103"/>
      <c r="J142" s="103"/>
      <c r="K142" s="103"/>
    </row>
    <row r="143" spans="2:25" x14ac:dyDescent="0.25">
      <c r="D143" s="38" t="s">
        <v>446</v>
      </c>
      <c r="E143" s="119">
        <v>2</v>
      </c>
      <c r="F143" s="119"/>
      <c r="G143" s="119"/>
      <c r="H143" s="118" t="s">
        <v>1111</v>
      </c>
      <c r="I143" s="103"/>
      <c r="J143" s="103"/>
      <c r="K143" s="103"/>
    </row>
    <row r="144" spans="2:25" x14ac:dyDescent="0.25">
      <c r="D144" s="38" t="s">
        <v>36</v>
      </c>
      <c r="E144" s="119">
        <v>2</v>
      </c>
      <c r="F144" s="119"/>
      <c r="G144" s="119"/>
      <c r="H144" s="118">
        <v>44968</v>
      </c>
      <c r="I144" s="103"/>
      <c r="J144" s="103"/>
      <c r="K144" s="103"/>
    </row>
    <row r="145" spans="4:11" x14ac:dyDescent="0.25">
      <c r="D145" s="38" t="s">
        <v>446</v>
      </c>
      <c r="E145" s="119">
        <v>2</v>
      </c>
      <c r="F145" s="119"/>
      <c r="G145" s="119"/>
      <c r="H145" s="118" t="s">
        <v>1133</v>
      </c>
      <c r="I145" s="103"/>
      <c r="J145" s="103"/>
      <c r="K145" s="103"/>
    </row>
    <row r="146" spans="4:11" x14ac:dyDescent="0.25">
      <c r="D146" s="38" t="s">
        <v>226</v>
      </c>
      <c r="E146" s="119">
        <v>2</v>
      </c>
      <c r="F146" s="119"/>
      <c r="G146" s="119"/>
      <c r="H146" s="118" t="s">
        <v>1212</v>
      </c>
      <c r="I146" s="103"/>
      <c r="J146" s="103"/>
      <c r="K146" s="103"/>
    </row>
    <row r="147" spans="4:11" x14ac:dyDescent="0.25">
      <c r="D147" s="38" t="s">
        <v>255</v>
      </c>
      <c r="E147" s="119">
        <v>2</v>
      </c>
      <c r="F147" s="119"/>
      <c r="G147" s="119"/>
      <c r="H147" s="118" t="s">
        <v>1222</v>
      </c>
      <c r="I147" s="103"/>
      <c r="J147" s="103"/>
      <c r="K147" s="103"/>
    </row>
    <row r="148" spans="4:11" x14ac:dyDescent="0.25">
      <c r="D148" s="38" t="s">
        <v>36</v>
      </c>
      <c r="E148" s="119">
        <v>2</v>
      </c>
      <c r="F148" s="119"/>
      <c r="G148" s="119"/>
      <c r="H148" s="118" t="s">
        <v>1257</v>
      </c>
      <c r="I148" s="103"/>
      <c r="J148" s="103"/>
      <c r="K148" s="103"/>
    </row>
    <row r="149" spans="4:11" x14ac:dyDescent="0.25">
      <c r="D149" s="38" t="s">
        <v>320</v>
      </c>
      <c r="E149" s="119">
        <v>2</v>
      </c>
      <c r="F149" s="119"/>
      <c r="G149" s="119"/>
      <c r="H149" s="118" t="s">
        <v>1268</v>
      </c>
      <c r="I149" s="103"/>
      <c r="J149" s="103"/>
      <c r="K149" s="103"/>
    </row>
    <row r="150" spans="4:11" x14ac:dyDescent="0.25">
      <c r="D150" s="38" t="s">
        <v>1191</v>
      </c>
      <c r="E150" s="119">
        <v>2</v>
      </c>
      <c r="F150" s="119"/>
      <c r="G150" s="119"/>
      <c r="H150" s="118" t="s">
        <v>1681</v>
      </c>
      <c r="I150" s="103"/>
      <c r="J150" s="103"/>
      <c r="K150" s="103"/>
    </row>
    <row r="151" spans="4:11" x14ac:dyDescent="0.25">
      <c r="D151" s="38" t="s">
        <v>232</v>
      </c>
      <c r="E151" s="119" t="s">
        <v>1261</v>
      </c>
      <c r="F151" s="119"/>
      <c r="G151" s="119"/>
      <c r="H151" s="118" t="s">
        <v>1744</v>
      </c>
      <c r="I151" s="103"/>
      <c r="J151" s="103"/>
      <c r="K151" s="103"/>
    </row>
  </sheetData>
  <sortState xmlns:xlrd2="http://schemas.microsoft.com/office/spreadsheetml/2017/richdata2" ref="D5:G21">
    <sortCondition descending="1" ref="G5:G21"/>
    <sortCondition descending="1" ref="E5:E21"/>
  </sortState>
  <mergeCells count="371">
    <mergeCell ref="E151:G151"/>
    <mergeCell ref="H151:K151"/>
    <mergeCell ref="E150:G150"/>
    <mergeCell ref="H150:K150"/>
    <mergeCell ref="E136:G136"/>
    <mergeCell ref="H136:K136"/>
    <mergeCell ref="E148:G148"/>
    <mergeCell ref="H148:K148"/>
    <mergeCell ref="E137:G137"/>
    <mergeCell ref="H137:K137"/>
    <mergeCell ref="E149:G149"/>
    <mergeCell ref="H149:K149"/>
    <mergeCell ref="E145:G145"/>
    <mergeCell ref="H145:K145"/>
    <mergeCell ref="E139:G139"/>
    <mergeCell ref="H139:K139"/>
    <mergeCell ref="S119:U119"/>
    <mergeCell ref="I117:L117"/>
    <mergeCell ref="E120:F120"/>
    <mergeCell ref="G120:H120"/>
    <mergeCell ref="I120:L120"/>
    <mergeCell ref="E116:F116"/>
    <mergeCell ref="S132:U132"/>
    <mergeCell ref="V132:Y132"/>
    <mergeCell ref="S135:U135"/>
    <mergeCell ref="V133:Y133"/>
    <mergeCell ref="S134:U134"/>
    <mergeCell ref="V134:Y134"/>
    <mergeCell ref="E122:F122"/>
    <mergeCell ref="V128:Y128"/>
    <mergeCell ref="D128:E128"/>
    <mergeCell ref="E132:G132"/>
    <mergeCell ref="S128:U128"/>
    <mergeCell ref="G123:H123"/>
    <mergeCell ref="I123:L123"/>
    <mergeCell ref="S123:U123"/>
    <mergeCell ref="V123:Y123"/>
    <mergeCell ref="S117:U117"/>
    <mergeCell ref="V117:Y117"/>
    <mergeCell ref="V119:Y119"/>
    <mergeCell ref="S138:U138"/>
    <mergeCell ref="V138:Y138"/>
    <mergeCell ref="V135:Y135"/>
    <mergeCell ref="S130:U130"/>
    <mergeCell ref="V130:Y130"/>
    <mergeCell ref="E129:G129"/>
    <mergeCell ref="H129:K129"/>
    <mergeCell ref="S133:U133"/>
    <mergeCell ref="V137:Y137"/>
    <mergeCell ref="H130:K130"/>
    <mergeCell ref="E133:G133"/>
    <mergeCell ref="H133:K133"/>
    <mergeCell ref="S137:U137"/>
    <mergeCell ref="S136:U136"/>
    <mergeCell ref="V136:Y136"/>
    <mergeCell ref="S131:U131"/>
    <mergeCell ref="V131:Y131"/>
    <mergeCell ref="W103:Y103"/>
    <mergeCell ref="I106:L106"/>
    <mergeCell ref="E110:F110"/>
    <mergeCell ref="W104:Y104"/>
    <mergeCell ref="E106:F106"/>
    <mergeCell ref="G106:H106"/>
    <mergeCell ref="U103:V103"/>
    <mergeCell ref="S105:T105"/>
    <mergeCell ref="V124:Y124"/>
    <mergeCell ref="S124:U124"/>
    <mergeCell ref="E124:F124"/>
    <mergeCell ref="G124:H124"/>
    <mergeCell ref="I124:L124"/>
    <mergeCell ref="S120:U120"/>
    <mergeCell ref="V120:Y120"/>
    <mergeCell ref="S112:U112"/>
    <mergeCell ref="V112:Y112"/>
    <mergeCell ref="V122:Y122"/>
    <mergeCell ref="S121:U121"/>
    <mergeCell ref="S115:U115"/>
    <mergeCell ref="V115:Y115"/>
    <mergeCell ref="S122:U122"/>
    <mergeCell ref="V113:Y113"/>
    <mergeCell ref="E121:F121"/>
    <mergeCell ref="I103:L103"/>
    <mergeCell ref="R101:S101"/>
    <mergeCell ref="R127:S127"/>
    <mergeCell ref="E125:F125"/>
    <mergeCell ref="G125:H125"/>
    <mergeCell ref="I125:L125"/>
    <mergeCell ref="G121:H121"/>
    <mergeCell ref="I121:L121"/>
    <mergeCell ref="S104:T104"/>
    <mergeCell ref="I104:L104"/>
    <mergeCell ref="S110:U110"/>
    <mergeCell ref="S109:U109"/>
    <mergeCell ref="I108:L108"/>
    <mergeCell ref="E107:F107"/>
    <mergeCell ref="G107:H107"/>
    <mergeCell ref="I107:L107"/>
    <mergeCell ref="U105:V105"/>
    <mergeCell ref="E105:F105"/>
    <mergeCell ref="G105:H105"/>
    <mergeCell ref="I105:L105"/>
    <mergeCell ref="U102:V102"/>
    <mergeCell ref="G122:H122"/>
    <mergeCell ref="I122:L122"/>
    <mergeCell ref="E123:F123"/>
    <mergeCell ref="E102:F102"/>
    <mergeCell ref="W95:Y95"/>
    <mergeCell ref="E101:F101"/>
    <mergeCell ref="G101:H101"/>
    <mergeCell ref="I101:L101"/>
    <mergeCell ref="S91:T91"/>
    <mergeCell ref="W96:Y96"/>
    <mergeCell ref="W92:Y92"/>
    <mergeCell ref="S97:T97"/>
    <mergeCell ref="G102:H102"/>
    <mergeCell ref="I102:L102"/>
    <mergeCell ref="S98:T98"/>
    <mergeCell ref="U98:V98"/>
    <mergeCell ref="U95:V95"/>
    <mergeCell ref="D100:E100"/>
    <mergeCell ref="S92:T92"/>
    <mergeCell ref="U91:V91"/>
    <mergeCell ref="U92:V92"/>
    <mergeCell ref="S96:T96"/>
    <mergeCell ref="U96:V96"/>
    <mergeCell ref="E92:G92"/>
    <mergeCell ref="H92:K92"/>
    <mergeCell ref="W97:Y97"/>
    <mergeCell ref="W91:Y91"/>
    <mergeCell ref="U90:V90"/>
    <mergeCell ref="S90:T90"/>
    <mergeCell ref="E93:G93"/>
    <mergeCell ref="H93:K93"/>
    <mergeCell ref="H90:K90"/>
    <mergeCell ref="E87:G87"/>
    <mergeCell ref="H87:K87"/>
    <mergeCell ref="E96:G96"/>
    <mergeCell ref="H96:K96"/>
    <mergeCell ref="S95:T95"/>
    <mergeCell ref="S88:T88"/>
    <mergeCell ref="E90:G90"/>
    <mergeCell ref="W93:Y93"/>
    <mergeCell ref="W94:Y94"/>
    <mergeCell ref="S94:T94"/>
    <mergeCell ref="U97:V97"/>
    <mergeCell ref="S93:T93"/>
    <mergeCell ref="E91:G91"/>
    <mergeCell ref="U93:V93"/>
    <mergeCell ref="U94:V94"/>
    <mergeCell ref="H91:K91"/>
    <mergeCell ref="E95:G95"/>
    <mergeCell ref="H95:K95"/>
    <mergeCell ref="H94:K94"/>
    <mergeCell ref="E97:G97"/>
    <mergeCell ref="H97:K97"/>
    <mergeCell ref="S84:T84"/>
    <mergeCell ref="U77:W77"/>
    <mergeCell ref="E88:G88"/>
    <mergeCell ref="H88:K88"/>
    <mergeCell ref="E89:G89"/>
    <mergeCell ref="H89:K89"/>
    <mergeCell ref="D85:E85"/>
    <mergeCell ref="S89:T89"/>
    <mergeCell ref="E86:G86"/>
    <mergeCell ref="H86:K86"/>
    <mergeCell ref="S80:T80"/>
    <mergeCell ref="H78:K78"/>
    <mergeCell ref="F82:G82"/>
    <mergeCell ref="F81:G81"/>
    <mergeCell ref="F80:G80"/>
    <mergeCell ref="H80:K80"/>
    <mergeCell ref="F77:G77"/>
    <mergeCell ref="H77:K77"/>
    <mergeCell ref="F79:G79"/>
    <mergeCell ref="H79:K79"/>
    <mergeCell ref="F78:G78"/>
    <mergeCell ref="H82:K82"/>
    <mergeCell ref="H81:K81"/>
    <mergeCell ref="S82:T82"/>
    <mergeCell ref="F75:G75"/>
    <mergeCell ref="F72:G72"/>
    <mergeCell ref="H72:K72"/>
    <mergeCell ref="S66:T66"/>
    <mergeCell ref="G63:H63"/>
    <mergeCell ref="G68:H68"/>
    <mergeCell ref="G66:H66"/>
    <mergeCell ref="G67:H67"/>
    <mergeCell ref="F76:G76"/>
    <mergeCell ref="H76:K76"/>
    <mergeCell ref="S63:T63"/>
    <mergeCell ref="S68:T68"/>
    <mergeCell ref="S67:T67"/>
    <mergeCell ref="D71:G71"/>
    <mergeCell ref="H75:K75"/>
    <mergeCell ref="F73:G73"/>
    <mergeCell ref="F74:G74"/>
    <mergeCell ref="H74:K74"/>
    <mergeCell ref="S70:T70"/>
    <mergeCell ref="S69:T69"/>
    <mergeCell ref="S65:T65"/>
    <mergeCell ref="H73:K73"/>
    <mergeCell ref="S75:T75"/>
    <mergeCell ref="U56:V56"/>
    <mergeCell ref="U69:V69"/>
    <mergeCell ref="G56:H56"/>
    <mergeCell ref="G57:H57"/>
    <mergeCell ref="G58:H58"/>
    <mergeCell ref="G59:H59"/>
    <mergeCell ref="G62:H62"/>
    <mergeCell ref="G60:H60"/>
    <mergeCell ref="G61:H61"/>
    <mergeCell ref="G64:H64"/>
    <mergeCell ref="G65:H65"/>
    <mergeCell ref="S62:T62"/>
    <mergeCell ref="U45:V45"/>
    <mergeCell ref="U46:V46"/>
    <mergeCell ref="U47:V47"/>
    <mergeCell ref="U51:V51"/>
    <mergeCell ref="U48:V48"/>
    <mergeCell ref="R44:S44"/>
    <mergeCell ref="U66:V66"/>
    <mergeCell ref="I38:K38"/>
    <mergeCell ref="U54:V54"/>
    <mergeCell ref="I47:K47"/>
    <mergeCell ref="I43:K43"/>
    <mergeCell ref="I45:K45"/>
    <mergeCell ref="I50:K50"/>
    <mergeCell ref="I39:K39"/>
    <mergeCell ref="I42:K42"/>
    <mergeCell ref="I41:K41"/>
    <mergeCell ref="S60:T60"/>
    <mergeCell ref="U49:V49"/>
    <mergeCell ref="I51:K51"/>
    <mergeCell ref="I52:K52"/>
    <mergeCell ref="U50:V50"/>
    <mergeCell ref="U52:V52"/>
    <mergeCell ref="U53:V53"/>
    <mergeCell ref="U55:V55"/>
    <mergeCell ref="I31:K31"/>
    <mergeCell ref="I32:K32"/>
    <mergeCell ref="I34:K34"/>
    <mergeCell ref="I48:K48"/>
    <mergeCell ref="I44:K44"/>
    <mergeCell ref="I49:K49"/>
    <mergeCell ref="R59:S59"/>
    <mergeCell ref="S61:T61"/>
    <mergeCell ref="S64:T64"/>
    <mergeCell ref="I33:K33"/>
    <mergeCell ref="I35:K35"/>
    <mergeCell ref="I40:K40"/>
    <mergeCell ref="I46:K46"/>
    <mergeCell ref="I36:K36"/>
    <mergeCell ref="I37:K37"/>
    <mergeCell ref="U75:W75"/>
    <mergeCell ref="W60:Y60"/>
    <mergeCell ref="W70:Y70"/>
    <mergeCell ref="W62:Y62"/>
    <mergeCell ref="W63:Y63"/>
    <mergeCell ref="W69:Y69"/>
    <mergeCell ref="W65:Y65"/>
    <mergeCell ref="W67:Y67"/>
    <mergeCell ref="S74:T74"/>
    <mergeCell ref="U74:W74"/>
    <mergeCell ref="U64:V64"/>
    <mergeCell ref="U68:V68"/>
    <mergeCell ref="W61:Y61"/>
    <mergeCell ref="W64:Y64"/>
    <mergeCell ref="W68:Y68"/>
    <mergeCell ref="R73:S73"/>
    <mergeCell ref="U61:V61"/>
    <mergeCell ref="U60:V60"/>
    <mergeCell ref="U62:V62"/>
    <mergeCell ref="U63:V63"/>
    <mergeCell ref="W66:Y66"/>
    <mergeCell ref="U65:V65"/>
    <mergeCell ref="E103:F103"/>
    <mergeCell ref="G103:H103"/>
    <mergeCell ref="U79:W79"/>
    <mergeCell ref="U67:V67"/>
    <mergeCell ref="U70:V70"/>
    <mergeCell ref="S76:T76"/>
    <mergeCell ref="S81:T81"/>
    <mergeCell ref="S78:T78"/>
    <mergeCell ref="W90:Y90"/>
    <mergeCell ref="U84:W84"/>
    <mergeCell ref="U88:V88"/>
    <mergeCell ref="W88:Y88"/>
    <mergeCell ref="U89:V89"/>
    <mergeCell ref="W89:Y89"/>
    <mergeCell ref="S77:T77"/>
    <mergeCell ref="S83:T83"/>
    <mergeCell ref="R87:S87"/>
    <mergeCell ref="U82:W82"/>
    <mergeCell ref="U81:W81"/>
    <mergeCell ref="U80:W80"/>
    <mergeCell ref="U78:W78"/>
    <mergeCell ref="U76:W76"/>
    <mergeCell ref="U83:W83"/>
    <mergeCell ref="S79:T79"/>
    <mergeCell ref="V121:Y121"/>
    <mergeCell ref="G119:H119"/>
    <mergeCell ref="I119:L119"/>
    <mergeCell ref="E147:G147"/>
    <mergeCell ref="H147:K147"/>
    <mergeCell ref="V129:Y129"/>
    <mergeCell ref="S129:U129"/>
    <mergeCell ref="H140:K140"/>
    <mergeCell ref="W102:Y102"/>
    <mergeCell ref="E118:F118"/>
    <mergeCell ref="G118:H118"/>
    <mergeCell ref="I118:L118"/>
    <mergeCell ref="E130:G130"/>
    <mergeCell ref="E109:F109"/>
    <mergeCell ref="E111:F111"/>
    <mergeCell ref="G111:H111"/>
    <mergeCell ref="I111:L111"/>
    <mergeCell ref="S102:T102"/>
    <mergeCell ref="G110:H110"/>
    <mergeCell ref="I110:L110"/>
    <mergeCell ref="S103:T103"/>
    <mergeCell ref="W105:Y105"/>
    <mergeCell ref="D114:E114"/>
    <mergeCell ref="G109:H109"/>
    <mergeCell ref="E108:F108"/>
    <mergeCell ref="G108:H108"/>
    <mergeCell ref="V111:Y111"/>
    <mergeCell ref="I115:L115"/>
    <mergeCell ref="E119:F119"/>
    <mergeCell ref="E115:F115"/>
    <mergeCell ref="G115:H115"/>
    <mergeCell ref="I116:L116"/>
    <mergeCell ref="U104:V104"/>
    <mergeCell ref="V116:Y116"/>
    <mergeCell ref="S118:U118"/>
    <mergeCell ref="G116:H116"/>
    <mergeCell ref="R108:S108"/>
    <mergeCell ref="V109:Y109"/>
    <mergeCell ref="V110:Y110"/>
    <mergeCell ref="S111:U111"/>
    <mergeCell ref="V118:Y118"/>
    <mergeCell ref="I109:L109"/>
    <mergeCell ref="S113:U113"/>
    <mergeCell ref="G117:H117"/>
    <mergeCell ref="E117:F117"/>
    <mergeCell ref="S116:U116"/>
    <mergeCell ref="S114:U114"/>
    <mergeCell ref="V114:Y114"/>
    <mergeCell ref="E104:F104"/>
    <mergeCell ref="G104:H104"/>
    <mergeCell ref="E94:G94"/>
    <mergeCell ref="W98:Y98"/>
    <mergeCell ref="E146:G146"/>
    <mergeCell ref="H146:K146"/>
    <mergeCell ref="E134:G134"/>
    <mergeCell ref="H134:K134"/>
    <mergeCell ref="E131:G131"/>
    <mergeCell ref="H131:K131"/>
    <mergeCell ref="E135:G135"/>
    <mergeCell ref="H135:K135"/>
    <mergeCell ref="H132:K132"/>
    <mergeCell ref="E143:G143"/>
    <mergeCell ref="H143:K143"/>
    <mergeCell ref="E142:G142"/>
    <mergeCell ref="H142:K142"/>
    <mergeCell ref="E144:G144"/>
    <mergeCell ref="H144:K144"/>
    <mergeCell ref="H141:K141"/>
    <mergeCell ref="E141:G141"/>
    <mergeCell ref="E138:G138"/>
    <mergeCell ref="H138:K138"/>
    <mergeCell ref="E140:G140"/>
  </mergeCells>
  <phoneticPr fontId="10" type="noConversion"/>
  <pageMargins left="0.7" right="0.7" top="0.78740157499999996" bottom="0.78740157499999996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EA551-16EF-4DA2-8B43-097B24C4D707}">
  <dimension ref="A1:BK92"/>
  <sheetViews>
    <sheetView zoomScale="70" zoomScaleNormal="70" workbookViewId="0">
      <pane xSplit="1" topLeftCell="B1" activePane="topRight" state="frozen"/>
      <selection pane="topRight" activeCell="AV2" sqref="AV2"/>
    </sheetView>
  </sheetViews>
  <sheetFormatPr defaultRowHeight="15" x14ac:dyDescent="0.25"/>
  <cols>
    <col min="1" max="1" width="17.140625" bestFit="1" customWidth="1"/>
    <col min="2" max="3" width="5.140625" bestFit="1" customWidth="1"/>
    <col min="4" max="5" width="6.140625" bestFit="1" customWidth="1"/>
    <col min="6" max="7" width="5.140625" bestFit="1" customWidth="1"/>
    <col min="8" max="11" width="6.140625" bestFit="1" customWidth="1"/>
    <col min="12" max="13" width="4.140625" bestFit="1" customWidth="1"/>
    <col min="14" max="17" width="5.140625" bestFit="1" customWidth="1"/>
    <col min="18" max="21" width="4.140625" bestFit="1" customWidth="1"/>
    <col min="22" max="25" width="5.28515625" bestFit="1" customWidth="1"/>
    <col min="26" max="30" width="6.42578125" bestFit="1" customWidth="1"/>
    <col min="31" max="32" width="5.28515625" bestFit="1" customWidth="1"/>
    <col min="33" max="34" width="4.28515625" bestFit="1" customWidth="1"/>
    <col min="35" max="39" width="5.28515625" bestFit="1" customWidth="1"/>
    <col min="40" max="43" width="5.7109375" bestFit="1" customWidth="1"/>
    <col min="44" max="45" width="6.7109375" bestFit="1" customWidth="1"/>
    <col min="46" max="47" width="5.7109375" bestFit="1" customWidth="1"/>
    <col min="48" max="49" width="6.7109375" bestFit="1" customWidth="1"/>
    <col min="50" max="51" width="5.7109375" bestFit="1" customWidth="1"/>
    <col min="52" max="53" width="4.5703125" bestFit="1" customWidth="1"/>
    <col min="54" max="63" width="5.7109375" bestFit="1" customWidth="1"/>
  </cols>
  <sheetData>
    <row r="1" spans="1:63" x14ac:dyDescent="0.25">
      <c r="B1" s="142" t="s">
        <v>473</v>
      </c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3" t="s">
        <v>1154</v>
      </c>
      <c r="W1" s="143"/>
      <c r="X1" s="143"/>
      <c r="Y1" s="143"/>
      <c r="Z1" s="143"/>
      <c r="AA1" s="143"/>
      <c r="AB1" s="143"/>
      <c r="AC1" s="143"/>
      <c r="AD1" s="143"/>
      <c r="AE1" s="143"/>
      <c r="AF1" s="143"/>
      <c r="AG1" s="143"/>
      <c r="AH1" s="143"/>
      <c r="AI1" s="143"/>
      <c r="AJ1" s="143"/>
      <c r="AK1" s="143"/>
      <c r="AL1" s="143"/>
      <c r="AM1" s="143"/>
      <c r="AN1" s="133" t="s">
        <v>1643</v>
      </c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3"/>
      <c r="BF1" s="133"/>
      <c r="BG1" s="133"/>
      <c r="BH1" s="133"/>
      <c r="BI1" s="133"/>
      <c r="BJ1" s="133"/>
      <c r="BK1" s="133"/>
    </row>
    <row r="2" spans="1:63" x14ac:dyDescent="0.25">
      <c r="B2" t="s">
        <v>871</v>
      </c>
      <c r="C2" t="s">
        <v>871</v>
      </c>
      <c r="D2" t="s">
        <v>872</v>
      </c>
      <c r="E2" t="s">
        <v>872</v>
      </c>
      <c r="F2" t="s">
        <v>873</v>
      </c>
      <c r="G2" t="s">
        <v>873</v>
      </c>
      <c r="H2" t="s">
        <v>843</v>
      </c>
      <c r="I2" t="s">
        <v>843</v>
      </c>
      <c r="J2" t="s">
        <v>835</v>
      </c>
      <c r="K2" t="s">
        <v>835</v>
      </c>
      <c r="L2" t="s">
        <v>865</v>
      </c>
      <c r="M2" t="s">
        <v>865</v>
      </c>
      <c r="N2" t="s">
        <v>874</v>
      </c>
      <c r="O2" t="s">
        <v>874</v>
      </c>
      <c r="P2" t="s">
        <v>875</v>
      </c>
      <c r="Q2" t="s">
        <v>875</v>
      </c>
      <c r="R2" t="s">
        <v>876</v>
      </c>
      <c r="S2" t="s">
        <v>876</v>
      </c>
      <c r="T2" t="s">
        <v>839</v>
      </c>
      <c r="U2" t="s">
        <v>839</v>
      </c>
      <c r="V2" s="17" t="s">
        <v>869</v>
      </c>
      <c r="W2" s="17" t="s">
        <v>869</v>
      </c>
      <c r="X2" s="17" t="s">
        <v>1160</v>
      </c>
      <c r="Y2" s="17" t="s">
        <v>1160</v>
      </c>
      <c r="Z2" s="17" t="s">
        <v>784</v>
      </c>
      <c r="AA2" s="17" t="s">
        <v>784</v>
      </c>
      <c r="AB2" s="17" t="s">
        <v>1161</v>
      </c>
      <c r="AC2" s="17" t="s">
        <v>1161</v>
      </c>
      <c r="AD2" s="17" t="s">
        <v>797</v>
      </c>
      <c r="AE2" s="17" t="s">
        <v>853</v>
      </c>
      <c r="AF2" s="17" t="s">
        <v>853</v>
      </c>
      <c r="AG2" s="17" t="s">
        <v>1162</v>
      </c>
      <c r="AH2" s="17" t="s">
        <v>1162</v>
      </c>
      <c r="AI2" s="17" t="s">
        <v>1157</v>
      </c>
      <c r="AJ2" s="17" t="s">
        <v>1157</v>
      </c>
      <c r="AK2" s="17" t="s">
        <v>854</v>
      </c>
      <c r="AL2" s="17" t="s">
        <v>854</v>
      </c>
      <c r="AM2" s="17" t="s">
        <v>812</v>
      </c>
      <c r="AN2" s="17" t="s">
        <v>1657</v>
      </c>
      <c r="AO2" s="17" t="s">
        <v>1657</v>
      </c>
      <c r="AP2" s="17" t="s">
        <v>1645</v>
      </c>
      <c r="AQ2" s="17" t="s">
        <v>1645</v>
      </c>
      <c r="AR2" s="17" t="s">
        <v>953</v>
      </c>
      <c r="AS2" s="17" t="s">
        <v>953</v>
      </c>
      <c r="AT2" s="17" t="s">
        <v>806</v>
      </c>
      <c r="AU2" s="17" t="s">
        <v>806</v>
      </c>
      <c r="AV2" s="17" t="s">
        <v>962</v>
      </c>
      <c r="AW2" s="17" t="s">
        <v>962</v>
      </c>
      <c r="AX2" s="17" t="s">
        <v>858</v>
      </c>
      <c r="AY2" s="17" t="s">
        <v>858</v>
      </c>
      <c r="AZ2" s="17" t="s">
        <v>1658</v>
      </c>
      <c r="BA2" s="17" t="s">
        <v>1658</v>
      </c>
      <c r="BB2" s="17" t="s">
        <v>859</v>
      </c>
      <c r="BC2" s="17" t="s">
        <v>859</v>
      </c>
      <c r="BD2" s="17" t="s">
        <v>948</v>
      </c>
      <c r="BE2" s="17" t="s">
        <v>948</v>
      </c>
      <c r="BF2" s="17" t="s">
        <v>817</v>
      </c>
      <c r="BG2" s="17" t="s">
        <v>817</v>
      </c>
      <c r="BH2" s="17" t="s">
        <v>1659</v>
      </c>
      <c r="BI2" s="17" t="s">
        <v>1659</v>
      </c>
      <c r="BJ2" s="17" t="s">
        <v>960</v>
      </c>
      <c r="BK2" s="17" t="s">
        <v>960</v>
      </c>
    </row>
    <row r="3" spans="1:63" x14ac:dyDescent="0.25">
      <c r="A3" t="s">
        <v>324</v>
      </c>
      <c r="B3" s="61" t="s">
        <v>2</v>
      </c>
      <c r="C3" s="61" t="s">
        <v>2</v>
      </c>
      <c r="D3" s="63"/>
      <c r="E3" s="61" t="s">
        <v>2</v>
      </c>
      <c r="F3" s="17" t="s">
        <v>870</v>
      </c>
      <c r="G3" s="17" t="s">
        <v>870</v>
      </c>
      <c r="H3" s="17" t="s">
        <v>870</v>
      </c>
      <c r="I3" s="17" t="s">
        <v>870</v>
      </c>
      <c r="J3" s="61" t="s">
        <v>2</v>
      </c>
      <c r="K3" s="61" t="s">
        <v>2</v>
      </c>
      <c r="L3" s="17" t="s">
        <v>870</v>
      </c>
      <c r="M3" s="17" t="s">
        <v>870</v>
      </c>
      <c r="N3" s="61" t="s">
        <v>2</v>
      </c>
      <c r="O3" s="61" t="s">
        <v>2</v>
      </c>
      <c r="P3" s="61" t="s">
        <v>2</v>
      </c>
      <c r="Q3" s="61" t="s">
        <v>2</v>
      </c>
      <c r="R3" s="61" t="s">
        <v>2</v>
      </c>
      <c r="S3" s="61" t="s">
        <v>2</v>
      </c>
      <c r="T3" s="17" t="s">
        <v>870</v>
      </c>
      <c r="U3" s="17" t="s">
        <v>870</v>
      </c>
      <c r="V3" s="61" t="s">
        <v>2</v>
      </c>
      <c r="W3" s="61" t="s">
        <v>2</v>
      </c>
      <c r="X3" s="61" t="s">
        <v>2</v>
      </c>
      <c r="Y3" s="61" t="s">
        <v>2</v>
      </c>
      <c r="Z3" s="17" t="s">
        <v>870</v>
      </c>
      <c r="AA3" s="17" t="s">
        <v>870</v>
      </c>
      <c r="AB3" s="17" t="s">
        <v>870</v>
      </c>
      <c r="AC3" s="17" t="s">
        <v>870</v>
      </c>
      <c r="AD3" s="61" t="s">
        <v>2</v>
      </c>
      <c r="AE3" s="17" t="s">
        <v>870</v>
      </c>
      <c r="AF3" s="17" t="s">
        <v>870</v>
      </c>
      <c r="AG3" s="61" t="s">
        <v>2</v>
      </c>
      <c r="AH3" s="61" t="s">
        <v>2</v>
      </c>
      <c r="AI3" s="17" t="s">
        <v>870</v>
      </c>
      <c r="AJ3" s="17" t="s">
        <v>870</v>
      </c>
      <c r="AK3" s="17" t="s">
        <v>870</v>
      </c>
      <c r="AL3" s="17" t="s">
        <v>870</v>
      </c>
      <c r="AM3" s="61" t="s">
        <v>2</v>
      </c>
      <c r="AN3" s="17" t="s">
        <v>870</v>
      </c>
      <c r="AO3" s="17" t="s">
        <v>870</v>
      </c>
      <c r="AP3" s="17" t="s">
        <v>870</v>
      </c>
      <c r="AQ3" s="17" t="s">
        <v>870</v>
      </c>
      <c r="AR3" s="17" t="s">
        <v>870</v>
      </c>
      <c r="AS3" s="17" t="s">
        <v>870</v>
      </c>
      <c r="AT3" s="17" t="s">
        <v>870</v>
      </c>
      <c r="AU3" s="17" t="s">
        <v>870</v>
      </c>
    </row>
    <row r="4" spans="1:63" x14ac:dyDescent="0.25">
      <c r="A4" t="s">
        <v>8</v>
      </c>
      <c r="B4" s="61" t="s">
        <v>2</v>
      </c>
      <c r="C4" s="61" t="s">
        <v>2</v>
      </c>
      <c r="D4" s="17" t="s">
        <v>870</v>
      </c>
      <c r="E4" s="17" t="s">
        <v>870</v>
      </c>
      <c r="F4" s="17" t="s">
        <v>870</v>
      </c>
      <c r="G4" s="17" t="s">
        <v>870</v>
      </c>
      <c r="H4" s="17" t="s">
        <v>870</v>
      </c>
      <c r="I4" s="17" t="s">
        <v>870</v>
      </c>
      <c r="J4" s="17" t="s">
        <v>870</v>
      </c>
      <c r="K4" s="17" t="s">
        <v>870</v>
      </c>
      <c r="L4" s="61" t="s">
        <v>2</v>
      </c>
      <c r="M4" s="61" t="s">
        <v>2</v>
      </c>
      <c r="N4" s="17" t="s">
        <v>870</v>
      </c>
      <c r="O4" s="17" t="s">
        <v>870</v>
      </c>
      <c r="P4" s="17" t="s">
        <v>870</v>
      </c>
      <c r="Q4" s="17" t="s">
        <v>870</v>
      </c>
      <c r="R4" s="17" t="s">
        <v>870</v>
      </c>
      <c r="S4" s="17" t="s">
        <v>870</v>
      </c>
      <c r="T4" s="61" t="s">
        <v>2</v>
      </c>
      <c r="U4" s="61" t="s">
        <v>2</v>
      </c>
      <c r="V4" s="17" t="s">
        <v>870</v>
      </c>
      <c r="W4" s="17" t="s">
        <v>870</v>
      </c>
      <c r="X4" s="17" t="s">
        <v>870</v>
      </c>
      <c r="Y4" s="17" t="s">
        <v>870</v>
      </c>
      <c r="Z4" s="17" t="s">
        <v>870</v>
      </c>
      <c r="AA4" s="17" t="s">
        <v>870</v>
      </c>
      <c r="AB4" s="17" t="s">
        <v>870</v>
      </c>
      <c r="AC4" s="17" t="s">
        <v>870</v>
      </c>
      <c r="AD4" s="17" t="s">
        <v>870</v>
      </c>
      <c r="AE4" s="17" t="s">
        <v>870</v>
      </c>
      <c r="AF4" s="17" t="s">
        <v>870</v>
      </c>
      <c r="AG4" s="17" t="s">
        <v>870</v>
      </c>
      <c r="AH4" s="17" t="s">
        <v>870</v>
      </c>
      <c r="AI4" s="17" t="s">
        <v>870</v>
      </c>
      <c r="AJ4" s="17" t="s">
        <v>870</v>
      </c>
      <c r="AK4" s="17" t="s">
        <v>870</v>
      </c>
      <c r="AL4" s="17" t="s">
        <v>870</v>
      </c>
      <c r="AM4" s="17" t="s">
        <v>870</v>
      </c>
      <c r="AN4" s="17" t="s">
        <v>870</v>
      </c>
      <c r="AO4" s="17" t="s">
        <v>870</v>
      </c>
      <c r="AP4" s="17" t="s">
        <v>870</v>
      </c>
      <c r="AQ4" s="17" t="s">
        <v>870</v>
      </c>
      <c r="AR4" s="17" t="s">
        <v>870</v>
      </c>
      <c r="AS4" s="17" t="s">
        <v>870</v>
      </c>
      <c r="AT4" s="17" t="s">
        <v>870</v>
      </c>
      <c r="AU4" s="17" t="s">
        <v>870</v>
      </c>
    </row>
    <row r="5" spans="1:63" x14ac:dyDescent="0.25">
      <c r="A5" t="s">
        <v>36</v>
      </c>
      <c r="B5" s="61" t="s">
        <v>2</v>
      </c>
      <c r="C5" s="61" t="s">
        <v>2</v>
      </c>
      <c r="D5" s="63"/>
      <c r="E5" s="63"/>
      <c r="F5" s="61" t="s">
        <v>2</v>
      </c>
      <c r="G5" s="63"/>
      <c r="H5" s="63"/>
      <c r="I5" s="63"/>
      <c r="J5" s="63"/>
      <c r="K5" s="63"/>
      <c r="L5" s="17" t="s">
        <v>870</v>
      </c>
      <c r="M5" s="17" t="s">
        <v>870</v>
      </c>
      <c r="N5" s="62"/>
      <c r="O5" s="62"/>
      <c r="P5" s="61" t="s">
        <v>2</v>
      </c>
      <c r="Q5" s="61" t="s">
        <v>2</v>
      </c>
      <c r="R5" s="63"/>
      <c r="S5" s="61" t="s">
        <v>2</v>
      </c>
      <c r="T5" s="17" t="s">
        <v>870</v>
      </c>
      <c r="U5" s="17" t="s">
        <v>870</v>
      </c>
      <c r="V5" s="63"/>
      <c r="W5" s="63"/>
      <c r="X5" s="17" t="s">
        <v>870</v>
      </c>
      <c r="Y5" s="17" t="s">
        <v>870</v>
      </c>
      <c r="Z5" s="61" t="s">
        <v>2</v>
      </c>
      <c r="AA5" s="63"/>
      <c r="AB5" s="17" t="s">
        <v>870</v>
      </c>
      <c r="AC5" s="17" t="s">
        <v>870</v>
      </c>
      <c r="AD5" s="17" t="s">
        <v>870</v>
      </c>
      <c r="AE5" s="61" t="s">
        <v>2</v>
      </c>
      <c r="AF5" s="61" t="s">
        <v>2</v>
      </c>
      <c r="AG5" s="63"/>
      <c r="AH5" s="63"/>
      <c r="AI5" s="61" t="s">
        <v>2</v>
      </c>
      <c r="AJ5" s="63"/>
      <c r="AK5" s="61" t="s">
        <v>2</v>
      </c>
      <c r="AL5" s="63"/>
      <c r="AM5" s="17" t="s">
        <v>870</v>
      </c>
      <c r="AN5" s="61" t="s">
        <v>2</v>
      </c>
      <c r="AO5" s="63"/>
      <c r="AP5" s="61"/>
      <c r="AQ5" s="61" t="s">
        <v>2</v>
      </c>
      <c r="AR5" s="17" t="s">
        <v>870</v>
      </c>
      <c r="AS5" s="17" t="s">
        <v>870</v>
      </c>
      <c r="AT5" s="63"/>
      <c r="AU5" s="61"/>
    </row>
    <row r="6" spans="1:63" x14ac:dyDescent="0.25">
      <c r="A6" t="s">
        <v>13</v>
      </c>
      <c r="B6" s="17" t="s">
        <v>870</v>
      </c>
      <c r="C6" s="17" t="s">
        <v>870</v>
      </c>
      <c r="D6" s="17" t="s">
        <v>870</v>
      </c>
      <c r="E6" s="61" t="s">
        <v>2</v>
      </c>
      <c r="F6" s="17" t="s">
        <v>870</v>
      </c>
      <c r="G6" s="17" t="s">
        <v>870</v>
      </c>
      <c r="H6" s="17" t="s">
        <v>870</v>
      </c>
      <c r="I6" s="17" t="s">
        <v>870</v>
      </c>
      <c r="J6" s="17" t="s">
        <v>870</v>
      </c>
      <c r="K6" s="17" t="s">
        <v>870</v>
      </c>
      <c r="L6" s="17" t="s">
        <v>870</v>
      </c>
      <c r="M6" s="17" t="s">
        <v>870</v>
      </c>
      <c r="N6" s="17" t="s">
        <v>870</v>
      </c>
      <c r="O6" s="17" t="s">
        <v>870</v>
      </c>
      <c r="P6" s="61" t="s">
        <v>2</v>
      </c>
      <c r="Q6" s="61" t="s">
        <v>2</v>
      </c>
      <c r="R6" s="17" t="s">
        <v>870</v>
      </c>
      <c r="S6" s="17" t="s">
        <v>870</v>
      </c>
      <c r="T6" s="61" t="s">
        <v>2</v>
      </c>
      <c r="U6" s="61" t="s">
        <v>2</v>
      </c>
      <c r="V6" s="17" t="s">
        <v>870</v>
      </c>
      <c r="W6" s="17" t="s">
        <v>870</v>
      </c>
      <c r="X6" s="17" t="s">
        <v>870</v>
      </c>
      <c r="Y6" s="17" t="s">
        <v>870</v>
      </c>
      <c r="Z6" s="17" t="s">
        <v>870</v>
      </c>
      <c r="AA6" s="17" t="s">
        <v>870</v>
      </c>
      <c r="AB6" s="17" t="s">
        <v>870</v>
      </c>
      <c r="AC6" s="17" t="s">
        <v>870</v>
      </c>
      <c r="AD6" s="17" t="s">
        <v>870</v>
      </c>
      <c r="AE6" s="17" t="s">
        <v>870</v>
      </c>
      <c r="AF6" s="17" t="s">
        <v>870</v>
      </c>
      <c r="AG6" s="17" t="s">
        <v>870</v>
      </c>
      <c r="AH6" s="17" t="s">
        <v>870</v>
      </c>
      <c r="AI6" s="17" t="s">
        <v>870</v>
      </c>
      <c r="AJ6" s="17" t="s">
        <v>870</v>
      </c>
      <c r="AK6" s="17" t="s">
        <v>870</v>
      </c>
      <c r="AL6" s="17" t="s">
        <v>870</v>
      </c>
      <c r="AM6" s="17" t="s">
        <v>870</v>
      </c>
      <c r="AN6" s="17" t="s">
        <v>870</v>
      </c>
      <c r="AO6" s="17" t="s">
        <v>870</v>
      </c>
      <c r="AP6" s="17" t="s">
        <v>870</v>
      </c>
      <c r="AQ6" s="17" t="s">
        <v>870</v>
      </c>
      <c r="AR6" s="17" t="s">
        <v>870</v>
      </c>
      <c r="AS6" s="17" t="s">
        <v>870</v>
      </c>
      <c r="AT6" s="17" t="s">
        <v>870</v>
      </c>
      <c r="AU6" s="17" t="s">
        <v>870</v>
      </c>
    </row>
    <row r="7" spans="1:63" x14ac:dyDescent="0.25">
      <c r="A7" t="s">
        <v>225</v>
      </c>
      <c r="B7" s="63"/>
      <c r="C7" s="61" t="s">
        <v>2</v>
      </c>
      <c r="D7" s="17" t="s">
        <v>870</v>
      </c>
      <c r="E7" s="17" t="s">
        <v>870</v>
      </c>
      <c r="F7" s="17" t="s">
        <v>870</v>
      </c>
      <c r="G7" s="17" t="s">
        <v>870</v>
      </c>
      <c r="H7" s="17" t="s">
        <v>870</v>
      </c>
      <c r="I7" s="17" t="s">
        <v>870</v>
      </c>
      <c r="J7" s="17" t="s">
        <v>870</v>
      </c>
      <c r="K7" s="17" t="s">
        <v>870</v>
      </c>
      <c r="L7" s="17" t="s">
        <v>870</v>
      </c>
      <c r="M7" s="17" t="s">
        <v>870</v>
      </c>
      <c r="N7" s="63"/>
      <c r="O7" s="61" t="s">
        <v>2</v>
      </c>
      <c r="P7" s="17" t="s">
        <v>870</v>
      </c>
      <c r="Q7" s="17" t="s">
        <v>870</v>
      </c>
      <c r="R7" s="17" t="s">
        <v>870</v>
      </c>
      <c r="S7" s="17" t="s">
        <v>870</v>
      </c>
      <c r="T7" s="17" t="s">
        <v>870</v>
      </c>
      <c r="U7" s="17" t="s">
        <v>870</v>
      </c>
      <c r="V7" s="17" t="s">
        <v>870</v>
      </c>
      <c r="W7" s="17" t="s">
        <v>870</v>
      </c>
      <c r="X7" s="17" t="s">
        <v>870</v>
      </c>
      <c r="Y7" s="17" t="s">
        <v>870</v>
      </c>
      <c r="Z7" s="17" t="s">
        <v>870</v>
      </c>
      <c r="AA7" s="17" t="s">
        <v>870</v>
      </c>
      <c r="AB7" s="17" t="s">
        <v>870</v>
      </c>
      <c r="AC7" s="17" t="s">
        <v>870</v>
      </c>
      <c r="AD7" s="17" t="s">
        <v>870</v>
      </c>
      <c r="AE7" s="17" t="s">
        <v>870</v>
      </c>
      <c r="AF7" s="17" t="s">
        <v>870</v>
      </c>
      <c r="AG7" s="17" t="s">
        <v>870</v>
      </c>
      <c r="AH7" s="17" t="s">
        <v>870</v>
      </c>
      <c r="AI7" s="17" t="s">
        <v>870</v>
      </c>
      <c r="AJ7" s="17" t="s">
        <v>870</v>
      </c>
      <c r="AK7" s="17" t="s">
        <v>870</v>
      </c>
      <c r="AL7" s="17" t="s">
        <v>870</v>
      </c>
      <c r="AM7" s="17" t="s">
        <v>870</v>
      </c>
      <c r="AN7" s="17" t="s">
        <v>870</v>
      </c>
      <c r="AO7" s="17" t="s">
        <v>870</v>
      </c>
      <c r="AP7" s="17" t="s">
        <v>870</v>
      </c>
      <c r="AQ7" s="17" t="s">
        <v>870</v>
      </c>
      <c r="AR7" s="17" t="s">
        <v>870</v>
      </c>
      <c r="AS7" s="17" t="s">
        <v>870</v>
      </c>
      <c r="AT7" s="17" t="s">
        <v>870</v>
      </c>
      <c r="AU7" s="17" t="s">
        <v>870</v>
      </c>
    </row>
    <row r="8" spans="1:63" x14ac:dyDescent="0.25">
      <c r="A8" t="s">
        <v>7</v>
      </c>
      <c r="B8" s="17" t="s">
        <v>870</v>
      </c>
      <c r="C8" s="17" t="s">
        <v>870</v>
      </c>
      <c r="D8" s="63"/>
      <c r="E8" s="61" t="s">
        <v>2</v>
      </c>
      <c r="F8" s="17" t="s">
        <v>870</v>
      </c>
      <c r="G8" s="17" t="s">
        <v>870</v>
      </c>
      <c r="H8" s="17" t="s">
        <v>870</v>
      </c>
      <c r="I8" s="17" t="s">
        <v>870</v>
      </c>
      <c r="J8" s="17" t="s">
        <v>870</v>
      </c>
      <c r="K8" s="17" t="s">
        <v>870</v>
      </c>
      <c r="L8" s="17" t="s">
        <v>870</v>
      </c>
      <c r="M8" s="17" t="s">
        <v>870</v>
      </c>
      <c r="N8" s="62"/>
      <c r="O8" s="61" t="s">
        <v>2</v>
      </c>
      <c r="P8" s="17" t="s">
        <v>870</v>
      </c>
      <c r="Q8" s="62"/>
      <c r="R8" s="17" t="s">
        <v>870</v>
      </c>
      <c r="S8" s="17" t="s">
        <v>870</v>
      </c>
      <c r="T8" s="17" t="s">
        <v>870</v>
      </c>
      <c r="U8" s="17" t="s">
        <v>870</v>
      </c>
      <c r="V8" s="61" t="s">
        <v>2</v>
      </c>
      <c r="W8" s="63"/>
      <c r="X8" s="63"/>
      <c r="Y8" s="17" t="s">
        <v>870</v>
      </c>
      <c r="Z8" s="17" t="s">
        <v>870</v>
      </c>
      <c r="AA8" s="17" t="s">
        <v>870</v>
      </c>
      <c r="AB8" s="17" t="s">
        <v>870</v>
      </c>
      <c r="AC8" s="17" t="s">
        <v>870</v>
      </c>
      <c r="AD8" s="17" t="s">
        <v>870</v>
      </c>
      <c r="AE8" s="17" t="s">
        <v>870</v>
      </c>
      <c r="AF8" s="17" t="s">
        <v>870</v>
      </c>
      <c r="AG8" s="17" t="s">
        <v>870</v>
      </c>
      <c r="AH8" s="17" t="s">
        <v>870</v>
      </c>
      <c r="AI8" s="17" t="s">
        <v>870</v>
      </c>
      <c r="AJ8" s="17" t="s">
        <v>870</v>
      </c>
      <c r="AK8" s="17" t="s">
        <v>870</v>
      </c>
      <c r="AL8" s="17" t="s">
        <v>870</v>
      </c>
      <c r="AM8" s="17" t="s">
        <v>870</v>
      </c>
      <c r="AN8" s="17" t="s">
        <v>870</v>
      </c>
      <c r="AO8" s="17" t="s">
        <v>870</v>
      </c>
      <c r="AP8" s="17" t="s">
        <v>870</v>
      </c>
      <c r="AQ8" s="17" t="s">
        <v>870</v>
      </c>
      <c r="AR8" s="17" t="s">
        <v>870</v>
      </c>
      <c r="AS8" s="17" t="s">
        <v>870</v>
      </c>
      <c r="AT8" s="17" t="s">
        <v>870</v>
      </c>
      <c r="AU8" s="17" t="s">
        <v>870</v>
      </c>
    </row>
    <row r="9" spans="1:63" x14ac:dyDescent="0.25">
      <c r="A9" t="s">
        <v>358</v>
      </c>
      <c r="B9" s="17" t="s">
        <v>870</v>
      </c>
      <c r="C9" s="17" t="s">
        <v>870</v>
      </c>
      <c r="D9" s="17" t="s">
        <v>870</v>
      </c>
      <c r="E9" s="61" t="s">
        <v>2</v>
      </c>
      <c r="F9" s="17" t="s">
        <v>870</v>
      </c>
      <c r="G9" s="17" t="s">
        <v>870</v>
      </c>
      <c r="H9" s="17" t="s">
        <v>870</v>
      </c>
      <c r="I9" s="17" t="s">
        <v>870</v>
      </c>
      <c r="J9" s="17" t="s">
        <v>870</v>
      </c>
      <c r="K9" s="17" t="s">
        <v>870</v>
      </c>
      <c r="L9" s="17" t="s">
        <v>870</v>
      </c>
      <c r="M9" s="17" t="s">
        <v>870</v>
      </c>
      <c r="N9" s="17" t="s">
        <v>870</v>
      </c>
      <c r="O9" s="17" t="s">
        <v>870</v>
      </c>
      <c r="P9" s="17" t="s">
        <v>870</v>
      </c>
      <c r="Q9" s="17" t="s">
        <v>870</v>
      </c>
      <c r="R9" s="17" t="s">
        <v>870</v>
      </c>
      <c r="S9" s="17" t="s">
        <v>870</v>
      </c>
      <c r="T9" s="17" t="s">
        <v>870</v>
      </c>
      <c r="U9" s="17" t="s">
        <v>870</v>
      </c>
      <c r="V9" s="17" t="s">
        <v>870</v>
      </c>
      <c r="W9" s="17" t="s">
        <v>870</v>
      </c>
      <c r="X9" s="17" t="s">
        <v>870</v>
      </c>
      <c r="Y9" s="17" t="s">
        <v>870</v>
      </c>
      <c r="Z9" s="17" t="s">
        <v>870</v>
      </c>
      <c r="AA9" s="17" t="s">
        <v>870</v>
      </c>
      <c r="AB9" s="17" t="s">
        <v>870</v>
      </c>
      <c r="AC9" s="17" t="s">
        <v>870</v>
      </c>
      <c r="AD9" s="17" t="s">
        <v>870</v>
      </c>
      <c r="AE9" s="17" t="s">
        <v>870</v>
      </c>
      <c r="AF9" s="17" t="s">
        <v>870</v>
      </c>
      <c r="AG9" s="17" t="s">
        <v>870</v>
      </c>
      <c r="AH9" s="17" t="s">
        <v>870</v>
      </c>
      <c r="AI9" s="17" t="s">
        <v>870</v>
      </c>
      <c r="AJ9" s="17" t="s">
        <v>870</v>
      </c>
      <c r="AK9" s="17" t="s">
        <v>870</v>
      </c>
      <c r="AL9" s="17" t="s">
        <v>870</v>
      </c>
      <c r="AM9" s="17" t="s">
        <v>870</v>
      </c>
      <c r="AN9" s="17" t="s">
        <v>870</v>
      </c>
      <c r="AO9" s="17" t="s">
        <v>870</v>
      </c>
      <c r="AP9" s="17" t="s">
        <v>870</v>
      </c>
      <c r="AQ9" s="17" t="s">
        <v>870</v>
      </c>
      <c r="AR9" s="17" t="s">
        <v>870</v>
      </c>
      <c r="AS9" s="17" t="s">
        <v>870</v>
      </c>
      <c r="AT9" s="17" t="s">
        <v>870</v>
      </c>
      <c r="AU9" s="17" t="s">
        <v>870</v>
      </c>
    </row>
    <row r="10" spans="1:63" x14ac:dyDescent="0.25">
      <c r="A10" t="s">
        <v>17</v>
      </c>
      <c r="B10" s="63"/>
      <c r="C10" s="61" t="s">
        <v>2</v>
      </c>
      <c r="D10" s="62"/>
      <c r="E10" s="17" t="s">
        <v>870</v>
      </c>
      <c r="F10" s="17" t="s">
        <v>870</v>
      </c>
      <c r="G10" s="17" t="s">
        <v>870</v>
      </c>
      <c r="H10" s="63"/>
      <c r="I10" s="63"/>
      <c r="J10" s="63"/>
      <c r="K10" s="63"/>
      <c r="L10" s="17" t="s">
        <v>870</v>
      </c>
      <c r="M10" s="17" t="s">
        <v>870</v>
      </c>
      <c r="N10" s="17" t="s">
        <v>870</v>
      </c>
      <c r="O10" s="17" t="s">
        <v>870</v>
      </c>
      <c r="P10" s="17" t="s">
        <v>870</v>
      </c>
      <c r="Q10" s="17" t="s">
        <v>870</v>
      </c>
      <c r="R10" s="63"/>
      <c r="S10" s="63"/>
      <c r="T10" s="17" t="s">
        <v>870</v>
      </c>
      <c r="U10" s="17" t="s">
        <v>870</v>
      </c>
      <c r="V10" s="17" t="s">
        <v>870</v>
      </c>
      <c r="W10" s="17" t="s">
        <v>870</v>
      </c>
      <c r="X10" s="17" t="s">
        <v>870</v>
      </c>
      <c r="Y10" s="17" t="s">
        <v>870</v>
      </c>
      <c r="Z10" s="17" t="s">
        <v>870</v>
      </c>
      <c r="AA10" s="17" t="s">
        <v>870</v>
      </c>
      <c r="AB10" s="17" t="s">
        <v>870</v>
      </c>
      <c r="AC10" s="17" t="s">
        <v>870</v>
      </c>
      <c r="AD10" s="63"/>
      <c r="AE10" s="17" t="s">
        <v>870</v>
      </c>
      <c r="AF10" s="17" t="s">
        <v>870</v>
      </c>
      <c r="AG10" s="17" t="s">
        <v>870</v>
      </c>
      <c r="AH10" s="17" t="s">
        <v>870</v>
      </c>
      <c r="AI10" s="17" t="s">
        <v>870</v>
      </c>
      <c r="AJ10" s="17" t="s">
        <v>870</v>
      </c>
      <c r="AK10" s="17" t="s">
        <v>870</v>
      </c>
      <c r="AL10" s="17" t="s">
        <v>870</v>
      </c>
      <c r="AM10" s="17" t="s">
        <v>870</v>
      </c>
      <c r="AN10" s="17" t="s">
        <v>870</v>
      </c>
      <c r="AO10" s="17" t="s">
        <v>870</v>
      </c>
      <c r="AP10" s="17" t="s">
        <v>870</v>
      </c>
      <c r="AQ10" s="17" t="s">
        <v>870</v>
      </c>
      <c r="AR10" s="17" t="s">
        <v>870</v>
      </c>
      <c r="AS10" s="17" t="s">
        <v>870</v>
      </c>
      <c r="AT10" s="17" t="s">
        <v>870</v>
      </c>
      <c r="AU10" s="17" t="s">
        <v>870</v>
      </c>
    </row>
    <row r="11" spans="1:63" x14ac:dyDescent="0.25">
      <c r="A11" t="s">
        <v>16</v>
      </c>
      <c r="B11" s="17" t="s">
        <v>870</v>
      </c>
      <c r="C11" s="17" t="s">
        <v>870</v>
      </c>
      <c r="D11" s="61" t="s">
        <v>2</v>
      </c>
      <c r="E11" s="17" t="s">
        <v>870</v>
      </c>
      <c r="F11" s="17" t="s">
        <v>870</v>
      </c>
      <c r="G11" s="17" t="s">
        <v>870</v>
      </c>
      <c r="H11" s="17" t="s">
        <v>870</v>
      </c>
      <c r="I11" s="17" t="s">
        <v>870</v>
      </c>
      <c r="J11" s="17" t="s">
        <v>870</v>
      </c>
      <c r="K11" s="17" t="s">
        <v>870</v>
      </c>
      <c r="L11" s="17" t="s">
        <v>870</v>
      </c>
      <c r="M11" s="17" t="s">
        <v>870</v>
      </c>
      <c r="N11" s="17" t="s">
        <v>870</v>
      </c>
      <c r="O11" s="17" t="s">
        <v>870</v>
      </c>
      <c r="P11" s="17" t="s">
        <v>870</v>
      </c>
      <c r="Q11" s="17" t="s">
        <v>870</v>
      </c>
      <c r="R11" s="17" t="s">
        <v>870</v>
      </c>
      <c r="S11" s="17" t="s">
        <v>870</v>
      </c>
      <c r="T11" s="17" t="s">
        <v>870</v>
      </c>
      <c r="U11" s="17" t="s">
        <v>870</v>
      </c>
      <c r="V11" s="17" t="s">
        <v>870</v>
      </c>
      <c r="W11" s="17" t="s">
        <v>870</v>
      </c>
      <c r="X11" s="17" t="s">
        <v>870</v>
      </c>
      <c r="Y11" s="17" t="s">
        <v>870</v>
      </c>
      <c r="Z11" s="17" t="s">
        <v>870</v>
      </c>
      <c r="AA11" s="17" t="s">
        <v>870</v>
      </c>
      <c r="AB11" s="17" t="s">
        <v>870</v>
      </c>
      <c r="AC11" s="17" t="s">
        <v>870</v>
      </c>
      <c r="AD11" s="17" t="s">
        <v>870</v>
      </c>
      <c r="AE11" s="17" t="s">
        <v>870</v>
      </c>
      <c r="AF11" s="17" t="s">
        <v>870</v>
      </c>
      <c r="AG11" s="17" t="s">
        <v>870</v>
      </c>
      <c r="AH11" s="17" t="s">
        <v>870</v>
      </c>
      <c r="AI11" s="17" t="s">
        <v>870</v>
      </c>
      <c r="AJ11" s="17" t="s">
        <v>870</v>
      </c>
      <c r="AK11" s="17" t="s">
        <v>870</v>
      </c>
      <c r="AL11" s="17" t="s">
        <v>870</v>
      </c>
      <c r="AM11" s="17" t="s">
        <v>870</v>
      </c>
      <c r="AN11" s="17" t="s">
        <v>870</v>
      </c>
      <c r="AO11" s="17" t="s">
        <v>870</v>
      </c>
      <c r="AP11" s="17" t="s">
        <v>870</v>
      </c>
      <c r="AQ11" s="17" t="s">
        <v>870</v>
      </c>
      <c r="AR11" s="17" t="s">
        <v>870</v>
      </c>
      <c r="AS11" s="17" t="s">
        <v>870</v>
      </c>
      <c r="AT11" s="17" t="s">
        <v>870</v>
      </c>
      <c r="AU11" s="17" t="s">
        <v>870</v>
      </c>
    </row>
    <row r="12" spans="1:63" x14ac:dyDescent="0.25">
      <c r="A12" t="s">
        <v>446</v>
      </c>
      <c r="B12" s="63"/>
      <c r="C12" s="61" t="s">
        <v>2</v>
      </c>
      <c r="D12" s="63"/>
      <c r="E12" s="63"/>
      <c r="F12" s="63"/>
      <c r="G12" s="63"/>
      <c r="H12" s="63"/>
      <c r="I12" s="63"/>
      <c r="J12" s="61" t="s">
        <v>2</v>
      </c>
      <c r="K12" s="63"/>
      <c r="L12" s="61" t="s">
        <v>2</v>
      </c>
      <c r="M12" s="63"/>
      <c r="N12" s="63"/>
      <c r="O12" s="61" t="s">
        <v>2</v>
      </c>
      <c r="P12" s="61" t="s">
        <v>2</v>
      </c>
      <c r="Q12" s="63"/>
      <c r="R12" s="63"/>
      <c r="S12" s="61" t="s">
        <v>2</v>
      </c>
      <c r="T12" s="61" t="s">
        <v>2</v>
      </c>
      <c r="U12" s="62"/>
      <c r="V12" s="61" t="s">
        <v>2</v>
      </c>
      <c r="W12" s="63"/>
      <c r="X12" s="17" t="s">
        <v>870</v>
      </c>
      <c r="Y12" s="17" t="s">
        <v>870</v>
      </c>
      <c r="Z12" s="17" t="s">
        <v>870</v>
      </c>
      <c r="AA12" s="17" t="s">
        <v>870</v>
      </c>
      <c r="AB12" s="17" t="s">
        <v>870</v>
      </c>
      <c r="AC12" s="17" t="s">
        <v>870</v>
      </c>
      <c r="AD12" s="17" t="s">
        <v>870</v>
      </c>
      <c r="AE12" s="17" t="s">
        <v>870</v>
      </c>
      <c r="AF12" s="17" t="s">
        <v>870</v>
      </c>
      <c r="AG12" s="17" t="s">
        <v>870</v>
      </c>
      <c r="AH12" s="17" t="s">
        <v>870</v>
      </c>
      <c r="AI12" s="17" t="s">
        <v>870</v>
      </c>
      <c r="AJ12" s="17" t="s">
        <v>870</v>
      </c>
      <c r="AK12" s="17" t="s">
        <v>870</v>
      </c>
      <c r="AL12" s="17" t="s">
        <v>870</v>
      </c>
      <c r="AM12" s="17" t="s">
        <v>870</v>
      </c>
      <c r="AN12" s="17" t="s">
        <v>870</v>
      </c>
      <c r="AO12" s="17" t="s">
        <v>870</v>
      </c>
      <c r="AP12" s="17" t="s">
        <v>870</v>
      </c>
      <c r="AQ12" s="17" t="s">
        <v>870</v>
      </c>
      <c r="AR12" s="17" t="s">
        <v>870</v>
      </c>
      <c r="AS12" s="17" t="s">
        <v>870</v>
      </c>
      <c r="AT12" s="17" t="s">
        <v>870</v>
      </c>
      <c r="AU12" s="17" t="s">
        <v>870</v>
      </c>
    </row>
    <row r="13" spans="1:63" x14ac:dyDescent="0.25">
      <c r="A13" t="s">
        <v>434</v>
      </c>
      <c r="B13" s="17" t="s">
        <v>870</v>
      </c>
      <c r="C13" s="17" t="s">
        <v>870</v>
      </c>
      <c r="D13" s="63"/>
      <c r="E13" s="62"/>
      <c r="F13" s="17" t="s">
        <v>870</v>
      </c>
      <c r="G13" s="17" t="s">
        <v>870</v>
      </c>
      <c r="H13" s="17" t="s">
        <v>870</v>
      </c>
      <c r="I13" s="17" t="s">
        <v>870</v>
      </c>
      <c r="J13" s="61" t="s">
        <v>2</v>
      </c>
      <c r="K13" s="61" t="s">
        <v>2</v>
      </c>
      <c r="L13" s="17" t="s">
        <v>870</v>
      </c>
      <c r="M13" s="17" t="s">
        <v>870</v>
      </c>
      <c r="N13" s="62"/>
      <c r="O13" s="61" t="s">
        <v>2</v>
      </c>
      <c r="P13" s="17" t="s">
        <v>870</v>
      </c>
      <c r="Q13" s="17" t="s">
        <v>870</v>
      </c>
      <c r="R13" s="62"/>
      <c r="S13" s="62"/>
      <c r="T13" s="17" t="s">
        <v>870</v>
      </c>
      <c r="U13" s="17" t="s">
        <v>870</v>
      </c>
      <c r="V13" s="17" t="s">
        <v>870</v>
      </c>
      <c r="W13" s="17" t="s">
        <v>870</v>
      </c>
      <c r="X13" s="63"/>
      <c r="Y13" s="61"/>
      <c r="Z13" s="17" t="s">
        <v>870</v>
      </c>
      <c r="AA13" s="17" t="s">
        <v>870</v>
      </c>
      <c r="AB13" s="17" t="s">
        <v>870</v>
      </c>
      <c r="AC13" s="17" t="s">
        <v>870</v>
      </c>
      <c r="AD13" s="17" t="s">
        <v>870</v>
      </c>
      <c r="AE13" s="61" t="s">
        <v>2</v>
      </c>
      <c r="AF13" s="61"/>
      <c r="AG13" s="61" t="s">
        <v>2</v>
      </c>
      <c r="AH13" s="61" t="s">
        <v>2</v>
      </c>
      <c r="AI13" s="17" t="s">
        <v>870</v>
      </c>
      <c r="AJ13" s="17" t="s">
        <v>870</v>
      </c>
      <c r="AK13" s="17" t="s">
        <v>870</v>
      </c>
      <c r="AL13" s="17" t="s">
        <v>870</v>
      </c>
      <c r="AM13" s="61" t="s">
        <v>2</v>
      </c>
      <c r="AN13" s="17" t="s">
        <v>870</v>
      </c>
      <c r="AO13" s="17" t="s">
        <v>870</v>
      </c>
      <c r="AP13" s="17" t="s">
        <v>870</v>
      </c>
      <c r="AQ13" s="17" t="s">
        <v>870</v>
      </c>
      <c r="AR13" s="17" t="s">
        <v>870</v>
      </c>
      <c r="AS13" s="17" t="s">
        <v>870</v>
      </c>
      <c r="AT13" s="17" t="s">
        <v>870</v>
      </c>
      <c r="AU13" s="17" t="s">
        <v>870</v>
      </c>
    </row>
    <row r="14" spans="1:63" x14ac:dyDescent="0.25">
      <c r="A14" t="s">
        <v>255</v>
      </c>
      <c r="B14" s="63"/>
      <c r="C14" s="62"/>
      <c r="D14" s="63"/>
      <c r="E14" s="63"/>
      <c r="F14" s="61" t="s">
        <v>2</v>
      </c>
      <c r="G14" s="63"/>
      <c r="H14" s="62"/>
      <c r="I14" s="63"/>
      <c r="J14" s="17" t="s">
        <v>870</v>
      </c>
      <c r="K14" s="63"/>
      <c r="L14" s="63"/>
      <c r="M14" s="63"/>
      <c r="N14" s="63"/>
      <c r="O14" s="61" t="s">
        <v>2</v>
      </c>
      <c r="P14" s="63"/>
      <c r="Q14" s="63"/>
      <c r="R14" s="63"/>
      <c r="S14" s="63"/>
      <c r="T14" s="61" t="s">
        <v>2</v>
      </c>
      <c r="U14" s="63"/>
      <c r="V14" s="63"/>
      <c r="W14" s="63"/>
      <c r="X14" s="62"/>
      <c r="Y14" s="63"/>
      <c r="Z14" s="63"/>
      <c r="AA14" s="63"/>
      <c r="AB14" s="61" t="s">
        <v>2</v>
      </c>
      <c r="AC14" s="61" t="s">
        <v>2</v>
      </c>
      <c r="AD14" s="61"/>
      <c r="AE14" s="61" t="s">
        <v>2</v>
      </c>
      <c r="AF14" s="63"/>
      <c r="AG14" s="17" t="s">
        <v>870</v>
      </c>
      <c r="AH14" s="17" t="s">
        <v>870</v>
      </c>
      <c r="AI14" s="61"/>
      <c r="AJ14" s="63"/>
      <c r="AK14" s="61" t="s">
        <v>2</v>
      </c>
      <c r="AL14" s="63"/>
      <c r="AM14" s="17" t="s">
        <v>870</v>
      </c>
      <c r="AN14" s="17" t="s">
        <v>870</v>
      </c>
      <c r="AO14" s="17" t="s">
        <v>870</v>
      </c>
      <c r="AP14" s="17" t="s">
        <v>870</v>
      </c>
      <c r="AQ14" s="17" t="s">
        <v>870</v>
      </c>
      <c r="AR14" s="63"/>
      <c r="AS14" s="61" t="s">
        <v>2</v>
      </c>
      <c r="AT14" s="63"/>
      <c r="AU14" s="61" t="s">
        <v>2</v>
      </c>
    </row>
    <row r="15" spans="1:63" x14ac:dyDescent="0.25">
      <c r="A15" t="s">
        <v>35</v>
      </c>
      <c r="B15" s="63"/>
      <c r="C15" s="62"/>
      <c r="D15" s="63"/>
      <c r="E15" s="63"/>
      <c r="F15" s="63"/>
      <c r="G15" s="63"/>
      <c r="H15" s="63"/>
      <c r="I15" s="63"/>
      <c r="J15" s="63"/>
      <c r="K15" s="63"/>
      <c r="L15" s="63"/>
      <c r="M15" s="62"/>
      <c r="N15" s="63"/>
      <c r="O15" s="61" t="s">
        <v>2</v>
      </c>
      <c r="P15" s="63"/>
      <c r="Q15" s="63"/>
      <c r="R15" s="63"/>
      <c r="S15" s="63"/>
      <c r="T15" s="63"/>
      <c r="U15" s="62"/>
      <c r="V15" s="63"/>
      <c r="W15" s="63"/>
      <c r="X15" s="17" t="s">
        <v>870</v>
      </c>
      <c r="Y15" s="17" t="s">
        <v>870</v>
      </c>
      <c r="Z15" s="17" t="s">
        <v>870</v>
      </c>
      <c r="AA15" s="17" t="s">
        <v>870</v>
      </c>
      <c r="AB15" s="63"/>
      <c r="AC15" s="63"/>
      <c r="AD15" s="17" t="s">
        <v>870</v>
      </c>
      <c r="AE15" s="17" t="s">
        <v>870</v>
      </c>
      <c r="AF15" s="17" t="s">
        <v>870</v>
      </c>
      <c r="AG15" s="17" t="s">
        <v>870</v>
      </c>
      <c r="AH15" s="17" t="s">
        <v>870</v>
      </c>
      <c r="AI15" s="61"/>
      <c r="AJ15" s="63"/>
      <c r="AK15" s="63"/>
      <c r="AL15" s="63"/>
      <c r="AM15" s="63"/>
      <c r="AN15" s="63"/>
      <c r="AO15" s="61"/>
      <c r="AP15" s="17" t="s">
        <v>870</v>
      </c>
      <c r="AQ15" s="17" t="s">
        <v>870</v>
      </c>
      <c r="AR15" s="63"/>
      <c r="AS15" s="63"/>
      <c r="AT15" s="63"/>
      <c r="AU15" s="63"/>
    </row>
    <row r="16" spans="1:63" x14ac:dyDescent="0.25">
      <c r="A16" t="s">
        <v>751</v>
      </c>
      <c r="B16" s="63"/>
      <c r="C16" s="63"/>
      <c r="D16" s="17" t="s">
        <v>870</v>
      </c>
      <c r="E16" s="17" t="s">
        <v>870</v>
      </c>
      <c r="F16" s="63"/>
      <c r="G16" s="63"/>
      <c r="H16" s="63"/>
      <c r="I16" s="63"/>
      <c r="J16" s="17" t="s">
        <v>870</v>
      </c>
      <c r="K16" s="17" t="s">
        <v>870</v>
      </c>
      <c r="L16" s="63"/>
      <c r="M16" s="63"/>
      <c r="N16" s="63"/>
      <c r="O16" s="63"/>
      <c r="P16" s="63"/>
      <c r="Q16" s="63"/>
      <c r="R16" s="17" t="s">
        <v>870</v>
      </c>
      <c r="S16" s="17" t="s">
        <v>870</v>
      </c>
      <c r="T16" s="62"/>
      <c r="U16" s="63"/>
      <c r="V16" s="17" t="s">
        <v>870</v>
      </c>
      <c r="W16" s="17" t="s">
        <v>870</v>
      </c>
      <c r="X16" s="17" t="s">
        <v>870</v>
      </c>
      <c r="Y16" s="17" t="s">
        <v>870</v>
      </c>
      <c r="Z16" s="17" t="s">
        <v>870</v>
      </c>
      <c r="AA16" s="17" t="s">
        <v>870</v>
      </c>
      <c r="AB16" s="17" t="s">
        <v>870</v>
      </c>
      <c r="AC16" s="17" t="s">
        <v>870</v>
      </c>
      <c r="AD16" s="17" t="s">
        <v>870</v>
      </c>
      <c r="AE16" s="17" t="s">
        <v>870</v>
      </c>
      <c r="AF16" s="17" t="s">
        <v>870</v>
      </c>
      <c r="AG16" s="17" t="s">
        <v>870</v>
      </c>
      <c r="AH16" s="17" t="s">
        <v>870</v>
      </c>
      <c r="AI16" s="17" t="s">
        <v>870</v>
      </c>
      <c r="AJ16" s="17" t="s">
        <v>870</v>
      </c>
      <c r="AK16" s="17" t="s">
        <v>870</v>
      </c>
      <c r="AL16" s="17" t="s">
        <v>870</v>
      </c>
      <c r="AM16" s="17" t="s">
        <v>870</v>
      </c>
      <c r="AN16" s="17" t="s">
        <v>870</v>
      </c>
      <c r="AO16" s="17" t="s">
        <v>870</v>
      </c>
      <c r="AP16" s="17" t="s">
        <v>870</v>
      </c>
      <c r="AQ16" s="17" t="s">
        <v>870</v>
      </c>
      <c r="AR16" s="17" t="s">
        <v>870</v>
      </c>
      <c r="AS16" s="17" t="s">
        <v>870</v>
      </c>
      <c r="AT16" s="17" t="s">
        <v>870</v>
      </c>
      <c r="AU16" s="17" t="s">
        <v>870</v>
      </c>
    </row>
    <row r="17" spans="1:47" x14ac:dyDescent="0.25">
      <c r="A17" t="s">
        <v>227</v>
      </c>
      <c r="B17" s="63"/>
      <c r="C17" s="63"/>
      <c r="D17" s="17" t="s">
        <v>870</v>
      </c>
      <c r="E17" s="17" t="s">
        <v>870</v>
      </c>
      <c r="F17" s="61" t="s">
        <v>2</v>
      </c>
      <c r="G17" s="63"/>
      <c r="H17" s="63"/>
      <c r="I17" s="63"/>
      <c r="J17" s="62"/>
      <c r="K17" s="61" t="s">
        <v>2</v>
      </c>
      <c r="L17" s="62"/>
      <c r="M17" s="63"/>
      <c r="N17" s="61" t="s">
        <v>2</v>
      </c>
      <c r="O17" s="61" t="s">
        <v>2</v>
      </c>
      <c r="P17" s="63"/>
      <c r="Q17" s="62"/>
      <c r="R17" s="63"/>
      <c r="S17" s="61" t="s">
        <v>2</v>
      </c>
      <c r="T17" s="62"/>
      <c r="U17" s="62"/>
      <c r="V17" s="63"/>
      <c r="W17" s="61" t="s">
        <v>2</v>
      </c>
      <c r="X17" s="61" t="s">
        <v>2</v>
      </c>
      <c r="Y17" s="61" t="s">
        <v>2</v>
      </c>
      <c r="Z17" s="61"/>
      <c r="AA17" s="63"/>
      <c r="AB17" s="63"/>
      <c r="AC17" s="63"/>
      <c r="AD17" s="17" t="s">
        <v>870</v>
      </c>
      <c r="AE17" s="63"/>
      <c r="AF17" s="61" t="s">
        <v>2</v>
      </c>
      <c r="AG17" s="63"/>
      <c r="AH17" s="61"/>
      <c r="AI17" s="61" t="s">
        <v>2</v>
      </c>
      <c r="AJ17" s="63"/>
      <c r="AK17" s="17" t="s">
        <v>870</v>
      </c>
      <c r="AL17" s="17" t="s">
        <v>870</v>
      </c>
      <c r="AM17" s="63"/>
      <c r="AN17" s="17" t="s">
        <v>870</v>
      </c>
      <c r="AO17" s="17" t="s">
        <v>870</v>
      </c>
      <c r="AP17" s="17" t="s">
        <v>870</v>
      </c>
      <c r="AQ17" s="17" t="s">
        <v>870</v>
      </c>
      <c r="AR17" s="17" t="s">
        <v>870</v>
      </c>
      <c r="AS17" s="17" t="s">
        <v>870</v>
      </c>
      <c r="AT17" s="17" t="s">
        <v>870</v>
      </c>
      <c r="AU17" s="17" t="s">
        <v>870</v>
      </c>
    </row>
    <row r="18" spans="1:47" x14ac:dyDescent="0.25">
      <c r="A18" t="s">
        <v>232</v>
      </c>
      <c r="B18" s="63"/>
      <c r="C18" s="63"/>
      <c r="D18" s="17" t="s">
        <v>870</v>
      </c>
      <c r="E18" s="17" t="s">
        <v>870</v>
      </c>
      <c r="F18" s="61" t="s">
        <v>2</v>
      </c>
      <c r="G18" s="63"/>
      <c r="H18" s="63"/>
      <c r="I18" s="61" t="s">
        <v>2</v>
      </c>
      <c r="J18" s="17" t="s">
        <v>870</v>
      </c>
      <c r="K18" s="17" t="s">
        <v>870</v>
      </c>
      <c r="L18" s="17" t="s">
        <v>870</v>
      </c>
      <c r="M18" s="17" t="s">
        <v>870</v>
      </c>
      <c r="N18" s="17" t="s">
        <v>870</v>
      </c>
      <c r="O18" s="17" t="s">
        <v>870</v>
      </c>
      <c r="P18" s="17" t="s">
        <v>870</v>
      </c>
      <c r="Q18" s="17" t="s">
        <v>870</v>
      </c>
      <c r="R18" s="17" t="s">
        <v>870</v>
      </c>
      <c r="S18" s="17" t="s">
        <v>870</v>
      </c>
      <c r="T18" s="63"/>
      <c r="U18" s="63"/>
      <c r="V18" s="17" t="s">
        <v>870</v>
      </c>
      <c r="W18" s="17" t="s">
        <v>870</v>
      </c>
      <c r="X18" s="17" t="s">
        <v>870</v>
      </c>
      <c r="Y18" s="17" t="s">
        <v>870</v>
      </c>
      <c r="Z18" s="17" t="s">
        <v>870</v>
      </c>
      <c r="AA18" s="17" t="s">
        <v>870</v>
      </c>
      <c r="AB18" s="17" t="s">
        <v>870</v>
      </c>
      <c r="AC18" s="17" t="s">
        <v>870</v>
      </c>
      <c r="AD18" s="17" t="s">
        <v>870</v>
      </c>
      <c r="AE18" s="17" t="s">
        <v>870</v>
      </c>
      <c r="AF18" s="17" t="s">
        <v>870</v>
      </c>
      <c r="AG18" s="17" t="s">
        <v>870</v>
      </c>
      <c r="AH18" s="17" t="s">
        <v>870</v>
      </c>
      <c r="AI18" s="61" t="s">
        <v>2</v>
      </c>
      <c r="AJ18" s="63"/>
      <c r="AK18" s="17" t="s">
        <v>870</v>
      </c>
      <c r="AL18" s="17" t="s">
        <v>870</v>
      </c>
      <c r="AM18" s="17" t="s">
        <v>870</v>
      </c>
      <c r="AN18" s="63"/>
      <c r="AO18" s="63"/>
      <c r="AP18" s="17" t="s">
        <v>870</v>
      </c>
      <c r="AQ18" s="17" t="s">
        <v>870</v>
      </c>
      <c r="AR18" s="17" t="s">
        <v>870</v>
      </c>
      <c r="AS18" s="17" t="s">
        <v>870</v>
      </c>
      <c r="AT18" s="61" t="s">
        <v>2</v>
      </c>
      <c r="AU18" s="61" t="s">
        <v>2</v>
      </c>
    </row>
    <row r="19" spans="1:47" x14ac:dyDescent="0.25">
      <c r="A19" t="s">
        <v>435</v>
      </c>
      <c r="B19" s="17" t="s">
        <v>870</v>
      </c>
      <c r="C19" s="17" t="s">
        <v>870</v>
      </c>
      <c r="D19" s="63"/>
      <c r="E19" s="63"/>
      <c r="F19" s="17" t="s">
        <v>870</v>
      </c>
      <c r="G19" s="17" t="s">
        <v>870</v>
      </c>
      <c r="H19" s="17" t="s">
        <v>870</v>
      </c>
      <c r="I19" s="17" t="s">
        <v>870</v>
      </c>
      <c r="J19" s="63"/>
      <c r="K19" s="63"/>
      <c r="L19" s="17" t="s">
        <v>870</v>
      </c>
      <c r="M19" s="17" t="s">
        <v>870</v>
      </c>
      <c r="N19" s="17" t="s">
        <v>870</v>
      </c>
      <c r="O19" s="17" t="s">
        <v>870</v>
      </c>
      <c r="P19" s="17" t="s">
        <v>870</v>
      </c>
      <c r="Q19" s="17" t="s">
        <v>870</v>
      </c>
      <c r="R19" s="63"/>
      <c r="S19" s="63"/>
      <c r="T19" s="17" t="s">
        <v>870</v>
      </c>
      <c r="U19" s="17" t="s">
        <v>870</v>
      </c>
      <c r="V19" s="17" t="s">
        <v>870</v>
      </c>
      <c r="W19" s="17" t="s">
        <v>870</v>
      </c>
      <c r="X19" s="17" t="s">
        <v>870</v>
      </c>
      <c r="Y19" s="17" t="s">
        <v>870</v>
      </c>
      <c r="Z19" s="17" t="s">
        <v>870</v>
      </c>
      <c r="AA19" s="17" t="s">
        <v>870</v>
      </c>
      <c r="AB19" s="17" t="s">
        <v>870</v>
      </c>
      <c r="AC19" s="17" t="s">
        <v>870</v>
      </c>
      <c r="AD19" s="17" t="s">
        <v>870</v>
      </c>
      <c r="AE19" s="17" t="s">
        <v>870</v>
      </c>
      <c r="AF19" s="17" t="s">
        <v>870</v>
      </c>
      <c r="AG19" s="17" t="s">
        <v>870</v>
      </c>
      <c r="AH19" s="17" t="s">
        <v>870</v>
      </c>
      <c r="AI19" s="17" t="s">
        <v>870</v>
      </c>
      <c r="AJ19" s="17" t="s">
        <v>870</v>
      </c>
      <c r="AK19" s="17" t="s">
        <v>870</v>
      </c>
      <c r="AL19" s="17" t="s">
        <v>870</v>
      </c>
      <c r="AM19" s="17" t="s">
        <v>870</v>
      </c>
      <c r="AN19" s="17" t="s">
        <v>870</v>
      </c>
      <c r="AO19" s="17" t="s">
        <v>870</v>
      </c>
      <c r="AP19" s="17" t="s">
        <v>870</v>
      </c>
      <c r="AQ19" s="17" t="s">
        <v>870</v>
      </c>
      <c r="AR19" s="17" t="s">
        <v>870</v>
      </c>
      <c r="AS19" s="17" t="s">
        <v>870</v>
      </c>
      <c r="AT19" s="63"/>
      <c r="AU19" s="63"/>
    </row>
    <row r="20" spans="1:47" x14ac:dyDescent="0.25">
      <c r="A20" t="s">
        <v>226</v>
      </c>
      <c r="B20" s="17" t="s">
        <v>870</v>
      </c>
      <c r="C20" s="17" t="s">
        <v>870</v>
      </c>
      <c r="D20" s="17" t="s">
        <v>870</v>
      </c>
      <c r="E20" s="63"/>
      <c r="F20" s="61" t="s">
        <v>2</v>
      </c>
      <c r="G20" s="63"/>
      <c r="H20" s="63"/>
      <c r="I20" s="63"/>
      <c r="J20" s="17" t="s">
        <v>870</v>
      </c>
      <c r="K20" s="17" t="s">
        <v>870</v>
      </c>
      <c r="L20" s="62"/>
      <c r="M20" s="61" t="s">
        <v>2</v>
      </c>
      <c r="N20" s="17" t="s">
        <v>870</v>
      </c>
      <c r="O20" s="17" t="s">
        <v>870</v>
      </c>
      <c r="P20" s="17" t="s">
        <v>870</v>
      </c>
      <c r="Q20" s="17" t="s">
        <v>870</v>
      </c>
      <c r="R20" s="17" t="s">
        <v>870</v>
      </c>
      <c r="S20" s="17" t="s">
        <v>870</v>
      </c>
      <c r="T20" s="17" t="s">
        <v>870</v>
      </c>
      <c r="U20" s="17" t="s">
        <v>870</v>
      </c>
      <c r="V20" s="17" t="s">
        <v>870</v>
      </c>
      <c r="W20" s="17" t="s">
        <v>870</v>
      </c>
      <c r="X20" s="17" t="s">
        <v>870</v>
      </c>
      <c r="Y20" s="17" t="s">
        <v>870</v>
      </c>
      <c r="Z20" s="17" t="s">
        <v>870</v>
      </c>
      <c r="AA20" s="17" t="s">
        <v>870</v>
      </c>
      <c r="AB20" s="61" t="s">
        <v>2</v>
      </c>
      <c r="AC20" s="61"/>
      <c r="AD20" s="17" t="s">
        <v>870</v>
      </c>
      <c r="AE20" s="17" t="s">
        <v>870</v>
      </c>
      <c r="AF20" s="17" t="s">
        <v>870</v>
      </c>
      <c r="AG20" s="17" t="s">
        <v>870</v>
      </c>
      <c r="AH20" s="17" t="s">
        <v>870</v>
      </c>
      <c r="AI20" s="17" t="s">
        <v>870</v>
      </c>
      <c r="AJ20" s="17" t="s">
        <v>870</v>
      </c>
      <c r="AK20" s="17" t="s">
        <v>870</v>
      </c>
      <c r="AL20" s="17" t="s">
        <v>870</v>
      </c>
      <c r="AM20" s="17" t="s">
        <v>870</v>
      </c>
      <c r="AN20" s="17" t="s">
        <v>870</v>
      </c>
      <c r="AO20" s="17" t="s">
        <v>870</v>
      </c>
      <c r="AP20" s="17" t="s">
        <v>870</v>
      </c>
      <c r="AQ20" s="17" t="s">
        <v>870</v>
      </c>
      <c r="AR20" s="17" t="s">
        <v>870</v>
      </c>
      <c r="AS20" s="17" t="s">
        <v>870</v>
      </c>
      <c r="AT20" s="17" t="s">
        <v>870</v>
      </c>
      <c r="AU20" s="17" t="s">
        <v>870</v>
      </c>
    </row>
    <row r="21" spans="1:47" x14ac:dyDescent="0.25">
      <c r="A21" t="s">
        <v>22</v>
      </c>
      <c r="B21" s="17" t="s">
        <v>870</v>
      </c>
      <c r="C21" s="17" t="s">
        <v>870</v>
      </c>
      <c r="D21" s="17" t="s">
        <v>870</v>
      </c>
      <c r="E21" s="17" t="s">
        <v>870</v>
      </c>
      <c r="F21" s="63"/>
      <c r="G21" s="61" t="s">
        <v>2</v>
      </c>
      <c r="H21" s="17" t="s">
        <v>870</v>
      </c>
      <c r="I21" s="17" t="s">
        <v>870</v>
      </c>
      <c r="J21" s="17" t="s">
        <v>870</v>
      </c>
      <c r="K21" s="17" t="s">
        <v>870</v>
      </c>
      <c r="L21" s="61" t="s">
        <v>2</v>
      </c>
      <c r="M21" s="63"/>
      <c r="N21" s="17" t="s">
        <v>870</v>
      </c>
      <c r="O21" s="17" t="s">
        <v>870</v>
      </c>
      <c r="P21" s="17" t="s">
        <v>870</v>
      </c>
      <c r="Q21" s="17" t="s">
        <v>870</v>
      </c>
      <c r="R21" s="17" t="s">
        <v>870</v>
      </c>
      <c r="S21" s="17" t="s">
        <v>870</v>
      </c>
      <c r="T21" s="17" t="s">
        <v>870</v>
      </c>
      <c r="U21" s="17" t="s">
        <v>870</v>
      </c>
      <c r="V21" s="17" t="s">
        <v>870</v>
      </c>
      <c r="W21" s="17" t="s">
        <v>870</v>
      </c>
      <c r="X21" s="17" t="s">
        <v>870</v>
      </c>
      <c r="Y21" s="17" t="s">
        <v>870</v>
      </c>
      <c r="Z21" s="17" t="s">
        <v>870</v>
      </c>
      <c r="AA21" s="17" t="s">
        <v>870</v>
      </c>
      <c r="AB21" s="17" t="s">
        <v>870</v>
      </c>
      <c r="AC21" s="17" t="s">
        <v>870</v>
      </c>
      <c r="AD21" s="17" t="s">
        <v>870</v>
      </c>
      <c r="AE21" s="17" t="s">
        <v>870</v>
      </c>
      <c r="AF21" s="17" t="s">
        <v>870</v>
      </c>
      <c r="AG21" s="17" t="s">
        <v>870</v>
      </c>
      <c r="AH21" s="17" t="s">
        <v>870</v>
      </c>
      <c r="AI21" s="17" t="s">
        <v>870</v>
      </c>
      <c r="AJ21" s="17" t="s">
        <v>870</v>
      </c>
      <c r="AK21" s="17" t="s">
        <v>870</v>
      </c>
      <c r="AL21" s="17" t="s">
        <v>870</v>
      </c>
      <c r="AM21" s="17" t="s">
        <v>870</v>
      </c>
      <c r="AN21" s="17" t="s">
        <v>870</v>
      </c>
      <c r="AO21" s="17" t="s">
        <v>870</v>
      </c>
      <c r="AP21" s="17" t="s">
        <v>870</v>
      </c>
      <c r="AQ21" s="17" t="s">
        <v>870</v>
      </c>
      <c r="AR21" s="17" t="s">
        <v>870</v>
      </c>
      <c r="AS21" s="17" t="s">
        <v>870</v>
      </c>
      <c r="AT21" s="17" t="s">
        <v>870</v>
      </c>
      <c r="AU21" s="17" t="s">
        <v>870</v>
      </c>
    </row>
    <row r="22" spans="1:47" x14ac:dyDescent="0.25">
      <c r="A22" t="s">
        <v>9</v>
      </c>
      <c r="B22" s="17" t="s">
        <v>870</v>
      </c>
      <c r="C22" s="17" t="s">
        <v>870</v>
      </c>
      <c r="D22" s="17" t="s">
        <v>870</v>
      </c>
      <c r="E22" s="17" t="s">
        <v>870</v>
      </c>
      <c r="F22" s="61" t="s">
        <v>2</v>
      </c>
      <c r="G22" s="62"/>
      <c r="H22" s="17" t="s">
        <v>870</v>
      </c>
      <c r="I22" s="17" t="s">
        <v>870</v>
      </c>
      <c r="J22" s="17" t="s">
        <v>870</v>
      </c>
      <c r="K22" s="17" t="s">
        <v>870</v>
      </c>
      <c r="L22" s="17" t="s">
        <v>870</v>
      </c>
      <c r="M22" s="17" t="s">
        <v>870</v>
      </c>
      <c r="N22" s="17" t="s">
        <v>870</v>
      </c>
      <c r="O22" s="17" t="s">
        <v>870</v>
      </c>
      <c r="P22" s="17" t="s">
        <v>870</v>
      </c>
      <c r="Q22" s="17" t="s">
        <v>870</v>
      </c>
      <c r="R22" s="63"/>
      <c r="S22" s="61" t="s">
        <v>2</v>
      </c>
      <c r="T22" s="17" t="s">
        <v>870</v>
      </c>
      <c r="U22" s="17" t="s">
        <v>870</v>
      </c>
      <c r="V22" s="17" t="s">
        <v>870</v>
      </c>
      <c r="W22" s="17" t="s">
        <v>870</v>
      </c>
      <c r="X22" s="17" t="s">
        <v>870</v>
      </c>
      <c r="Y22" s="17" t="s">
        <v>870</v>
      </c>
      <c r="Z22" s="17" t="s">
        <v>870</v>
      </c>
      <c r="AA22" s="17" t="s">
        <v>870</v>
      </c>
      <c r="AB22" s="17" t="s">
        <v>870</v>
      </c>
      <c r="AC22" s="17" t="s">
        <v>870</v>
      </c>
      <c r="AD22" s="17" t="s">
        <v>870</v>
      </c>
      <c r="AE22" s="17" t="s">
        <v>870</v>
      </c>
      <c r="AF22" s="17" t="s">
        <v>870</v>
      </c>
      <c r="AG22" s="17" t="s">
        <v>870</v>
      </c>
      <c r="AH22" s="17" t="s">
        <v>870</v>
      </c>
      <c r="AI22" s="17" t="s">
        <v>870</v>
      </c>
      <c r="AJ22" s="17" t="s">
        <v>870</v>
      </c>
      <c r="AK22" s="17" t="s">
        <v>870</v>
      </c>
      <c r="AL22" s="17" t="s">
        <v>870</v>
      </c>
      <c r="AM22" s="61"/>
      <c r="AN22" s="17" t="s">
        <v>870</v>
      </c>
      <c r="AO22" s="17" t="s">
        <v>870</v>
      </c>
      <c r="AP22" s="17" t="s">
        <v>870</v>
      </c>
      <c r="AQ22" s="17" t="s">
        <v>870</v>
      </c>
      <c r="AR22" s="17" t="s">
        <v>870</v>
      </c>
      <c r="AS22" s="17" t="s">
        <v>870</v>
      </c>
      <c r="AT22" s="17" t="s">
        <v>870</v>
      </c>
      <c r="AU22" s="17" t="s">
        <v>870</v>
      </c>
    </row>
    <row r="23" spans="1:47" x14ac:dyDescent="0.25">
      <c r="A23" t="s">
        <v>436</v>
      </c>
      <c r="B23" s="17" t="s">
        <v>870</v>
      </c>
      <c r="C23" s="17" t="s">
        <v>870</v>
      </c>
      <c r="D23" s="17" t="s">
        <v>870</v>
      </c>
      <c r="E23" s="17" t="s">
        <v>870</v>
      </c>
      <c r="F23" s="63"/>
      <c r="G23" s="63"/>
      <c r="H23" s="17" t="s">
        <v>870</v>
      </c>
      <c r="I23" s="17" t="s">
        <v>870</v>
      </c>
      <c r="J23" s="63"/>
      <c r="K23" s="63"/>
      <c r="L23" s="17" t="s">
        <v>870</v>
      </c>
      <c r="M23" s="17" t="s">
        <v>870</v>
      </c>
      <c r="N23" s="63"/>
      <c r="O23" s="17" t="s">
        <v>870</v>
      </c>
      <c r="P23" s="63"/>
      <c r="Q23" s="17" t="s">
        <v>870</v>
      </c>
      <c r="R23" s="17" t="s">
        <v>870</v>
      </c>
      <c r="S23" s="17" t="s">
        <v>870</v>
      </c>
      <c r="T23" s="17" t="s">
        <v>870</v>
      </c>
      <c r="U23" s="17" t="s">
        <v>870</v>
      </c>
      <c r="V23" s="63"/>
      <c r="W23" s="63"/>
      <c r="X23" s="63"/>
      <c r="Y23" s="63"/>
      <c r="Z23" s="61"/>
      <c r="AA23" s="63"/>
      <c r="AB23" s="63"/>
      <c r="AC23" s="63"/>
      <c r="AD23" s="63"/>
      <c r="AE23" s="61" t="s">
        <v>2</v>
      </c>
      <c r="AF23" s="63"/>
      <c r="AG23" s="63"/>
      <c r="AH23" s="63"/>
      <c r="AI23" s="61" t="s">
        <v>2</v>
      </c>
      <c r="AJ23" s="63"/>
      <c r="AK23" s="63"/>
      <c r="AL23" s="63"/>
      <c r="AM23" s="63"/>
      <c r="AN23" s="17" t="s">
        <v>870</v>
      </c>
      <c r="AO23" s="17" t="s">
        <v>870</v>
      </c>
      <c r="AP23" s="17" t="s">
        <v>870</v>
      </c>
      <c r="AQ23" s="17" t="s">
        <v>870</v>
      </c>
      <c r="AR23" s="17" t="s">
        <v>870</v>
      </c>
      <c r="AS23" s="17" t="s">
        <v>870</v>
      </c>
      <c r="AT23" s="17" t="s">
        <v>870</v>
      </c>
      <c r="AU23" s="17" t="s">
        <v>870</v>
      </c>
    </row>
    <row r="24" spans="1:47" x14ac:dyDescent="0.25">
      <c r="A24" t="s">
        <v>34</v>
      </c>
      <c r="B24" s="17" t="s">
        <v>870</v>
      </c>
      <c r="C24" s="17" t="s">
        <v>870</v>
      </c>
      <c r="D24" s="17" t="s">
        <v>870</v>
      </c>
      <c r="E24" s="17" t="s">
        <v>870</v>
      </c>
      <c r="F24" s="17" t="s">
        <v>870</v>
      </c>
      <c r="G24" s="17" t="s">
        <v>870</v>
      </c>
      <c r="H24" s="61" t="s">
        <v>2</v>
      </c>
      <c r="I24" s="63"/>
      <c r="J24" s="63"/>
      <c r="K24" s="17" t="s">
        <v>870</v>
      </c>
      <c r="L24" s="17" t="s">
        <v>870</v>
      </c>
      <c r="M24" s="17" t="s">
        <v>870</v>
      </c>
      <c r="N24" s="17" t="s">
        <v>870</v>
      </c>
      <c r="O24" s="17" t="s">
        <v>870</v>
      </c>
      <c r="P24" s="17" t="s">
        <v>870</v>
      </c>
      <c r="Q24" s="17" t="s">
        <v>870</v>
      </c>
      <c r="R24" s="17" t="s">
        <v>870</v>
      </c>
      <c r="S24" s="17" t="s">
        <v>870</v>
      </c>
      <c r="T24" s="17" t="s">
        <v>870</v>
      </c>
      <c r="U24" s="17" t="s">
        <v>870</v>
      </c>
      <c r="V24" s="17" t="s">
        <v>870</v>
      </c>
      <c r="W24" s="17" t="s">
        <v>870</v>
      </c>
      <c r="X24" s="17" t="s">
        <v>870</v>
      </c>
      <c r="Y24" s="17" t="s">
        <v>870</v>
      </c>
      <c r="Z24" s="17" t="s">
        <v>870</v>
      </c>
      <c r="AA24" s="17" t="s">
        <v>870</v>
      </c>
      <c r="AB24" s="17" t="s">
        <v>870</v>
      </c>
      <c r="AC24" s="17" t="s">
        <v>870</v>
      </c>
      <c r="AD24" s="17" t="s">
        <v>870</v>
      </c>
      <c r="AE24" s="17" t="s">
        <v>870</v>
      </c>
      <c r="AF24" s="17" t="s">
        <v>870</v>
      </c>
      <c r="AG24" s="17" t="s">
        <v>870</v>
      </c>
      <c r="AH24" s="17" t="s">
        <v>870</v>
      </c>
      <c r="AI24" s="17" t="s">
        <v>870</v>
      </c>
      <c r="AJ24" s="17" t="s">
        <v>870</v>
      </c>
      <c r="AK24" s="17" t="s">
        <v>870</v>
      </c>
      <c r="AL24" s="17" t="s">
        <v>870</v>
      </c>
      <c r="AM24" s="17" t="s">
        <v>870</v>
      </c>
      <c r="AN24" s="17" t="s">
        <v>870</v>
      </c>
      <c r="AO24" s="17" t="s">
        <v>870</v>
      </c>
      <c r="AP24" s="17" t="s">
        <v>870</v>
      </c>
      <c r="AQ24" s="17" t="s">
        <v>870</v>
      </c>
      <c r="AR24" s="17" t="s">
        <v>870</v>
      </c>
      <c r="AS24" s="17" t="s">
        <v>870</v>
      </c>
      <c r="AT24" s="17" t="s">
        <v>870</v>
      </c>
      <c r="AU24" s="17" t="s">
        <v>870</v>
      </c>
    </row>
    <row r="25" spans="1:47" x14ac:dyDescent="0.25">
      <c r="A25" t="s">
        <v>320</v>
      </c>
      <c r="B25" s="17" t="s">
        <v>870</v>
      </c>
      <c r="C25" s="17" t="s">
        <v>870</v>
      </c>
      <c r="D25" s="17" t="s">
        <v>870</v>
      </c>
      <c r="E25" s="17" t="s">
        <v>870</v>
      </c>
      <c r="F25" s="17" t="s">
        <v>870</v>
      </c>
      <c r="G25" s="17" t="s">
        <v>870</v>
      </c>
      <c r="H25" s="63"/>
      <c r="I25" s="63"/>
      <c r="J25" s="63"/>
      <c r="K25" s="63"/>
      <c r="L25" s="63"/>
      <c r="M25" s="62"/>
      <c r="N25" s="17" t="s">
        <v>870</v>
      </c>
      <c r="O25" s="17" t="s">
        <v>870</v>
      </c>
      <c r="P25" s="17" t="s">
        <v>870</v>
      </c>
      <c r="Q25" s="17" t="s">
        <v>870</v>
      </c>
      <c r="R25" s="17" t="s">
        <v>870</v>
      </c>
      <c r="S25" s="17" t="s">
        <v>870</v>
      </c>
      <c r="T25" s="17" t="s">
        <v>870</v>
      </c>
      <c r="U25" s="17" t="s">
        <v>870</v>
      </c>
      <c r="V25" s="17" t="s">
        <v>870</v>
      </c>
      <c r="W25" s="17" t="s">
        <v>870</v>
      </c>
      <c r="X25" s="17" t="s">
        <v>870</v>
      </c>
      <c r="Y25" s="17" t="s">
        <v>870</v>
      </c>
      <c r="Z25" s="61" t="s">
        <v>2</v>
      </c>
      <c r="AA25" s="63"/>
      <c r="AB25" s="61"/>
      <c r="AC25" s="63"/>
      <c r="AD25" s="61" t="s">
        <v>2</v>
      </c>
      <c r="AE25" s="17" t="s">
        <v>870</v>
      </c>
      <c r="AF25" s="17" t="s">
        <v>870</v>
      </c>
      <c r="AG25" s="61" t="s">
        <v>2</v>
      </c>
      <c r="AH25" s="63"/>
      <c r="AI25" s="61"/>
      <c r="AJ25" s="63"/>
      <c r="AK25" s="63"/>
      <c r="AL25" s="61" t="s">
        <v>2</v>
      </c>
      <c r="AM25" s="17" t="s">
        <v>870</v>
      </c>
      <c r="AN25" s="17" t="s">
        <v>870</v>
      </c>
      <c r="AO25" s="17" t="s">
        <v>870</v>
      </c>
      <c r="AP25" s="17" t="s">
        <v>870</v>
      </c>
      <c r="AQ25" s="17" t="s">
        <v>870</v>
      </c>
      <c r="AR25" s="17" t="s">
        <v>870</v>
      </c>
      <c r="AS25" s="17" t="s">
        <v>870</v>
      </c>
      <c r="AT25" s="17" t="s">
        <v>870</v>
      </c>
      <c r="AU25" s="17" t="s">
        <v>870</v>
      </c>
    </row>
    <row r="26" spans="1:47" x14ac:dyDescent="0.25">
      <c r="A26" t="s">
        <v>14</v>
      </c>
      <c r="B26" s="17" t="s">
        <v>870</v>
      </c>
      <c r="C26" s="17" t="s">
        <v>870</v>
      </c>
      <c r="D26" s="17" t="s">
        <v>870</v>
      </c>
      <c r="E26" s="17" t="s">
        <v>870</v>
      </c>
      <c r="F26" s="17" t="s">
        <v>870</v>
      </c>
      <c r="G26" s="17" t="s">
        <v>870</v>
      </c>
      <c r="H26" s="17" t="s">
        <v>870</v>
      </c>
      <c r="I26" s="17" t="s">
        <v>870</v>
      </c>
      <c r="J26" s="17" t="s">
        <v>870</v>
      </c>
      <c r="K26" s="17" t="s">
        <v>870</v>
      </c>
      <c r="L26" s="62"/>
      <c r="M26" s="61" t="s">
        <v>2</v>
      </c>
      <c r="N26" s="17" t="s">
        <v>870</v>
      </c>
      <c r="O26" s="17" t="s">
        <v>870</v>
      </c>
      <c r="P26" s="17" t="s">
        <v>870</v>
      </c>
      <c r="Q26" s="17" t="s">
        <v>870</v>
      </c>
      <c r="R26" s="63"/>
      <c r="S26" s="62"/>
      <c r="T26" s="17" t="s">
        <v>870</v>
      </c>
      <c r="U26" s="17" t="s">
        <v>870</v>
      </c>
      <c r="V26" s="17" t="s">
        <v>870</v>
      </c>
      <c r="W26" s="17" t="s">
        <v>870</v>
      </c>
      <c r="X26" s="17" t="s">
        <v>870</v>
      </c>
      <c r="Y26" s="17" t="s">
        <v>870</v>
      </c>
      <c r="Z26" s="17" t="s">
        <v>870</v>
      </c>
      <c r="AA26" s="17" t="s">
        <v>870</v>
      </c>
      <c r="AB26" s="17" t="s">
        <v>870</v>
      </c>
      <c r="AC26" s="17" t="s">
        <v>870</v>
      </c>
      <c r="AD26" s="17" t="s">
        <v>870</v>
      </c>
      <c r="AE26" s="17" t="s">
        <v>870</v>
      </c>
      <c r="AF26" s="17" t="s">
        <v>870</v>
      </c>
      <c r="AG26" s="17" t="s">
        <v>870</v>
      </c>
      <c r="AH26" s="17" t="s">
        <v>870</v>
      </c>
      <c r="AI26" s="17" t="s">
        <v>870</v>
      </c>
      <c r="AJ26" s="17" t="s">
        <v>870</v>
      </c>
      <c r="AK26" s="17" t="s">
        <v>870</v>
      </c>
      <c r="AL26" s="17" t="s">
        <v>870</v>
      </c>
      <c r="AM26" s="17" t="s">
        <v>870</v>
      </c>
      <c r="AN26" s="17" t="s">
        <v>870</v>
      </c>
      <c r="AO26" s="17" t="s">
        <v>870</v>
      </c>
      <c r="AP26" s="17" t="s">
        <v>870</v>
      </c>
      <c r="AQ26" s="17" t="s">
        <v>870</v>
      </c>
      <c r="AR26" s="17" t="s">
        <v>870</v>
      </c>
      <c r="AS26" s="17" t="s">
        <v>870</v>
      </c>
      <c r="AT26" s="17" t="s">
        <v>870</v>
      </c>
      <c r="AU26" s="17" t="s">
        <v>870</v>
      </c>
    </row>
    <row r="27" spans="1:47" x14ac:dyDescent="0.25">
      <c r="A27" t="s">
        <v>438</v>
      </c>
      <c r="B27" s="17" t="s">
        <v>870</v>
      </c>
      <c r="C27" s="17" t="s">
        <v>870</v>
      </c>
      <c r="D27" s="17" t="s">
        <v>870</v>
      </c>
      <c r="E27" s="17" t="s">
        <v>870</v>
      </c>
      <c r="F27" s="17" t="s">
        <v>870</v>
      </c>
      <c r="G27" s="17" t="s">
        <v>870</v>
      </c>
      <c r="H27" s="17" t="s">
        <v>870</v>
      </c>
      <c r="I27" s="17" t="s">
        <v>870</v>
      </c>
      <c r="J27" s="17" t="s">
        <v>870</v>
      </c>
      <c r="K27" s="17" t="s">
        <v>870</v>
      </c>
      <c r="L27" s="17" t="s">
        <v>870</v>
      </c>
      <c r="M27" s="17" t="s">
        <v>870</v>
      </c>
      <c r="N27" s="17" t="s">
        <v>870</v>
      </c>
      <c r="O27" s="17" t="s">
        <v>870</v>
      </c>
      <c r="P27" s="62"/>
      <c r="Q27" s="61" t="s">
        <v>2</v>
      </c>
      <c r="R27" s="17" t="s">
        <v>870</v>
      </c>
      <c r="S27" s="17" t="s">
        <v>870</v>
      </c>
      <c r="T27" s="17" t="s">
        <v>870</v>
      </c>
      <c r="U27" s="17" t="s">
        <v>870</v>
      </c>
      <c r="V27" s="17" t="s">
        <v>870</v>
      </c>
      <c r="W27" s="17" t="s">
        <v>870</v>
      </c>
      <c r="X27" s="17" t="s">
        <v>870</v>
      </c>
      <c r="Y27" s="61"/>
      <c r="Z27" s="17" t="s">
        <v>870</v>
      </c>
      <c r="AA27" s="17" t="s">
        <v>870</v>
      </c>
      <c r="AB27" s="17" t="s">
        <v>870</v>
      </c>
      <c r="AC27" s="17" t="s">
        <v>870</v>
      </c>
      <c r="AD27" s="17" t="s">
        <v>870</v>
      </c>
      <c r="AE27" s="17" t="s">
        <v>870</v>
      </c>
      <c r="AF27" s="17" t="s">
        <v>870</v>
      </c>
      <c r="AG27" s="17" t="s">
        <v>870</v>
      </c>
      <c r="AH27" s="17" t="s">
        <v>870</v>
      </c>
      <c r="AI27" s="17" t="s">
        <v>870</v>
      </c>
      <c r="AJ27" s="17" t="s">
        <v>870</v>
      </c>
      <c r="AK27" s="17" t="s">
        <v>870</v>
      </c>
      <c r="AL27" s="17" t="s">
        <v>870</v>
      </c>
      <c r="AM27" s="17" t="s">
        <v>870</v>
      </c>
      <c r="AN27" s="17" t="s">
        <v>870</v>
      </c>
      <c r="AO27" s="17" t="s">
        <v>870</v>
      </c>
      <c r="AP27" s="17" t="s">
        <v>870</v>
      </c>
      <c r="AQ27" s="17" t="s">
        <v>870</v>
      </c>
      <c r="AR27" s="17" t="s">
        <v>870</v>
      </c>
      <c r="AS27" s="17" t="s">
        <v>870</v>
      </c>
      <c r="AT27" s="17" t="s">
        <v>870</v>
      </c>
      <c r="AU27" s="17" t="s">
        <v>870</v>
      </c>
    </row>
    <row r="28" spans="1:47" x14ac:dyDescent="0.25">
      <c r="A28" t="s">
        <v>10</v>
      </c>
      <c r="B28" s="17" t="s">
        <v>870</v>
      </c>
      <c r="C28" s="17" t="s">
        <v>870</v>
      </c>
      <c r="D28" s="17" t="s">
        <v>870</v>
      </c>
      <c r="E28" s="17" t="s">
        <v>870</v>
      </c>
      <c r="F28" s="17" t="s">
        <v>870</v>
      </c>
      <c r="G28" s="17" t="s">
        <v>870</v>
      </c>
      <c r="H28" s="17" t="s">
        <v>870</v>
      </c>
      <c r="I28" s="17" t="s">
        <v>870</v>
      </c>
      <c r="J28" s="17" t="s">
        <v>870</v>
      </c>
      <c r="K28" s="17" t="s">
        <v>870</v>
      </c>
      <c r="L28" s="17" t="s">
        <v>870</v>
      </c>
      <c r="M28" s="17" t="s">
        <v>870</v>
      </c>
      <c r="N28" s="17" t="s">
        <v>870</v>
      </c>
      <c r="O28" s="17" t="s">
        <v>870</v>
      </c>
      <c r="P28" s="63"/>
      <c r="Q28" s="62"/>
      <c r="R28" s="17" t="s">
        <v>870</v>
      </c>
      <c r="S28" s="17" t="s">
        <v>870</v>
      </c>
      <c r="T28" s="17" t="s">
        <v>870</v>
      </c>
      <c r="U28" s="17" t="s">
        <v>870</v>
      </c>
      <c r="V28" s="17" t="s">
        <v>870</v>
      </c>
      <c r="W28" s="17" t="s">
        <v>870</v>
      </c>
      <c r="X28" s="17" t="s">
        <v>870</v>
      </c>
      <c r="Y28" s="17" t="s">
        <v>870</v>
      </c>
      <c r="Z28" s="17" t="s">
        <v>870</v>
      </c>
      <c r="AA28" s="17" t="s">
        <v>870</v>
      </c>
      <c r="AB28" s="17" t="s">
        <v>870</v>
      </c>
      <c r="AC28" s="17" t="s">
        <v>870</v>
      </c>
      <c r="AD28" s="17" t="s">
        <v>870</v>
      </c>
      <c r="AE28" s="17" t="s">
        <v>870</v>
      </c>
      <c r="AF28" s="17" t="s">
        <v>870</v>
      </c>
      <c r="AG28" s="17" t="s">
        <v>870</v>
      </c>
      <c r="AH28" s="17" t="s">
        <v>870</v>
      </c>
      <c r="AI28" s="17" t="s">
        <v>870</v>
      </c>
      <c r="AJ28" s="17" t="s">
        <v>870</v>
      </c>
      <c r="AK28" s="63"/>
      <c r="AL28" s="63"/>
      <c r="AM28" s="17" t="s">
        <v>870</v>
      </c>
      <c r="AN28" s="17" t="s">
        <v>870</v>
      </c>
      <c r="AO28" s="17" t="s">
        <v>870</v>
      </c>
      <c r="AP28" s="17" t="s">
        <v>870</v>
      </c>
      <c r="AQ28" s="17" t="s">
        <v>870</v>
      </c>
      <c r="AR28" s="17" t="s">
        <v>870</v>
      </c>
      <c r="AS28" s="17" t="s">
        <v>870</v>
      </c>
      <c r="AT28" s="17" t="s">
        <v>870</v>
      </c>
      <c r="AU28" s="17" t="s">
        <v>870</v>
      </c>
    </row>
    <row r="29" spans="1:47" x14ac:dyDescent="0.25">
      <c r="A29" t="s">
        <v>39</v>
      </c>
      <c r="B29" s="17" t="s">
        <v>870</v>
      </c>
      <c r="C29" s="17" t="s">
        <v>870</v>
      </c>
      <c r="D29" s="17" t="s">
        <v>870</v>
      </c>
      <c r="E29" s="17" t="s">
        <v>870</v>
      </c>
      <c r="F29" s="17" t="s">
        <v>870</v>
      </c>
      <c r="G29" s="17" t="s">
        <v>870</v>
      </c>
      <c r="H29" s="17" t="s">
        <v>870</v>
      </c>
      <c r="I29" s="17" t="s">
        <v>870</v>
      </c>
      <c r="J29" s="17" t="s">
        <v>870</v>
      </c>
      <c r="K29" s="17" t="s">
        <v>870</v>
      </c>
      <c r="L29" s="17" t="s">
        <v>870</v>
      </c>
      <c r="M29" s="17" t="s">
        <v>870</v>
      </c>
      <c r="N29" s="17" t="s">
        <v>870</v>
      </c>
      <c r="O29" s="17" t="s">
        <v>870</v>
      </c>
      <c r="P29" s="17" t="s">
        <v>870</v>
      </c>
      <c r="Q29" s="17" t="s">
        <v>870</v>
      </c>
      <c r="R29" s="17" t="s">
        <v>870</v>
      </c>
      <c r="S29" s="17" t="s">
        <v>870</v>
      </c>
      <c r="T29" s="63"/>
      <c r="U29" s="17" t="s">
        <v>870</v>
      </c>
      <c r="V29" s="17" t="s">
        <v>870</v>
      </c>
      <c r="W29" s="17" t="s">
        <v>870</v>
      </c>
      <c r="X29" s="17" t="s">
        <v>870</v>
      </c>
      <c r="Y29" s="17" t="s">
        <v>870</v>
      </c>
      <c r="Z29" s="17" t="s">
        <v>870</v>
      </c>
      <c r="AA29" s="17" t="s">
        <v>870</v>
      </c>
      <c r="AB29" s="17" t="s">
        <v>870</v>
      </c>
      <c r="AC29" s="17" t="s">
        <v>870</v>
      </c>
      <c r="AD29" s="17" t="s">
        <v>870</v>
      </c>
      <c r="AE29" s="17" t="s">
        <v>870</v>
      </c>
      <c r="AF29" s="17" t="s">
        <v>870</v>
      </c>
      <c r="AG29" s="17" t="s">
        <v>870</v>
      </c>
      <c r="AH29" s="17" t="s">
        <v>870</v>
      </c>
      <c r="AI29" s="17" t="s">
        <v>870</v>
      </c>
      <c r="AJ29" s="17" t="s">
        <v>870</v>
      </c>
      <c r="AK29" s="17" t="s">
        <v>870</v>
      </c>
      <c r="AL29" s="17" t="s">
        <v>870</v>
      </c>
      <c r="AM29" s="63"/>
      <c r="AN29" s="17" t="s">
        <v>870</v>
      </c>
      <c r="AO29" s="17" t="s">
        <v>870</v>
      </c>
      <c r="AP29" s="17" t="s">
        <v>870</v>
      </c>
      <c r="AQ29" s="17" t="s">
        <v>870</v>
      </c>
      <c r="AR29" s="17" t="s">
        <v>870</v>
      </c>
      <c r="AS29" s="17" t="s">
        <v>870</v>
      </c>
      <c r="AT29" s="17" t="s">
        <v>870</v>
      </c>
      <c r="AU29" s="17" t="s">
        <v>870</v>
      </c>
    </row>
    <row r="30" spans="1:47" x14ac:dyDescent="0.25">
      <c r="A30" t="s">
        <v>1182</v>
      </c>
      <c r="B30" s="17" t="s">
        <v>870</v>
      </c>
      <c r="C30" s="17" t="s">
        <v>870</v>
      </c>
      <c r="D30" s="17" t="s">
        <v>870</v>
      </c>
      <c r="E30" s="17" t="s">
        <v>870</v>
      </c>
      <c r="F30" s="17" t="s">
        <v>870</v>
      </c>
      <c r="G30" s="17" t="s">
        <v>870</v>
      </c>
      <c r="H30" s="17" t="s">
        <v>870</v>
      </c>
      <c r="I30" s="17" t="s">
        <v>870</v>
      </c>
      <c r="J30" s="17" t="s">
        <v>870</v>
      </c>
      <c r="K30" s="17" t="s">
        <v>870</v>
      </c>
      <c r="L30" s="17" t="s">
        <v>870</v>
      </c>
      <c r="M30" s="17" t="s">
        <v>870</v>
      </c>
      <c r="N30" s="17" t="s">
        <v>870</v>
      </c>
      <c r="O30" s="17" t="s">
        <v>870</v>
      </c>
      <c r="P30" s="17" t="s">
        <v>870</v>
      </c>
      <c r="Q30" s="17" t="s">
        <v>870</v>
      </c>
      <c r="R30" s="17" t="s">
        <v>870</v>
      </c>
      <c r="S30" s="17" t="s">
        <v>870</v>
      </c>
      <c r="T30" s="17" t="s">
        <v>870</v>
      </c>
      <c r="U30" s="17" t="s">
        <v>870</v>
      </c>
      <c r="V30" s="63"/>
      <c r="W30" s="61" t="s">
        <v>2</v>
      </c>
      <c r="X30" s="63"/>
      <c r="Y30" s="63"/>
      <c r="Z30" s="61" t="s">
        <v>2</v>
      </c>
      <c r="AA30" s="63"/>
      <c r="AB30" s="61"/>
      <c r="AC30" s="63"/>
      <c r="AD30" s="63"/>
      <c r="AE30" s="61"/>
      <c r="AF30" s="61" t="s">
        <v>2</v>
      </c>
      <c r="AG30" s="61"/>
      <c r="AH30" s="61"/>
      <c r="AI30" s="17" t="s">
        <v>870</v>
      </c>
      <c r="AJ30" s="17" t="s">
        <v>870</v>
      </c>
      <c r="AK30" s="61"/>
      <c r="AL30" s="61"/>
      <c r="AM30" s="17" t="s">
        <v>870</v>
      </c>
      <c r="AN30" s="17" t="s">
        <v>870</v>
      </c>
      <c r="AO30" s="17" t="s">
        <v>870</v>
      </c>
      <c r="AP30" s="17" t="s">
        <v>870</v>
      </c>
      <c r="AQ30" s="17" t="s">
        <v>870</v>
      </c>
      <c r="AR30" s="17" t="s">
        <v>870</v>
      </c>
      <c r="AS30" s="17" t="s">
        <v>870</v>
      </c>
      <c r="AT30" s="17" t="s">
        <v>870</v>
      </c>
      <c r="AU30" s="17" t="s">
        <v>870</v>
      </c>
    </row>
    <row r="31" spans="1:47" x14ac:dyDescent="0.25">
      <c r="A31" t="s">
        <v>1178</v>
      </c>
      <c r="B31" s="17" t="s">
        <v>870</v>
      </c>
      <c r="C31" s="17" t="s">
        <v>870</v>
      </c>
      <c r="D31" s="17" t="s">
        <v>870</v>
      </c>
      <c r="E31" s="17" t="s">
        <v>870</v>
      </c>
      <c r="F31" s="17" t="s">
        <v>870</v>
      </c>
      <c r="G31" s="17" t="s">
        <v>870</v>
      </c>
      <c r="H31" s="17" t="s">
        <v>870</v>
      </c>
      <c r="I31" s="17" t="s">
        <v>870</v>
      </c>
      <c r="J31" s="17" t="s">
        <v>870</v>
      </c>
      <c r="K31" s="17" t="s">
        <v>870</v>
      </c>
      <c r="L31" s="17" t="s">
        <v>870</v>
      </c>
      <c r="M31" s="17" t="s">
        <v>870</v>
      </c>
      <c r="N31" s="17" t="s">
        <v>870</v>
      </c>
      <c r="O31" s="17" t="s">
        <v>870</v>
      </c>
      <c r="P31" s="17" t="s">
        <v>870</v>
      </c>
      <c r="Q31" s="17" t="s">
        <v>870</v>
      </c>
      <c r="R31" s="17" t="s">
        <v>870</v>
      </c>
      <c r="S31" s="17" t="s">
        <v>870</v>
      </c>
      <c r="T31" s="17" t="s">
        <v>870</v>
      </c>
      <c r="U31" s="17" t="s">
        <v>870</v>
      </c>
      <c r="V31" s="61" t="s">
        <v>2</v>
      </c>
      <c r="W31" s="61" t="s">
        <v>2</v>
      </c>
      <c r="X31" s="17" t="s">
        <v>870</v>
      </c>
      <c r="Y31" s="17" t="s">
        <v>870</v>
      </c>
      <c r="Z31" s="17" t="s">
        <v>870</v>
      </c>
      <c r="AA31" s="17" t="s">
        <v>870</v>
      </c>
      <c r="AB31" s="61" t="s">
        <v>2</v>
      </c>
      <c r="AC31" s="61" t="s">
        <v>2</v>
      </c>
      <c r="AD31" s="17" t="s">
        <v>870</v>
      </c>
      <c r="AE31" s="61" t="s">
        <v>2</v>
      </c>
      <c r="AF31" s="61" t="s">
        <v>2</v>
      </c>
      <c r="AG31" s="63"/>
      <c r="AH31" s="61" t="s">
        <v>2</v>
      </c>
      <c r="AI31" s="17" t="s">
        <v>870</v>
      </c>
      <c r="AJ31" s="17" t="s">
        <v>870</v>
      </c>
      <c r="AK31" s="61"/>
      <c r="AL31" s="63"/>
      <c r="AM31" s="61" t="s">
        <v>2</v>
      </c>
      <c r="AN31" s="61"/>
      <c r="AO31" s="61" t="s">
        <v>2</v>
      </c>
      <c r="AP31" s="17" t="s">
        <v>870</v>
      </c>
      <c r="AQ31" s="17" t="s">
        <v>870</v>
      </c>
      <c r="AR31" s="63"/>
      <c r="AS31" s="61"/>
      <c r="AT31" s="63"/>
      <c r="AU31" s="63"/>
    </row>
    <row r="32" spans="1:47" x14ac:dyDescent="0.25">
      <c r="A32" t="s">
        <v>1181</v>
      </c>
      <c r="B32" s="17" t="s">
        <v>870</v>
      </c>
      <c r="C32" s="17" t="s">
        <v>870</v>
      </c>
      <c r="D32" s="17" t="s">
        <v>870</v>
      </c>
      <c r="E32" s="17" t="s">
        <v>870</v>
      </c>
      <c r="F32" s="17" t="s">
        <v>870</v>
      </c>
      <c r="G32" s="17" t="s">
        <v>870</v>
      </c>
      <c r="H32" s="17" t="s">
        <v>870</v>
      </c>
      <c r="I32" s="17" t="s">
        <v>870</v>
      </c>
      <c r="J32" s="17" t="s">
        <v>870</v>
      </c>
      <c r="K32" s="17" t="s">
        <v>870</v>
      </c>
      <c r="L32" s="17" t="s">
        <v>870</v>
      </c>
      <c r="M32" s="17" t="s">
        <v>870</v>
      </c>
      <c r="N32" s="17" t="s">
        <v>870</v>
      </c>
      <c r="O32" s="17" t="s">
        <v>870</v>
      </c>
      <c r="P32" s="17" t="s">
        <v>870</v>
      </c>
      <c r="Q32" s="17" t="s">
        <v>870</v>
      </c>
      <c r="R32" s="17" t="s">
        <v>870</v>
      </c>
      <c r="S32" s="17" t="s">
        <v>870</v>
      </c>
      <c r="T32" s="17" t="s">
        <v>870</v>
      </c>
      <c r="U32" s="17" t="s">
        <v>870</v>
      </c>
      <c r="V32" s="63"/>
      <c r="W32" s="63"/>
      <c r="X32" s="63"/>
      <c r="Y32" s="63"/>
      <c r="Z32" s="63"/>
      <c r="AA32" s="63"/>
      <c r="AB32" s="63"/>
      <c r="AC32" s="63"/>
      <c r="AD32" s="63"/>
      <c r="AE32" s="17" t="s">
        <v>870</v>
      </c>
      <c r="AF32" s="17" t="s">
        <v>870</v>
      </c>
      <c r="AG32" s="63"/>
      <c r="AH32" s="63"/>
      <c r="AI32" s="63"/>
      <c r="AJ32" s="63"/>
      <c r="AK32" s="63"/>
      <c r="AL32" s="63"/>
      <c r="AM32" s="63"/>
      <c r="AN32" s="17" t="s">
        <v>870</v>
      </c>
      <c r="AO32" s="17" t="s">
        <v>870</v>
      </c>
      <c r="AP32" s="17" t="s">
        <v>870</v>
      </c>
      <c r="AQ32" s="17" t="s">
        <v>870</v>
      </c>
      <c r="AR32" s="17" t="s">
        <v>870</v>
      </c>
      <c r="AS32" s="17" t="s">
        <v>870</v>
      </c>
      <c r="AT32" s="17" t="s">
        <v>870</v>
      </c>
      <c r="AU32" s="17" t="s">
        <v>870</v>
      </c>
    </row>
    <row r="33" spans="1:47" x14ac:dyDescent="0.25">
      <c r="A33" t="s">
        <v>1191</v>
      </c>
      <c r="B33" s="17" t="s">
        <v>870</v>
      </c>
      <c r="C33" s="17" t="s">
        <v>870</v>
      </c>
      <c r="D33" s="17" t="s">
        <v>870</v>
      </c>
      <c r="E33" s="17" t="s">
        <v>870</v>
      </c>
      <c r="F33" s="17" t="s">
        <v>870</v>
      </c>
      <c r="G33" s="17" t="s">
        <v>870</v>
      </c>
      <c r="H33" s="17" t="s">
        <v>870</v>
      </c>
      <c r="I33" s="17" t="s">
        <v>870</v>
      </c>
      <c r="J33" s="17" t="s">
        <v>870</v>
      </c>
      <c r="K33" s="17" t="s">
        <v>870</v>
      </c>
      <c r="L33" s="17" t="s">
        <v>870</v>
      </c>
      <c r="M33" s="17" t="s">
        <v>870</v>
      </c>
      <c r="N33" s="17" t="s">
        <v>870</v>
      </c>
      <c r="O33" s="17" t="s">
        <v>870</v>
      </c>
      <c r="P33" s="17" t="s">
        <v>870</v>
      </c>
      <c r="Q33" s="17" t="s">
        <v>870</v>
      </c>
      <c r="R33" s="17" t="s">
        <v>870</v>
      </c>
      <c r="S33" s="17" t="s">
        <v>870</v>
      </c>
      <c r="T33" s="17" t="s">
        <v>870</v>
      </c>
      <c r="U33" s="17" t="s">
        <v>870</v>
      </c>
      <c r="V33" s="17" t="s">
        <v>870</v>
      </c>
      <c r="W33" s="17" t="s">
        <v>870</v>
      </c>
      <c r="X33" s="61" t="s">
        <v>2</v>
      </c>
      <c r="Y33" s="63"/>
      <c r="Z33" s="63"/>
      <c r="AA33" s="63"/>
      <c r="AB33" s="17" t="s">
        <v>870</v>
      </c>
      <c r="AC33" s="17" t="s">
        <v>870</v>
      </c>
      <c r="AD33" s="61"/>
      <c r="AE33" s="17" t="s">
        <v>870</v>
      </c>
      <c r="AF33" s="17" t="s">
        <v>870</v>
      </c>
      <c r="AG33" s="63"/>
      <c r="AH33" s="63"/>
      <c r="AI33" s="63"/>
      <c r="AJ33" s="63"/>
      <c r="AK33" s="17" t="s">
        <v>870</v>
      </c>
      <c r="AL33" s="17" t="s">
        <v>870</v>
      </c>
      <c r="AM33" s="63"/>
      <c r="AN33" s="61" t="s">
        <v>2</v>
      </c>
      <c r="AO33" s="61" t="s">
        <v>2</v>
      </c>
      <c r="AP33" s="63"/>
      <c r="AQ33" s="63"/>
      <c r="AR33" s="63"/>
      <c r="AS33" s="63"/>
      <c r="AT33" s="63"/>
      <c r="AU33" s="61" t="s">
        <v>2</v>
      </c>
    </row>
    <row r="34" spans="1:47" x14ac:dyDescent="0.25">
      <c r="A34" t="s">
        <v>1188</v>
      </c>
      <c r="B34" s="17" t="s">
        <v>870</v>
      </c>
      <c r="C34" s="17" t="s">
        <v>870</v>
      </c>
      <c r="D34" s="17" t="s">
        <v>870</v>
      </c>
      <c r="E34" s="17" t="s">
        <v>870</v>
      </c>
      <c r="F34" s="17" t="s">
        <v>870</v>
      </c>
      <c r="G34" s="17" t="s">
        <v>870</v>
      </c>
      <c r="H34" s="17" t="s">
        <v>870</v>
      </c>
      <c r="I34" s="17" t="s">
        <v>870</v>
      </c>
      <c r="J34" s="17" t="s">
        <v>870</v>
      </c>
      <c r="K34" s="17" t="s">
        <v>870</v>
      </c>
      <c r="L34" s="17" t="s">
        <v>870</v>
      </c>
      <c r="M34" s="17" t="s">
        <v>870</v>
      </c>
      <c r="N34" s="17" t="s">
        <v>870</v>
      </c>
      <c r="O34" s="17" t="s">
        <v>870</v>
      </c>
      <c r="P34" s="17" t="s">
        <v>870</v>
      </c>
      <c r="Q34" s="17" t="s">
        <v>870</v>
      </c>
      <c r="R34" s="17" t="s">
        <v>870</v>
      </c>
      <c r="S34" s="17" t="s">
        <v>870</v>
      </c>
      <c r="T34" s="17" t="s">
        <v>870</v>
      </c>
      <c r="U34" s="17" t="s">
        <v>870</v>
      </c>
      <c r="V34" s="17" t="s">
        <v>870</v>
      </c>
      <c r="W34" s="17" t="s">
        <v>870</v>
      </c>
      <c r="X34" s="61" t="s">
        <v>2</v>
      </c>
      <c r="Y34" s="63"/>
      <c r="Z34" s="61" t="s">
        <v>2</v>
      </c>
      <c r="AA34" s="63"/>
      <c r="AB34" s="61" t="s">
        <v>2</v>
      </c>
      <c r="AC34" s="61" t="s">
        <v>2</v>
      </c>
      <c r="AD34" s="61" t="s">
        <v>2</v>
      </c>
      <c r="AE34" s="61" t="s">
        <v>2</v>
      </c>
      <c r="AF34" s="61"/>
      <c r="AG34" s="63"/>
      <c r="AH34" s="63"/>
      <c r="AI34" s="17" t="s">
        <v>870</v>
      </c>
      <c r="AJ34" s="17" t="s">
        <v>870</v>
      </c>
      <c r="AK34" s="61" t="s">
        <v>2</v>
      </c>
      <c r="AL34" s="61" t="s">
        <v>2</v>
      </c>
      <c r="AM34" s="17" t="s">
        <v>870</v>
      </c>
      <c r="AN34" s="61" t="s">
        <v>2</v>
      </c>
      <c r="AO34" s="61"/>
      <c r="AP34" s="63"/>
      <c r="AQ34" s="61"/>
      <c r="AR34" s="63"/>
      <c r="AS34" s="61" t="s">
        <v>2</v>
      </c>
      <c r="AT34" s="17" t="s">
        <v>870</v>
      </c>
      <c r="AU34" s="17" t="s">
        <v>870</v>
      </c>
    </row>
    <row r="35" spans="1:47" x14ac:dyDescent="0.25">
      <c r="A35" t="s">
        <v>1192</v>
      </c>
      <c r="B35" s="17" t="s">
        <v>870</v>
      </c>
      <c r="C35" s="17" t="s">
        <v>870</v>
      </c>
      <c r="D35" s="17" t="s">
        <v>870</v>
      </c>
      <c r="E35" s="17" t="s">
        <v>870</v>
      </c>
      <c r="F35" s="17" t="s">
        <v>870</v>
      </c>
      <c r="G35" s="17" t="s">
        <v>870</v>
      </c>
      <c r="H35" s="17" t="s">
        <v>870</v>
      </c>
      <c r="I35" s="17" t="s">
        <v>870</v>
      </c>
      <c r="J35" s="17" t="s">
        <v>870</v>
      </c>
      <c r="K35" s="17" t="s">
        <v>870</v>
      </c>
      <c r="L35" s="17" t="s">
        <v>870</v>
      </c>
      <c r="M35" s="17" t="s">
        <v>870</v>
      </c>
      <c r="N35" s="17" t="s">
        <v>870</v>
      </c>
      <c r="O35" s="17" t="s">
        <v>870</v>
      </c>
      <c r="P35" s="17" t="s">
        <v>870</v>
      </c>
      <c r="Q35" s="17" t="s">
        <v>870</v>
      </c>
      <c r="R35" s="17" t="s">
        <v>870</v>
      </c>
      <c r="S35" s="17" t="s">
        <v>870</v>
      </c>
      <c r="T35" s="17" t="s">
        <v>870</v>
      </c>
      <c r="U35" s="17" t="s">
        <v>870</v>
      </c>
      <c r="V35" s="17" t="s">
        <v>870</v>
      </c>
      <c r="W35" s="17" t="s">
        <v>870</v>
      </c>
      <c r="X35" s="61"/>
      <c r="Y35" s="61" t="s">
        <v>2</v>
      </c>
      <c r="Z35" s="63"/>
      <c r="AA35" s="63"/>
      <c r="AB35" s="17" t="s">
        <v>870</v>
      </c>
      <c r="AC35" s="17" t="s">
        <v>870</v>
      </c>
      <c r="AD35" s="63"/>
      <c r="AE35" s="63"/>
      <c r="AF35" s="63"/>
      <c r="AG35" s="61"/>
      <c r="AH35" s="63"/>
      <c r="AI35" s="63"/>
      <c r="AJ35" s="63"/>
      <c r="AK35" s="63"/>
      <c r="AL35" s="61" t="s">
        <v>2</v>
      </c>
      <c r="AM35" s="63"/>
      <c r="AN35" s="17" t="s">
        <v>870</v>
      </c>
      <c r="AO35" s="17" t="s">
        <v>870</v>
      </c>
      <c r="AP35" s="61" t="s">
        <v>2</v>
      </c>
      <c r="AQ35" s="63"/>
      <c r="AR35" s="63"/>
      <c r="AS35" s="63"/>
      <c r="AT35" s="17" t="s">
        <v>870</v>
      </c>
      <c r="AU35" s="17" t="s">
        <v>870</v>
      </c>
    </row>
    <row r="36" spans="1:47" x14ac:dyDescent="0.25">
      <c r="A36" t="s">
        <v>1193</v>
      </c>
      <c r="B36" s="17" t="s">
        <v>870</v>
      </c>
      <c r="C36" s="17" t="s">
        <v>870</v>
      </c>
      <c r="D36" s="17" t="s">
        <v>870</v>
      </c>
      <c r="E36" s="17" t="s">
        <v>870</v>
      </c>
      <c r="F36" s="17" t="s">
        <v>870</v>
      </c>
      <c r="G36" s="17" t="s">
        <v>870</v>
      </c>
      <c r="H36" s="17" t="s">
        <v>870</v>
      </c>
      <c r="I36" s="17" t="s">
        <v>870</v>
      </c>
      <c r="J36" s="17" t="s">
        <v>870</v>
      </c>
      <c r="K36" s="17" t="s">
        <v>870</v>
      </c>
      <c r="L36" s="17" t="s">
        <v>870</v>
      </c>
      <c r="M36" s="17" t="s">
        <v>870</v>
      </c>
      <c r="N36" s="17" t="s">
        <v>870</v>
      </c>
      <c r="O36" s="17" t="s">
        <v>870</v>
      </c>
      <c r="P36" s="17" t="s">
        <v>870</v>
      </c>
      <c r="Q36" s="17" t="s">
        <v>870</v>
      </c>
      <c r="R36" s="17" t="s">
        <v>870</v>
      </c>
      <c r="S36" s="17" t="s">
        <v>870</v>
      </c>
      <c r="T36" s="17" t="s">
        <v>870</v>
      </c>
      <c r="U36" s="17" t="s">
        <v>870</v>
      </c>
      <c r="V36" s="17" t="s">
        <v>870</v>
      </c>
      <c r="W36" s="17" t="s">
        <v>870</v>
      </c>
      <c r="X36" s="17" t="s">
        <v>870</v>
      </c>
      <c r="Y36" s="63"/>
      <c r="Z36" s="17" t="s">
        <v>870</v>
      </c>
      <c r="AA36" s="63"/>
      <c r="AB36" s="63"/>
      <c r="AC36" s="61" t="s">
        <v>2</v>
      </c>
      <c r="AD36" s="63"/>
      <c r="AE36" s="61"/>
      <c r="AF36" s="63"/>
      <c r="AG36" s="17" t="s">
        <v>870</v>
      </c>
      <c r="AH36" s="17" t="s">
        <v>870</v>
      </c>
      <c r="AI36" s="17" t="s">
        <v>870</v>
      </c>
      <c r="AJ36" s="17" t="s">
        <v>870</v>
      </c>
      <c r="AK36" s="63"/>
      <c r="AL36" s="63"/>
      <c r="AM36" s="17" t="s">
        <v>870</v>
      </c>
      <c r="AN36" s="17" t="s">
        <v>870</v>
      </c>
      <c r="AO36" s="17" t="s">
        <v>870</v>
      </c>
      <c r="AP36" s="17" t="s">
        <v>870</v>
      </c>
      <c r="AQ36" s="17" t="s">
        <v>870</v>
      </c>
      <c r="AR36" s="17" t="s">
        <v>870</v>
      </c>
      <c r="AS36" s="17" t="s">
        <v>870</v>
      </c>
      <c r="AT36" s="17" t="s">
        <v>870</v>
      </c>
      <c r="AU36" s="17" t="s">
        <v>870</v>
      </c>
    </row>
    <row r="37" spans="1:47" x14ac:dyDescent="0.25">
      <c r="A37" t="s">
        <v>75</v>
      </c>
      <c r="B37" s="17" t="s">
        <v>870</v>
      </c>
      <c r="C37" s="17" t="s">
        <v>870</v>
      </c>
      <c r="D37" s="17" t="s">
        <v>870</v>
      </c>
      <c r="E37" s="17" t="s">
        <v>870</v>
      </c>
      <c r="F37" s="17" t="s">
        <v>870</v>
      </c>
      <c r="G37" s="17" t="s">
        <v>870</v>
      </c>
      <c r="H37" s="17" t="s">
        <v>870</v>
      </c>
      <c r="I37" s="17" t="s">
        <v>870</v>
      </c>
      <c r="J37" s="17" t="s">
        <v>870</v>
      </c>
      <c r="K37" s="17" t="s">
        <v>870</v>
      </c>
      <c r="L37" s="17" t="s">
        <v>870</v>
      </c>
      <c r="M37" s="17" t="s">
        <v>870</v>
      </c>
      <c r="N37" s="17" t="s">
        <v>870</v>
      </c>
      <c r="O37" s="17" t="s">
        <v>870</v>
      </c>
      <c r="P37" s="17" t="s">
        <v>870</v>
      </c>
      <c r="Q37" s="17" t="s">
        <v>870</v>
      </c>
      <c r="R37" s="17" t="s">
        <v>870</v>
      </c>
      <c r="S37" s="17" t="s">
        <v>870</v>
      </c>
      <c r="T37" s="17" t="s">
        <v>870</v>
      </c>
      <c r="U37" s="17" t="s">
        <v>870</v>
      </c>
      <c r="V37" s="17" t="s">
        <v>870</v>
      </c>
      <c r="W37" s="17" t="s">
        <v>870</v>
      </c>
      <c r="X37" s="17" t="s">
        <v>870</v>
      </c>
      <c r="Y37" s="17" t="s">
        <v>870</v>
      </c>
      <c r="Z37" s="17" t="s">
        <v>870</v>
      </c>
      <c r="AA37" s="17" t="s">
        <v>870</v>
      </c>
      <c r="AB37" s="17" t="s">
        <v>870</v>
      </c>
      <c r="AC37" s="17" t="s">
        <v>870</v>
      </c>
      <c r="AD37" s="17" t="s">
        <v>870</v>
      </c>
      <c r="AE37" s="63"/>
      <c r="AF37" s="61"/>
      <c r="AG37" s="17" t="s">
        <v>870</v>
      </c>
      <c r="AH37" s="17" t="s">
        <v>870</v>
      </c>
      <c r="AI37" s="17" t="s">
        <v>870</v>
      </c>
      <c r="AJ37" s="17" t="s">
        <v>870</v>
      </c>
      <c r="AK37" s="17" t="s">
        <v>870</v>
      </c>
      <c r="AL37" s="17" t="s">
        <v>870</v>
      </c>
      <c r="AM37" s="17" t="s">
        <v>870</v>
      </c>
      <c r="AN37" s="17" t="s">
        <v>870</v>
      </c>
      <c r="AO37" s="17" t="s">
        <v>870</v>
      </c>
      <c r="AP37" s="17" t="s">
        <v>870</v>
      </c>
      <c r="AQ37" s="17" t="s">
        <v>870</v>
      </c>
      <c r="AR37" s="17" t="s">
        <v>870</v>
      </c>
      <c r="AS37" s="17" t="s">
        <v>870</v>
      </c>
      <c r="AT37" s="17" t="s">
        <v>870</v>
      </c>
      <c r="AU37" s="17" t="s">
        <v>870</v>
      </c>
    </row>
    <row r="38" spans="1:47" x14ac:dyDescent="0.25">
      <c r="A38" t="s">
        <v>1518</v>
      </c>
      <c r="B38" s="17" t="s">
        <v>870</v>
      </c>
      <c r="C38" s="17" t="s">
        <v>870</v>
      </c>
      <c r="D38" s="17" t="s">
        <v>870</v>
      </c>
      <c r="E38" s="17" t="s">
        <v>870</v>
      </c>
      <c r="F38" s="17" t="s">
        <v>870</v>
      </c>
      <c r="G38" s="17" t="s">
        <v>870</v>
      </c>
      <c r="H38" s="17" t="s">
        <v>870</v>
      </c>
      <c r="I38" s="17" t="s">
        <v>870</v>
      </c>
      <c r="J38" s="17" t="s">
        <v>870</v>
      </c>
      <c r="K38" s="17" t="s">
        <v>870</v>
      </c>
      <c r="L38" s="17" t="s">
        <v>870</v>
      </c>
      <c r="M38" s="17" t="s">
        <v>870</v>
      </c>
      <c r="N38" s="17" t="s">
        <v>870</v>
      </c>
      <c r="O38" s="17" t="s">
        <v>870</v>
      </c>
      <c r="P38" s="17" t="s">
        <v>870</v>
      </c>
      <c r="Q38" s="17" t="s">
        <v>870</v>
      </c>
      <c r="R38" s="17" t="s">
        <v>870</v>
      </c>
      <c r="S38" s="17" t="s">
        <v>870</v>
      </c>
      <c r="T38" s="17" t="s">
        <v>870</v>
      </c>
      <c r="U38" s="17" t="s">
        <v>870</v>
      </c>
      <c r="V38" s="17" t="s">
        <v>870</v>
      </c>
      <c r="W38" s="17" t="s">
        <v>870</v>
      </c>
      <c r="X38" s="17" t="s">
        <v>870</v>
      </c>
      <c r="Y38" s="17" t="s">
        <v>870</v>
      </c>
      <c r="Z38" s="17" t="s">
        <v>870</v>
      </c>
      <c r="AA38" s="17" t="s">
        <v>870</v>
      </c>
      <c r="AB38" s="17" t="s">
        <v>870</v>
      </c>
      <c r="AC38" s="17" t="s">
        <v>870</v>
      </c>
      <c r="AD38" s="17" t="s">
        <v>870</v>
      </c>
      <c r="AE38" s="17" t="s">
        <v>870</v>
      </c>
      <c r="AF38" s="17" t="s">
        <v>870</v>
      </c>
      <c r="AG38" s="17" t="s">
        <v>870</v>
      </c>
      <c r="AH38" s="17" t="s">
        <v>870</v>
      </c>
      <c r="AI38" s="17" t="s">
        <v>870</v>
      </c>
      <c r="AJ38" s="17" t="s">
        <v>870</v>
      </c>
      <c r="AK38" s="17" t="s">
        <v>870</v>
      </c>
      <c r="AL38" s="17" t="s">
        <v>870</v>
      </c>
      <c r="AM38" s="17" t="s">
        <v>870</v>
      </c>
      <c r="AN38" s="61" t="s">
        <v>2</v>
      </c>
      <c r="AO38" s="61"/>
      <c r="AP38" s="61" t="s">
        <v>2</v>
      </c>
      <c r="AQ38" s="63"/>
      <c r="AR38" s="17" t="s">
        <v>870</v>
      </c>
      <c r="AS38" s="17" t="s">
        <v>870</v>
      </c>
      <c r="AT38" s="17" t="s">
        <v>870</v>
      </c>
      <c r="AU38" s="17" t="s">
        <v>870</v>
      </c>
    </row>
    <row r="39" spans="1:47" x14ac:dyDescent="0.25">
      <c r="A39" t="s">
        <v>1679</v>
      </c>
      <c r="B39" s="17" t="s">
        <v>870</v>
      </c>
      <c r="C39" s="17" t="s">
        <v>870</v>
      </c>
      <c r="D39" s="17" t="s">
        <v>870</v>
      </c>
      <c r="E39" s="17" t="s">
        <v>870</v>
      </c>
      <c r="F39" s="17" t="s">
        <v>870</v>
      </c>
      <c r="G39" s="17" t="s">
        <v>870</v>
      </c>
      <c r="H39" s="17" t="s">
        <v>870</v>
      </c>
      <c r="I39" s="17" t="s">
        <v>870</v>
      </c>
      <c r="J39" s="17" t="s">
        <v>870</v>
      </c>
      <c r="K39" s="17" t="s">
        <v>870</v>
      </c>
      <c r="L39" s="17" t="s">
        <v>870</v>
      </c>
      <c r="M39" s="17" t="s">
        <v>870</v>
      </c>
      <c r="N39" s="17" t="s">
        <v>870</v>
      </c>
      <c r="O39" s="17" t="s">
        <v>870</v>
      </c>
      <c r="P39" s="17" t="s">
        <v>870</v>
      </c>
      <c r="Q39" s="17" t="s">
        <v>870</v>
      </c>
      <c r="R39" s="17" t="s">
        <v>870</v>
      </c>
      <c r="S39" s="17" t="s">
        <v>870</v>
      </c>
      <c r="T39" s="17" t="s">
        <v>870</v>
      </c>
      <c r="U39" s="17" t="s">
        <v>870</v>
      </c>
      <c r="V39" s="17" t="s">
        <v>870</v>
      </c>
      <c r="W39" s="17" t="s">
        <v>870</v>
      </c>
      <c r="X39" s="17" t="s">
        <v>870</v>
      </c>
      <c r="Y39" s="17" t="s">
        <v>870</v>
      </c>
      <c r="Z39" s="17" t="s">
        <v>870</v>
      </c>
      <c r="AA39" s="17" t="s">
        <v>870</v>
      </c>
      <c r="AB39" s="17" t="s">
        <v>870</v>
      </c>
      <c r="AC39" s="17" t="s">
        <v>870</v>
      </c>
      <c r="AD39" s="17" t="s">
        <v>870</v>
      </c>
      <c r="AE39" s="17" t="s">
        <v>870</v>
      </c>
      <c r="AF39" s="17" t="s">
        <v>870</v>
      </c>
      <c r="AG39" s="17" t="s">
        <v>870</v>
      </c>
      <c r="AH39" s="17" t="s">
        <v>870</v>
      </c>
      <c r="AI39" s="17" t="s">
        <v>870</v>
      </c>
      <c r="AJ39" s="17" t="s">
        <v>870</v>
      </c>
      <c r="AK39" s="17" t="s">
        <v>870</v>
      </c>
      <c r="AL39" s="17" t="s">
        <v>870</v>
      </c>
      <c r="AM39" s="17" t="s">
        <v>870</v>
      </c>
      <c r="AN39" s="63"/>
      <c r="AO39" s="63"/>
      <c r="AP39" s="63"/>
      <c r="AQ39" s="63"/>
      <c r="AR39" s="63"/>
      <c r="AS39" s="63"/>
      <c r="AT39" s="63"/>
      <c r="AU39" s="63"/>
    </row>
    <row r="40" spans="1:47" x14ac:dyDescent="0.25">
      <c r="A40" t="s">
        <v>1678</v>
      </c>
      <c r="B40" s="17" t="s">
        <v>870</v>
      </c>
      <c r="C40" s="17" t="s">
        <v>870</v>
      </c>
      <c r="D40" s="17" t="s">
        <v>870</v>
      </c>
      <c r="E40" s="17" t="s">
        <v>870</v>
      </c>
      <c r="F40" s="17" t="s">
        <v>870</v>
      </c>
      <c r="G40" s="17" t="s">
        <v>870</v>
      </c>
      <c r="H40" s="17" t="s">
        <v>870</v>
      </c>
      <c r="I40" s="17" t="s">
        <v>870</v>
      </c>
      <c r="J40" s="17" t="s">
        <v>870</v>
      </c>
      <c r="K40" s="17" t="s">
        <v>870</v>
      </c>
      <c r="L40" s="17" t="s">
        <v>870</v>
      </c>
      <c r="M40" s="17" t="s">
        <v>870</v>
      </c>
      <c r="N40" s="17" t="s">
        <v>870</v>
      </c>
      <c r="O40" s="17" t="s">
        <v>870</v>
      </c>
      <c r="P40" s="17" t="s">
        <v>870</v>
      </c>
      <c r="Q40" s="17" t="s">
        <v>870</v>
      </c>
      <c r="R40" s="17" t="s">
        <v>870</v>
      </c>
      <c r="S40" s="17" t="s">
        <v>870</v>
      </c>
      <c r="T40" s="17" t="s">
        <v>870</v>
      </c>
      <c r="U40" s="17" t="s">
        <v>870</v>
      </c>
      <c r="V40" s="17" t="s">
        <v>870</v>
      </c>
      <c r="W40" s="17" t="s">
        <v>870</v>
      </c>
      <c r="X40" s="17" t="s">
        <v>870</v>
      </c>
      <c r="Y40" s="17" t="s">
        <v>870</v>
      </c>
      <c r="Z40" s="17" t="s">
        <v>870</v>
      </c>
      <c r="AA40" s="17" t="s">
        <v>870</v>
      </c>
      <c r="AB40" s="17" t="s">
        <v>870</v>
      </c>
      <c r="AC40" s="17" t="s">
        <v>870</v>
      </c>
      <c r="AD40" s="17" t="s">
        <v>870</v>
      </c>
      <c r="AE40" s="17" t="s">
        <v>870</v>
      </c>
      <c r="AF40" s="17" t="s">
        <v>870</v>
      </c>
      <c r="AG40" s="17" t="s">
        <v>870</v>
      </c>
      <c r="AH40" s="17" t="s">
        <v>870</v>
      </c>
      <c r="AI40" s="17" t="s">
        <v>870</v>
      </c>
      <c r="AJ40" s="17" t="s">
        <v>870</v>
      </c>
      <c r="AK40" s="17" t="s">
        <v>870</v>
      </c>
      <c r="AL40" s="17" t="s">
        <v>870</v>
      </c>
      <c r="AM40" s="17" t="s">
        <v>870</v>
      </c>
      <c r="AN40" s="63"/>
      <c r="AO40" s="63"/>
      <c r="AP40" s="63"/>
      <c r="AQ40" s="63"/>
      <c r="AR40" s="61"/>
      <c r="AS40" s="63"/>
      <c r="AT40" s="17" t="s">
        <v>870</v>
      </c>
      <c r="AU40" s="17" t="s">
        <v>870</v>
      </c>
    </row>
    <row r="41" spans="1:47" x14ac:dyDescent="0.25">
      <c r="A41" t="s">
        <v>1680</v>
      </c>
      <c r="B41" s="17" t="s">
        <v>870</v>
      </c>
      <c r="C41" s="17" t="s">
        <v>870</v>
      </c>
      <c r="D41" s="17" t="s">
        <v>870</v>
      </c>
      <c r="E41" s="17" t="s">
        <v>870</v>
      </c>
      <c r="F41" s="17" t="s">
        <v>870</v>
      </c>
      <c r="G41" s="17" t="s">
        <v>870</v>
      </c>
      <c r="H41" s="17" t="s">
        <v>870</v>
      </c>
      <c r="I41" s="17" t="s">
        <v>870</v>
      </c>
      <c r="J41" s="17" t="s">
        <v>870</v>
      </c>
      <c r="K41" s="17" t="s">
        <v>870</v>
      </c>
      <c r="L41" s="17" t="s">
        <v>870</v>
      </c>
      <c r="M41" s="17" t="s">
        <v>870</v>
      </c>
      <c r="N41" s="17" t="s">
        <v>870</v>
      </c>
      <c r="O41" s="17" t="s">
        <v>870</v>
      </c>
      <c r="P41" s="17" t="s">
        <v>870</v>
      </c>
      <c r="Q41" s="17" t="s">
        <v>870</v>
      </c>
      <c r="R41" s="17" t="s">
        <v>870</v>
      </c>
      <c r="S41" s="17" t="s">
        <v>870</v>
      </c>
      <c r="T41" s="17" t="s">
        <v>870</v>
      </c>
      <c r="U41" s="17" t="s">
        <v>870</v>
      </c>
      <c r="V41" s="17" t="s">
        <v>870</v>
      </c>
      <c r="W41" s="17" t="s">
        <v>870</v>
      </c>
      <c r="X41" s="17" t="s">
        <v>870</v>
      </c>
      <c r="Y41" s="17" t="s">
        <v>870</v>
      </c>
      <c r="Z41" s="17" t="s">
        <v>870</v>
      </c>
      <c r="AA41" s="17" t="s">
        <v>870</v>
      </c>
      <c r="AB41" s="17" t="s">
        <v>870</v>
      </c>
      <c r="AC41" s="17" t="s">
        <v>870</v>
      </c>
      <c r="AD41" s="17" t="s">
        <v>870</v>
      </c>
      <c r="AE41" s="17" t="s">
        <v>870</v>
      </c>
      <c r="AF41" s="17" t="s">
        <v>870</v>
      </c>
      <c r="AG41" s="17" t="s">
        <v>870</v>
      </c>
      <c r="AH41" s="17" t="s">
        <v>870</v>
      </c>
      <c r="AI41" s="17" t="s">
        <v>870</v>
      </c>
      <c r="AJ41" s="17" t="s">
        <v>870</v>
      </c>
      <c r="AK41" s="17" t="s">
        <v>870</v>
      </c>
      <c r="AL41" s="17" t="s">
        <v>870</v>
      </c>
      <c r="AM41" s="17" t="s">
        <v>870</v>
      </c>
      <c r="AN41" s="63"/>
      <c r="AO41" s="63"/>
      <c r="AP41" s="63"/>
      <c r="AQ41" s="63"/>
      <c r="AR41" s="17" t="s">
        <v>870</v>
      </c>
      <c r="AS41" s="17" t="s">
        <v>870</v>
      </c>
      <c r="AT41" s="17" t="s">
        <v>870</v>
      </c>
      <c r="AU41" s="17" t="s">
        <v>870</v>
      </c>
    </row>
    <row r="42" spans="1:47" x14ac:dyDescent="0.25">
      <c r="A42" t="s">
        <v>1369</v>
      </c>
      <c r="B42" s="17" t="s">
        <v>870</v>
      </c>
      <c r="C42" s="17" t="s">
        <v>870</v>
      </c>
      <c r="D42" s="17" t="s">
        <v>870</v>
      </c>
      <c r="E42" s="17" t="s">
        <v>870</v>
      </c>
      <c r="F42" s="17" t="s">
        <v>870</v>
      </c>
      <c r="G42" s="17" t="s">
        <v>870</v>
      </c>
      <c r="H42" s="17" t="s">
        <v>870</v>
      </c>
      <c r="I42" s="17" t="s">
        <v>870</v>
      </c>
      <c r="J42" s="17" t="s">
        <v>870</v>
      </c>
      <c r="K42" s="17" t="s">
        <v>870</v>
      </c>
      <c r="L42" s="17" t="s">
        <v>870</v>
      </c>
      <c r="M42" s="17" t="s">
        <v>870</v>
      </c>
      <c r="N42" s="17" t="s">
        <v>870</v>
      </c>
      <c r="O42" s="17" t="s">
        <v>870</v>
      </c>
      <c r="P42" s="17" t="s">
        <v>870</v>
      </c>
      <c r="Q42" s="17" t="s">
        <v>870</v>
      </c>
      <c r="R42" s="17" t="s">
        <v>870</v>
      </c>
      <c r="S42" s="17" t="s">
        <v>870</v>
      </c>
      <c r="T42" s="17" t="s">
        <v>870</v>
      </c>
      <c r="U42" s="17" t="s">
        <v>870</v>
      </c>
      <c r="V42" s="17" t="s">
        <v>870</v>
      </c>
      <c r="W42" s="17" t="s">
        <v>870</v>
      </c>
      <c r="X42" s="17" t="s">
        <v>870</v>
      </c>
      <c r="Y42" s="17" t="s">
        <v>870</v>
      </c>
      <c r="Z42" s="17" t="s">
        <v>870</v>
      </c>
      <c r="AA42" s="17" t="s">
        <v>870</v>
      </c>
      <c r="AB42" s="17" t="s">
        <v>870</v>
      </c>
      <c r="AC42" s="17" t="s">
        <v>870</v>
      </c>
      <c r="AD42" s="17" t="s">
        <v>870</v>
      </c>
      <c r="AE42" s="17" t="s">
        <v>870</v>
      </c>
      <c r="AF42" s="17" t="s">
        <v>870</v>
      </c>
      <c r="AG42" s="17" t="s">
        <v>870</v>
      </c>
      <c r="AH42" s="17" t="s">
        <v>870</v>
      </c>
      <c r="AI42" s="17" t="s">
        <v>870</v>
      </c>
      <c r="AJ42" s="17" t="s">
        <v>870</v>
      </c>
      <c r="AK42" s="17" t="s">
        <v>870</v>
      </c>
      <c r="AL42" s="17" t="s">
        <v>870</v>
      </c>
      <c r="AM42" s="17" t="s">
        <v>870</v>
      </c>
      <c r="AN42" s="63"/>
      <c r="AO42" s="63"/>
      <c r="AP42" s="63"/>
      <c r="AQ42" s="63"/>
      <c r="AR42" s="63"/>
      <c r="AS42" s="63"/>
      <c r="AT42" s="17" t="s">
        <v>870</v>
      </c>
      <c r="AU42" s="17" t="s">
        <v>870</v>
      </c>
    </row>
    <row r="43" spans="1:47" x14ac:dyDescent="0.25">
      <c r="A43" t="s">
        <v>1704</v>
      </c>
      <c r="B43" s="17" t="s">
        <v>870</v>
      </c>
      <c r="C43" s="17" t="s">
        <v>870</v>
      </c>
      <c r="D43" s="17" t="s">
        <v>870</v>
      </c>
      <c r="E43" s="17" t="s">
        <v>870</v>
      </c>
      <c r="F43" s="17" t="s">
        <v>870</v>
      </c>
      <c r="G43" s="17" t="s">
        <v>870</v>
      </c>
      <c r="H43" s="17" t="s">
        <v>870</v>
      </c>
      <c r="I43" s="17" t="s">
        <v>870</v>
      </c>
      <c r="J43" s="17" t="s">
        <v>870</v>
      </c>
      <c r="K43" s="17" t="s">
        <v>870</v>
      </c>
      <c r="L43" s="17" t="s">
        <v>870</v>
      </c>
      <c r="M43" s="17" t="s">
        <v>870</v>
      </c>
      <c r="N43" s="17" t="s">
        <v>870</v>
      </c>
      <c r="O43" s="17" t="s">
        <v>870</v>
      </c>
      <c r="P43" s="17" t="s">
        <v>870</v>
      </c>
      <c r="Q43" s="17" t="s">
        <v>870</v>
      </c>
      <c r="R43" s="17" t="s">
        <v>870</v>
      </c>
      <c r="S43" s="17" t="s">
        <v>870</v>
      </c>
      <c r="T43" s="17" t="s">
        <v>870</v>
      </c>
      <c r="U43" s="17" t="s">
        <v>870</v>
      </c>
      <c r="V43" s="17" t="s">
        <v>870</v>
      </c>
      <c r="W43" s="17" t="s">
        <v>870</v>
      </c>
      <c r="X43" s="17" t="s">
        <v>870</v>
      </c>
      <c r="Y43" s="17" t="s">
        <v>870</v>
      </c>
      <c r="Z43" s="17" t="s">
        <v>870</v>
      </c>
      <c r="AA43" s="17" t="s">
        <v>870</v>
      </c>
      <c r="AB43" s="17" t="s">
        <v>870</v>
      </c>
      <c r="AC43" s="17" t="s">
        <v>870</v>
      </c>
      <c r="AD43" s="17" t="s">
        <v>870</v>
      </c>
      <c r="AE43" s="17" t="s">
        <v>870</v>
      </c>
      <c r="AF43" s="17" t="s">
        <v>870</v>
      </c>
      <c r="AG43" s="17" t="s">
        <v>870</v>
      </c>
      <c r="AH43" s="17" t="s">
        <v>870</v>
      </c>
      <c r="AI43" s="17" t="s">
        <v>870</v>
      </c>
      <c r="AJ43" s="17" t="s">
        <v>870</v>
      </c>
      <c r="AK43" s="17" t="s">
        <v>870</v>
      </c>
      <c r="AL43" s="17" t="s">
        <v>870</v>
      </c>
      <c r="AM43" s="17" t="s">
        <v>870</v>
      </c>
      <c r="AN43" s="17" t="s">
        <v>870</v>
      </c>
      <c r="AO43" s="17" t="s">
        <v>870</v>
      </c>
      <c r="AP43" s="61"/>
      <c r="AQ43" s="63"/>
      <c r="AR43" s="63"/>
      <c r="AS43" s="17" t="s">
        <v>870</v>
      </c>
      <c r="AT43" s="17" t="s">
        <v>870</v>
      </c>
      <c r="AU43" s="17" t="s">
        <v>870</v>
      </c>
    </row>
    <row r="44" spans="1:47" x14ac:dyDescent="0.25">
      <c r="A44" t="s">
        <v>1705</v>
      </c>
      <c r="B44" s="17" t="s">
        <v>870</v>
      </c>
      <c r="C44" s="17" t="s">
        <v>870</v>
      </c>
      <c r="D44" s="17" t="s">
        <v>870</v>
      </c>
      <c r="E44" s="17" t="s">
        <v>870</v>
      </c>
      <c r="F44" s="17" t="s">
        <v>870</v>
      </c>
      <c r="G44" s="17" t="s">
        <v>870</v>
      </c>
      <c r="H44" s="17" t="s">
        <v>870</v>
      </c>
      <c r="I44" s="17" t="s">
        <v>870</v>
      </c>
      <c r="J44" s="17" t="s">
        <v>870</v>
      </c>
      <c r="K44" s="17" t="s">
        <v>870</v>
      </c>
      <c r="L44" s="17" t="s">
        <v>870</v>
      </c>
      <c r="M44" s="17" t="s">
        <v>870</v>
      </c>
      <c r="N44" s="17" t="s">
        <v>870</v>
      </c>
      <c r="O44" s="17" t="s">
        <v>870</v>
      </c>
      <c r="P44" s="17" t="s">
        <v>870</v>
      </c>
      <c r="Q44" s="17" t="s">
        <v>870</v>
      </c>
      <c r="R44" s="17" t="s">
        <v>870</v>
      </c>
      <c r="S44" s="17" t="s">
        <v>870</v>
      </c>
      <c r="T44" s="17" t="s">
        <v>870</v>
      </c>
      <c r="U44" s="17" t="s">
        <v>870</v>
      </c>
      <c r="V44" s="17" t="s">
        <v>870</v>
      </c>
      <c r="W44" s="17" t="s">
        <v>870</v>
      </c>
      <c r="X44" s="17" t="s">
        <v>870</v>
      </c>
      <c r="Y44" s="17" t="s">
        <v>870</v>
      </c>
      <c r="Z44" s="17" t="s">
        <v>870</v>
      </c>
      <c r="AA44" s="17" t="s">
        <v>870</v>
      </c>
      <c r="AB44" s="17" t="s">
        <v>870</v>
      </c>
      <c r="AC44" s="17" t="s">
        <v>870</v>
      </c>
      <c r="AD44" s="17" t="s">
        <v>870</v>
      </c>
      <c r="AE44" s="17" t="s">
        <v>870</v>
      </c>
      <c r="AF44" s="17" t="s">
        <v>870</v>
      </c>
      <c r="AG44" s="17" t="s">
        <v>870</v>
      </c>
      <c r="AH44" s="17" t="s">
        <v>870</v>
      </c>
      <c r="AI44" s="17" t="s">
        <v>870</v>
      </c>
      <c r="AJ44" s="17" t="s">
        <v>870</v>
      </c>
      <c r="AK44" s="17" t="s">
        <v>870</v>
      </c>
      <c r="AL44" s="17" t="s">
        <v>870</v>
      </c>
      <c r="AM44" s="17" t="s">
        <v>870</v>
      </c>
      <c r="AN44" s="17" t="s">
        <v>870</v>
      </c>
      <c r="AO44" s="17" t="s">
        <v>870</v>
      </c>
      <c r="AP44" s="63"/>
      <c r="AQ44" s="63"/>
      <c r="AR44" s="61" t="s">
        <v>2</v>
      </c>
      <c r="AS44" s="63"/>
      <c r="AT44" s="63"/>
      <c r="AU44" s="61" t="s">
        <v>2</v>
      </c>
    </row>
    <row r="45" spans="1:47" x14ac:dyDescent="0.25">
      <c r="A45" t="s">
        <v>1722</v>
      </c>
      <c r="B45" s="17" t="s">
        <v>870</v>
      </c>
      <c r="C45" s="17" t="s">
        <v>870</v>
      </c>
      <c r="D45" s="17" t="s">
        <v>870</v>
      </c>
      <c r="E45" s="17" t="s">
        <v>870</v>
      </c>
      <c r="F45" s="17" t="s">
        <v>870</v>
      </c>
      <c r="G45" s="17" t="s">
        <v>870</v>
      </c>
      <c r="H45" s="17" t="s">
        <v>870</v>
      </c>
      <c r="I45" s="17" t="s">
        <v>870</v>
      </c>
      <c r="J45" s="17" t="s">
        <v>870</v>
      </c>
      <c r="K45" s="17" t="s">
        <v>870</v>
      </c>
      <c r="L45" s="17" t="s">
        <v>870</v>
      </c>
      <c r="M45" s="17" t="s">
        <v>870</v>
      </c>
      <c r="N45" s="17" t="s">
        <v>870</v>
      </c>
      <c r="O45" s="17" t="s">
        <v>870</v>
      </c>
      <c r="P45" s="17" t="s">
        <v>870</v>
      </c>
      <c r="Q45" s="17" t="s">
        <v>870</v>
      </c>
      <c r="R45" s="17" t="s">
        <v>870</v>
      </c>
      <c r="S45" s="17" t="s">
        <v>870</v>
      </c>
      <c r="T45" s="17" t="s">
        <v>870</v>
      </c>
      <c r="U45" s="17" t="s">
        <v>870</v>
      </c>
      <c r="V45" s="17" t="s">
        <v>870</v>
      </c>
      <c r="W45" s="17" t="s">
        <v>870</v>
      </c>
      <c r="X45" s="17" t="s">
        <v>870</v>
      </c>
      <c r="Y45" s="17" t="s">
        <v>870</v>
      </c>
      <c r="Z45" s="17" t="s">
        <v>870</v>
      </c>
      <c r="AA45" s="17" t="s">
        <v>870</v>
      </c>
      <c r="AB45" s="17" t="s">
        <v>870</v>
      </c>
      <c r="AC45" s="17" t="s">
        <v>870</v>
      </c>
      <c r="AD45" s="17" t="s">
        <v>870</v>
      </c>
      <c r="AE45" s="17" t="s">
        <v>870</v>
      </c>
      <c r="AF45" s="17" t="s">
        <v>870</v>
      </c>
      <c r="AG45" s="17" t="s">
        <v>870</v>
      </c>
      <c r="AH45" s="17" t="s">
        <v>870</v>
      </c>
      <c r="AI45" s="17" t="s">
        <v>870</v>
      </c>
      <c r="AJ45" s="17" t="s">
        <v>870</v>
      </c>
      <c r="AK45" s="17" t="s">
        <v>870</v>
      </c>
      <c r="AL45" s="17" t="s">
        <v>870</v>
      </c>
      <c r="AM45" s="17" t="s">
        <v>870</v>
      </c>
      <c r="AN45" s="17" t="s">
        <v>870</v>
      </c>
      <c r="AO45" s="17" t="s">
        <v>870</v>
      </c>
      <c r="AP45" s="17" t="s">
        <v>870</v>
      </c>
      <c r="AQ45" s="17" t="s">
        <v>870</v>
      </c>
      <c r="AR45" s="17" t="s">
        <v>870</v>
      </c>
      <c r="AS45" s="17" t="s">
        <v>870</v>
      </c>
      <c r="AT45" s="63"/>
      <c r="AU45" s="61"/>
    </row>
    <row r="46" spans="1:47" x14ac:dyDescent="0.25"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</row>
    <row r="48" spans="1:47" x14ac:dyDescent="0.25">
      <c r="B48" s="120" t="s">
        <v>928</v>
      </c>
      <c r="C48" s="120"/>
      <c r="D48" s="120"/>
    </row>
    <row r="49" spans="1:4" x14ac:dyDescent="0.25">
      <c r="B49" s="18" t="s">
        <v>2</v>
      </c>
      <c r="C49" s="18" t="s">
        <v>4</v>
      </c>
      <c r="D49" s="18" t="s">
        <v>1</v>
      </c>
    </row>
    <row r="50" spans="1:4" x14ac:dyDescent="0.25">
      <c r="A50" t="s">
        <v>324</v>
      </c>
      <c r="B50" s="17">
        <v>17</v>
      </c>
      <c r="C50" s="17">
        <v>17</v>
      </c>
      <c r="D50" s="17">
        <v>6</v>
      </c>
    </row>
    <row r="51" spans="1:4" x14ac:dyDescent="0.25">
      <c r="A51" t="s">
        <v>8</v>
      </c>
      <c r="B51" s="17">
        <v>6</v>
      </c>
      <c r="C51" s="17">
        <v>6</v>
      </c>
      <c r="D51" s="17">
        <v>2</v>
      </c>
    </row>
    <row r="52" spans="1:4" x14ac:dyDescent="0.25">
      <c r="A52" t="s">
        <v>36</v>
      </c>
      <c r="B52" s="17">
        <v>2</v>
      </c>
      <c r="C52" s="17">
        <v>4</v>
      </c>
      <c r="D52" s="17">
        <v>10</v>
      </c>
    </row>
    <row r="53" spans="1:4" x14ac:dyDescent="0.25">
      <c r="A53" t="s">
        <v>13</v>
      </c>
      <c r="B53" s="17">
        <v>5</v>
      </c>
      <c r="C53" s="17">
        <v>5</v>
      </c>
      <c r="D53" s="17">
        <v>2</v>
      </c>
    </row>
    <row r="54" spans="1:4" x14ac:dyDescent="0.25">
      <c r="A54" t="s">
        <v>225</v>
      </c>
      <c r="B54" s="17">
        <v>1</v>
      </c>
      <c r="C54" s="17">
        <v>1</v>
      </c>
      <c r="D54" s="17">
        <v>2</v>
      </c>
    </row>
    <row r="55" spans="1:4" x14ac:dyDescent="0.25">
      <c r="A55" t="s">
        <v>7</v>
      </c>
      <c r="B55" s="17">
        <v>1</v>
      </c>
      <c r="C55" s="17">
        <v>5</v>
      </c>
      <c r="D55" s="17">
        <v>2</v>
      </c>
    </row>
    <row r="56" spans="1:4" x14ac:dyDescent="0.25">
      <c r="A56" t="s">
        <v>358</v>
      </c>
      <c r="B56" s="17">
        <v>1</v>
      </c>
      <c r="C56" s="17">
        <v>1</v>
      </c>
      <c r="D56" s="17">
        <v>1</v>
      </c>
    </row>
    <row r="57" spans="1:4" x14ac:dyDescent="0.25">
      <c r="A57" t="s">
        <v>17</v>
      </c>
      <c r="B57" s="17">
        <v>1</v>
      </c>
      <c r="C57" s="17">
        <v>2</v>
      </c>
      <c r="D57" s="17">
        <v>4</v>
      </c>
    </row>
    <row r="58" spans="1:4" x14ac:dyDescent="0.25">
      <c r="A58" t="s">
        <v>16</v>
      </c>
      <c r="B58" s="17">
        <v>1</v>
      </c>
      <c r="C58" s="17">
        <v>1</v>
      </c>
      <c r="D58" s="17">
        <v>1</v>
      </c>
    </row>
    <row r="59" spans="1:4" x14ac:dyDescent="0.25">
      <c r="A59" t="s">
        <v>446</v>
      </c>
      <c r="B59" s="17">
        <v>2</v>
      </c>
      <c r="C59" s="17">
        <v>4</v>
      </c>
      <c r="D59" s="17">
        <v>22</v>
      </c>
    </row>
    <row r="60" spans="1:4" x14ac:dyDescent="0.25">
      <c r="A60" t="s">
        <v>434</v>
      </c>
      <c r="B60" s="17">
        <v>3</v>
      </c>
      <c r="C60" s="17">
        <v>7</v>
      </c>
      <c r="D60" s="17">
        <v>2</v>
      </c>
    </row>
    <row r="61" spans="1:4" x14ac:dyDescent="0.25">
      <c r="A61" t="s">
        <v>255</v>
      </c>
      <c r="B61" s="17">
        <v>2</v>
      </c>
      <c r="C61" s="17">
        <v>4</v>
      </c>
      <c r="D61" s="17">
        <v>22</v>
      </c>
    </row>
    <row r="62" spans="1:4" x14ac:dyDescent="0.25">
      <c r="A62" t="s">
        <v>35</v>
      </c>
      <c r="B62" s="17">
        <v>1</v>
      </c>
      <c r="C62" s="17">
        <v>1</v>
      </c>
      <c r="D62" s="17">
        <v>22</v>
      </c>
    </row>
    <row r="63" spans="1:4" x14ac:dyDescent="0.25">
      <c r="A63" t="s">
        <v>751</v>
      </c>
      <c r="B63" s="17" t="s">
        <v>929</v>
      </c>
      <c r="C63" s="17">
        <v>1</v>
      </c>
      <c r="D63" s="17">
        <v>6</v>
      </c>
    </row>
    <row r="64" spans="1:4" x14ac:dyDescent="0.25">
      <c r="A64" t="s">
        <v>227</v>
      </c>
      <c r="B64" s="17">
        <v>3</v>
      </c>
      <c r="C64" s="17">
        <v>4</v>
      </c>
      <c r="D64" s="17">
        <v>24</v>
      </c>
    </row>
    <row r="65" spans="1:4" x14ac:dyDescent="0.25">
      <c r="A65" t="s">
        <v>232</v>
      </c>
      <c r="B65" s="17">
        <v>2</v>
      </c>
      <c r="C65" s="17">
        <v>2</v>
      </c>
      <c r="D65" s="17">
        <v>4</v>
      </c>
    </row>
    <row r="66" spans="1:4" x14ac:dyDescent="0.25">
      <c r="A66" t="s">
        <v>435</v>
      </c>
      <c r="B66" s="17" t="s">
        <v>929</v>
      </c>
      <c r="C66" s="17">
        <v>0</v>
      </c>
      <c r="D66" s="17">
        <v>2</v>
      </c>
    </row>
    <row r="67" spans="1:4" x14ac:dyDescent="0.25">
      <c r="A67" t="s">
        <v>226</v>
      </c>
      <c r="B67" s="17">
        <v>2</v>
      </c>
      <c r="C67" s="17">
        <v>4</v>
      </c>
      <c r="D67" s="17">
        <v>5</v>
      </c>
    </row>
    <row r="68" spans="1:4" x14ac:dyDescent="0.25">
      <c r="A68" t="s">
        <v>22</v>
      </c>
      <c r="B68" s="17">
        <v>2</v>
      </c>
      <c r="C68" s="17">
        <v>2</v>
      </c>
      <c r="D68" s="17">
        <v>2</v>
      </c>
    </row>
    <row r="69" spans="1:4" x14ac:dyDescent="0.25">
      <c r="A69" t="s">
        <v>9</v>
      </c>
      <c r="B69" s="17">
        <v>2</v>
      </c>
      <c r="C69" s="17">
        <v>2</v>
      </c>
      <c r="D69" s="17">
        <v>2</v>
      </c>
    </row>
    <row r="70" spans="1:4" x14ac:dyDescent="0.25">
      <c r="A70" t="s">
        <v>436</v>
      </c>
      <c r="B70" s="17">
        <v>1</v>
      </c>
      <c r="C70" s="17">
        <v>1</v>
      </c>
      <c r="D70" s="17">
        <v>18</v>
      </c>
    </row>
    <row r="71" spans="1:4" x14ac:dyDescent="0.25">
      <c r="A71" t="s">
        <v>34</v>
      </c>
      <c r="B71" s="17">
        <v>1</v>
      </c>
      <c r="C71" s="17">
        <v>1</v>
      </c>
      <c r="D71" s="17">
        <v>3</v>
      </c>
    </row>
    <row r="72" spans="1:4" x14ac:dyDescent="0.25">
      <c r="A72" t="s">
        <v>320</v>
      </c>
      <c r="B72" s="17">
        <v>2</v>
      </c>
      <c r="C72" s="17">
        <v>2</v>
      </c>
      <c r="D72" s="17">
        <v>6</v>
      </c>
    </row>
    <row r="73" spans="1:4" x14ac:dyDescent="0.25">
      <c r="A73" t="s">
        <v>14</v>
      </c>
      <c r="B73" s="17">
        <v>1</v>
      </c>
      <c r="C73" s="17">
        <v>2</v>
      </c>
      <c r="D73" s="17">
        <v>2</v>
      </c>
    </row>
    <row r="74" spans="1:4" x14ac:dyDescent="0.25">
      <c r="A74" t="s">
        <v>438</v>
      </c>
      <c r="B74" s="17">
        <v>1</v>
      </c>
      <c r="C74" s="17">
        <v>3</v>
      </c>
      <c r="D74" s="17">
        <v>2</v>
      </c>
    </row>
    <row r="75" spans="1:4" x14ac:dyDescent="0.25">
      <c r="A75" t="s">
        <v>10</v>
      </c>
      <c r="B75" s="17">
        <v>0</v>
      </c>
      <c r="C75" s="17">
        <v>1</v>
      </c>
      <c r="D75" s="17">
        <v>2</v>
      </c>
    </row>
    <row r="76" spans="1:4" x14ac:dyDescent="0.25">
      <c r="A76" t="s">
        <v>39</v>
      </c>
      <c r="B76" s="17">
        <v>0</v>
      </c>
      <c r="C76" s="17">
        <v>0</v>
      </c>
      <c r="D76" s="17">
        <v>1</v>
      </c>
    </row>
    <row r="77" spans="1:4" x14ac:dyDescent="0.25">
      <c r="A77" t="s">
        <v>1182</v>
      </c>
      <c r="B77" s="17">
        <v>1</v>
      </c>
      <c r="C77" s="17">
        <v>6</v>
      </c>
      <c r="D77" s="17">
        <v>13</v>
      </c>
    </row>
    <row r="78" spans="1:4" x14ac:dyDescent="0.25">
      <c r="A78" t="s">
        <v>1178</v>
      </c>
      <c r="B78" s="17">
        <v>6</v>
      </c>
      <c r="C78" s="17">
        <v>6</v>
      </c>
      <c r="D78" s="17">
        <v>5</v>
      </c>
    </row>
    <row r="79" spans="1:4" x14ac:dyDescent="0.25">
      <c r="A79" t="s">
        <v>1181</v>
      </c>
      <c r="B79" s="17" t="s">
        <v>929</v>
      </c>
      <c r="C79" s="17">
        <v>0</v>
      </c>
      <c r="D79" s="17">
        <v>9</v>
      </c>
    </row>
    <row r="80" spans="1:4" x14ac:dyDescent="0.25">
      <c r="A80" t="s">
        <v>1191</v>
      </c>
      <c r="B80" s="17">
        <v>2</v>
      </c>
      <c r="C80" s="17">
        <v>2</v>
      </c>
      <c r="D80" s="17">
        <v>9</v>
      </c>
    </row>
    <row r="81" spans="1:4" x14ac:dyDescent="0.25">
      <c r="A81" t="s">
        <v>1188</v>
      </c>
      <c r="B81" s="17">
        <v>4</v>
      </c>
      <c r="C81" s="17">
        <v>5</v>
      </c>
      <c r="D81" s="17">
        <v>11</v>
      </c>
    </row>
    <row r="82" spans="1:4" x14ac:dyDescent="0.25">
      <c r="A82" t="s">
        <v>1192</v>
      </c>
      <c r="B82" s="17">
        <v>1</v>
      </c>
      <c r="C82" s="17">
        <v>2</v>
      </c>
      <c r="D82" s="17">
        <v>10</v>
      </c>
    </row>
    <row r="83" spans="1:4" x14ac:dyDescent="0.25">
      <c r="A83" t="s">
        <v>1193</v>
      </c>
      <c r="B83" s="17">
        <v>1</v>
      </c>
      <c r="C83" s="17">
        <v>1</v>
      </c>
      <c r="D83" s="17">
        <v>6</v>
      </c>
    </row>
    <row r="84" spans="1:4" x14ac:dyDescent="0.25">
      <c r="A84" t="s">
        <v>75</v>
      </c>
      <c r="B84" s="17" t="s">
        <v>929</v>
      </c>
      <c r="C84" s="17">
        <v>1</v>
      </c>
      <c r="D84" s="17">
        <v>2</v>
      </c>
    </row>
    <row r="85" spans="1:4" x14ac:dyDescent="0.25">
      <c r="A85" t="s">
        <v>1518</v>
      </c>
      <c r="B85" s="17">
        <v>1</v>
      </c>
      <c r="C85" s="17">
        <v>3</v>
      </c>
      <c r="D85" s="17">
        <v>4</v>
      </c>
    </row>
    <row r="86" spans="1:4" x14ac:dyDescent="0.25">
      <c r="A86" t="s">
        <v>1679</v>
      </c>
      <c r="B86" s="17">
        <v>0</v>
      </c>
      <c r="C86" s="17">
        <v>0</v>
      </c>
      <c r="D86" s="17">
        <v>8</v>
      </c>
    </row>
    <row r="87" spans="1:4" x14ac:dyDescent="0.25">
      <c r="A87" t="s">
        <v>1678</v>
      </c>
      <c r="B87" s="17">
        <v>0</v>
      </c>
      <c r="C87" s="17">
        <v>1</v>
      </c>
      <c r="D87" s="17">
        <v>6</v>
      </c>
    </row>
    <row r="88" spans="1:4" x14ac:dyDescent="0.25">
      <c r="A88" t="s">
        <v>1680</v>
      </c>
      <c r="B88" s="17">
        <v>0</v>
      </c>
      <c r="C88" s="17">
        <v>0</v>
      </c>
      <c r="D88" s="17">
        <v>4</v>
      </c>
    </row>
    <row r="89" spans="1:4" x14ac:dyDescent="0.25">
      <c r="A89" t="s">
        <v>1369</v>
      </c>
      <c r="B89" s="17" t="s">
        <v>929</v>
      </c>
      <c r="C89" s="17">
        <v>0</v>
      </c>
      <c r="D89" s="17">
        <v>6</v>
      </c>
    </row>
    <row r="90" spans="1:4" x14ac:dyDescent="0.25">
      <c r="A90" t="s">
        <v>1704</v>
      </c>
      <c r="B90" s="17">
        <v>0</v>
      </c>
      <c r="C90" s="17">
        <v>1</v>
      </c>
      <c r="D90" s="17">
        <v>3</v>
      </c>
    </row>
    <row r="91" spans="1:4" x14ac:dyDescent="0.25">
      <c r="A91" t="s">
        <v>1705</v>
      </c>
      <c r="B91" s="17">
        <v>1</v>
      </c>
      <c r="C91" s="17">
        <v>1</v>
      </c>
      <c r="D91" s="17">
        <v>6</v>
      </c>
    </row>
    <row r="92" spans="1:4" x14ac:dyDescent="0.25">
      <c r="A92" t="s">
        <v>1722</v>
      </c>
      <c r="B92" s="17">
        <v>0</v>
      </c>
      <c r="C92" s="17">
        <v>1</v>
      </c>
      <c r="D92" s="17">
        <v>2</v>
      </c>
    </row>
  </sheetData>
  <mergeCells count="4">
    <mergeCell ref="B1:U1"/>
    <mergeCell ref="B48:D48"/>
    <mergeCell ref="V1:AM1"/>
    <mergeCell ref="AN1:BK1"/>
  </mergeCells>
  <phoneticPr fontId="10" type="noConversion"/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28943-90F3-42EA-8D55-7374FBD25D94}">
  <dimension ref="B3:R84"/>
  <sheetViews>
    <sheetView zoomScale="80" zoomScaleNormal="80" workbookViewId="0">
      <selection activeCell="AB62" sqref="AB62"/>
    </sheetView>
  </sheetViews>
  <sheetFormatPr defaultRowHeight="15" x14ac:dyDescent="0.25"/>
  <cols>
    <col min="2" max="2" width="3" bestFit="1" customWidth="1"/>
    <col min="3" max="3" width="4.7109375" customWidth="1"/>
    <col min="6" max="6" width="11" customWidth="1"/>
    <col min="7" max="7" width="9.5703125" customWidth="1"/>
    <col min="11" max="11" width="3" bestFit="1" customWidth="1"/>
    <col min="12" max="12" width="5" customWidth="1"/>
    <col min="15" max="15" width="13.5703125" customWidth="1"/>
  </cols>
  <sheetData>
    <row r="3" spans="2:18" x14ac:dyDescent="0.25">
      <c r="D3" s="153" t="s">
        <v>616</v>
      </c>
      <c r="E3" s="154"/>
      <c r="M3" s="101" t="s">
        <v>617</v>
      </c>
      <c r="N3" s="101"/>
    </row>
    <row r="4" spans="2:18" x14ac:dyDescent="0.25">
      <c r="D4" s="32" t="s">
        <v>101</v>
      </c>
      <c r="E4" s="120" t="s">
        <v>165</v>
      </c>
      <c r="F4" s="120"/>
      <c r="G4" s="120"/>
      <c r="H4" s="101" t="s">
        <v>267</v>
      </c>
      <c r="I4" s="101"/>
      <c r="M4" s="32" t="s">
        <v>101</v>
      </c>
      <c r="N4" s="120" t="s">
        <v>165</v>
      </c>
      <c r="O4" s="120"/>
      <c r="P4" s="120"/>
      <c r="Q4" s="101" t="s">
        <v>267</v>
      </c>
      <c r="R4" s="101"/>
    </row>
    <row r="5" spans="2:18" x14ac:dyDescent="0.25">
      <c r="B5" s="9">
        <v>1</v>
      </c>
      <c r="D5" s="53" t="s">
        <v>581</v>
      </c>
      <c r="E5" s="111" t="s">
        <v>582</v>
      </c>
      <c r="F5" s="111"/>
      <c r="G5" s="111"/>
      <c r="H5" s="118">
        <v>43870</v>
      </c>
      <c r="I5" s="103"/>
      <c r="K5" s="9">
        <v>1</v>
      </c>
      <c r="M5" s="53" t="s">
        <v>1482</v>
      </c>
      <c r="N5" s="103" t="s">
        <v>1484</v>
      </c>
      <c r="O5" s="103"/>
      <c r="P5" s="103"/>
      <c r="Q5" s="118" t="s">
        <v>1483</v>
      </c>
      <c r="R5" s="103"/>
    </row>
    <row r="6" spans="2:18" x14ac:dyDescent="0.25">
      <c r="B6" s="9">
        <v>2</v>
      </c>
      <c r="D6" s="53" t="s">
        <v>576</v>
      </c>
      <c r="E6" s="103" t="s">
        <v>138</v>
      </c>
      <c r="F6" s="103"/>
      <c r="G6" s="103"/>
      <c r="H6" s="118">
        <v>42714</v>
      </c>
      <c r="I6" s="103"/>
      <c r="K6" s="9">
        <v>2</v>
      </c>
      <c r="M6" s="53" t="s">
        <v>567</v>
      </c>
      <c r="N6" s="103" t="s">
        <v>136</v>
      </c>
      <c r="O6" s="103"/>
      <c r="P6" s="103"/>
      <c r="Q6" s="118" t="s">
        <v>1509</v>
      </c>
      <c r="R6" s="103"/>
    </row>
    <row r="7" spans="2:18" x14ac:dyDescent="0.25">
      <c r="B7" s="9">
        <v>3</v>
      </c>
      <c r="D7" s="53" t="s">
        <v>1229</v>
      </c>
      <c r="E7" s="103" t="s">
        <v>582</v>
      </c>
      <c r="F7" s="103"/>
      <c r="G7" s="103"/>
      <c r="H7" s="118" t="s">
        <v>1230</v>
      </c>
      <c r="I7" s="103"/>
      <c r="K7" s="9">
        <v>3</v>
      </c>
      <c r="M7" s="53" t="s">
        <v>1384</v>
      </c>
      <c r="N7" s="103" t="s">
        <v>268</v>
      </c>
      <c r="O7" s="103"/>
      <c r="P7" s="103"/>
      <c r="Q7" s="118" t="s">
        <v>1508</v>
      </c>
      <c r="R7" s="103"/>
    </row>
    <row r="8" spans="2:18" x14ac:dyDescent="0.25">
      <c r="B8" s="9">
        <v>4</v>
      </c>
      <c r="D8" s="53" t="s">
        <v>572</v>
      </c>
      <c r="E8" s="103" t="s">
        <v>150</v>
      </c>
      <c r="F8" s="103"/>
      <c r="G8" s="103"/>
      <c r="H8" s="118">
        <v>41713</v>
      </c>
      <c r="I8" s="103"/>
      <c r="K8" s="9">
        <v>4</v>
      </c>
      <c r="M8" s="53" t="s">
        <v>577</v>
      </c>
      <c r="N8" s="103" t="s">
        <v>578</v>
      </c>
      <c r="O8" s="103"/>
      <c r="P8" s="103"/>
      <c r="Q8" s="118">
        <v>42750</v>
      </c>
      <c r="R8" s="103"/>
    </row>
    <row r="9" spans="2:18" x14ac:dyDescent="0.25">
      <c r="B9" s="9">
        <v>5</v>
      </c>
      <c r="D9" s="53" t="s">
        <v>572</v>
      </c>
      <c r="E9" s="103" t="s">
        <v>129</v>
      </c>
      <c r="F9" s="103"/>
      <c r="G9" s="103"/>
      <c r="H9" s="118">
        <v>41349</v>
      </c>
      <c r="I9" s="103"/>
      <c r="K9" s="9">
        <v>5</v>
      </c>
      <c r="M9" s="53" t="s">
        <v>568</v>
      </c>
      <c r="N9" s="103" t="s">
        <v>569</v>
      </c>
      <c r="O9" s="103"/>
      <c r="P9" s="103"/>
      <c r="Q9" s="118">
        <v>40936</v>
      </c>
      <c r="R9" s="103"/>
    </row>
    <row r="10" spans="2:18" x14ac:dyDescent="0.25">
      <c r="B10" s="9">
        <v>6</v>
      </c>
      <c r="D10" s="53" t="s">
        <v>575</v>
      </c>
      <c r="E10" s="103" t="s">
        <v>235</v>
      </c>
      <c r="F10" s="103"/>
      <c r="G10" s="103"/>
      <c r="H10" s="118">
        <v>42701</v>
      </c>
      <c r="I10" s="103"/>
      <c r="K10" s="9">
        <v>6</v>
      </c>
      <c r="M10" s="53" t="s">
        <v>568</v>
      </c>
      <c r="N10" s="103" t="s">
        <v>275</v>
      </c>
      <c r="O10" s="103"/>
      <c r="P10" s="103"/>
      <c r="Q10" s="118">
        <v>43226</v>
      </c>
      <c r="R10" s="103"/>
    </row>
    <row r="11" spans="2:18" x14ac:dyDescent="0.25">
      <c r="B11" s="9">
        <v>7</v>
      </c>
      <c r="D11" s="53" t="s">
        <v>575</v>
      </c>
      <c r="E11" s="103" t="s">
        <v>302</v>
      </c>
      <c r="F11" s="103"/>
      <c r="G11" s="103"/>
      <c r="H11" s="118">
        <v>43526</v>
      </c>
      <c r="I11" s="103"/>
      <c r="K11" s="9">
        <v>7</v>
      </c>
      <c r="M11" s="53" t="s">
        <v>568</v>
      </c>
      <c r="N11" s="103" t="s">
        <v>1172</v>
      </c>
      <c r="O11" s="103"/>
      <c r="P11" s="103"/>
      <c r="Q11" s="118" t="s">
        <v>1373</v>
      </c>
      <c r="R11" s="103"/>
    </row>
    <row r="12" spans="2:18" x14ac:dyDescent="0.25">
      <c r="B12" s="9">
        <v>8</v>
      </c>
      <c r="D12" s="53" t="s">
        <v>575</v>
      </c>
      <c r="E12" s="103" t="s">
        <v>1528</v>
      </c>
      <c r="F12" s="103"/>
      <c r="G12" s="103"/>
      <c r="H12" s="118" t="s">
        <v>1529</v>
      </c>
      <c r="I12" s="103"/>
      <c r="K12" s="9">
        <v>8</v>
      </c>
      <c r="M12" s="53" t="s">
        <v>1283</v>
      </c>
      <c r="N12" s="108" t="s">
        <v>479</v>
      </c>
      <c r="O12" s="108"/>
      <c r="P12" s="108"/>
      <c r="Q12" s="121">
        <v>45017</v>
      </c>
      <c r="R12" s="108"/>
    </row>
    <row r="13" spans="2:18" x14ac:dyDescent="0.25">
      <c r="B13" s="9">
        <v>9</v>
      </c>
      <c r="D13" s="53" t="s">
        <v>583</v>
      </c>
      <c r="E13" s="103" t="s">
        <v>404</v>
      </c>
      <c r="F13" s="103"/>
      <c r="G13" s="103"/>
      <c r="H13" s="118">
        <v>44478</v>
      </c>
      <c r="I13" s="103"/>
      <c r="K13" s="9">
        <v>9</v>
      </c>
      <c r="M13" s="53" t="s">
        <v>432</v>
      </c>
      <c r="N13" s="103" t="s">
        <v>131</v>
      </c>
      <c r="O13" s="103"/>
      <c r="P13" s="103"/>
      <c r="Q13" s="118">
        <v>40888</v>
      </c>
      <c r="R13" s="103"/>
    </row>
    <row r="14" spans="2:18" x14ac:dyDescent="0.25">
      <c r="B14" s="9">
        <v>10</v>
      </c>
      <c r="D14" s="53" t="s">
        <v>584</v>
      </c>
      <c r="E14" s="103" t="s">
        <v>138</v>
      </c>
      <c r="F14" s="103"/>
      <c r="G14" s="103"/>
      <c r="H14" s="118">
        <v>44520</v>
      </c>
      <c r="I14" s="103"/>
      <c r="K14" s="9">
        <v>10</v>
      </c>
      <c r="M14" s="53" t="s">
        <v>1566</v>
      </c>
      <c r="N14" s="103" t="s">
        <v>1484</v>
      </c>
      <c r="O14" s="103"/>
      <c r="P14" s="103"/>
      <c r="Q14" s="118" t="s">
        <v>1567</v>
      </c>
      <c r="R14" s="103"/>
    </row>
    <row r="15" spans="2:18" x14ac:dyDescent="0.25">
      <c r="D15" s="53" t="s">
        <v>580</v>
      </c>
      <c r="E15" s="103" t="s">
        <v>302</v>
      </c>
      <c r="F15" s="103"/>
      <c r="G15" s="103"/>
      <c r="H15" s="118">
        <v>43751</v>
      </c>
      <c r="I15" s="103"/>
      <c r="M15" s="53"/>
      <c r="N15" s="41"/>
      <c r="O15" s="41"/>
      <c r="P15" s="41"/>
      <c r="Q15" s="49"/>
      <c r="R15" s="41"/>
    </row>
    <row r="16" spans="2:18" x14ac:dyDescent="0.25">
      <c r="D16" s="53" t="s">
        <v>580</v>
      </c>
      <c r="E16" s="108" t="s">
        <v>482</v>
      </c>
      <c r="F16" s="108"/>
      <c r="G16" s="108"/>
      <c r="H16" s="121">
        <v>44843</v>
      </c>
      <c r="I16" s="108"/>
      <c r="M16" s="53"/>
      <c r="N16" s="41"/>
      <c r="O16" s="41"/>
      <c r="P16" s="41"/>
      <c r="Q16" s="49"/>
      <c r="R16" s="41"/>
    </row>
    <row r="17" spans="2:18" x14ac:dyDescent="0.25">
      <c r="D17" s="53" t="s">
        <v>573</v>
      </c>
      <c r="E17" s="103" t="s">
        <v>146</v>
      </c>
      <c r="F17" s="103"/>
      <c r="G17" s="103"/>
      <c r="H17" s="118">
        <v>41609</v>
      </c>
      <c r="I17" s="103"/>
      <c r="M17" s="150" t="s">
        <v>698</v>
      </c>
      <c r="N17" s="150"/>
      <c r="O17" s="151"/>
      <c r="R17" s="41"/>
    </row>
    <row r="18" spans="2:18" x14ac:dyDescent="0.25">
      <c r="D18" s="53" t="s">
        <v>571</v>
      </c>
      <c r="E18" s="103" t="s">
        <v>138</v>
      </c>
      <c r="F18" s="103"/>
      <c r="G18" s="103"/>
      <c r="H18" s="118">
        <v>41279</v>
      </c>
      <c r="I18" s="103"/>
      <c r="M18" s="152" t="s">
        <v>518</v>
      </c>
      <c r="N18" s="152"/>
      <c r="O18" s="101" t="s">
        <v>519</v>
      </c>
      <c r="P18" s="101"/>
      <c r="Q18" s="101"/>
      <c r="R18" s="41"/>
    </row>
    <row r="19" spans="2:18" x14ac:dyDescent="0.25">
      <c r="D19" s="53" t="s">
        <v>571</v>
      </c>
      <c r="E19" s="103" t="s">
        <v>279</v>
      </c>
      <c r="F19" s="103"/>
      <c r="G19" s="103"/>
      <c r="H19" s="118">
        <v>44681</v>
      </c>
      <c r="I19" s="103"/>
      <c r="K19" s="9">
        <v>1</v>
      </c>
      <c r="M19" s="119">
        <v>10</v>
      </c>
      <c r="N19" s="119"/>
      <c r="O19" s="118" t="s">
        <v>1496</v>
      </c>
      <c r="P19" s="103"/>
      <c r="Q19" s="103"/>
    </row>
    <row r="20" spans="2:18" x14ac:dyDescent="0.25">
      <c r="D20" s="53" t="s">
        <v>570</v>
      </c>
      <c r="E20" s="103" t="s">
        <v>154</v>
      </c>
      <c r="F20" s="103"/>
      <c r="G20" s="103"/>
      <c r="H20" s="118">
        <v>41217</v>
      </c>
      <c r="I20" s="103"/>
      <c r="K20" s="9">
        <v>2</v>
      </c>
      <c r="M20" s="119">
        <v>7</v>
      </c>
      <c r="N20" s="119"/>
      <c r="O20" s="103" t="s">
        <v>701</v>
      </c>
      <c r="P20" s="103"/>
      <c r="Q20" s="103"/>
    </row>
    <row r="21" spans="2:18" x14ac:dyDescent="0.25">
      <c r="K21" s="9">
        <v>3</v>
      </c>
      <c r="M21" s="119">
        <v>5</v>
      </c>
      <c r="N21" s="119"/>
      <c r="O21" s="103" t="s">
        <v>705</v>
      </c>
      <c r="P21" s="103"/>
      <c r="Q21" s="103"/>
    </row>
    <row r="22" spans="2:18" x14ac:dyDescent="0.25">
      <c r="K22" s="9">
        <v>4</v>
      </c>
      <c r="M22" s="119">
        <v>4</v>
      </c>
      <c r="N22" s="119"/>
      <c r="O22" s="103" t="s">
        <v>699</v>
      </c>
      <c r="P22" s="103"/>
      <c r="Q22" s="103"/>
    </row>
    <row r="23" spans="2:18" x14ac:dyDescent="0.25">
      <c r="D23" s="151" t="s">
        <v>697</v>
      </c>
      <c r="E23" s="151"/>
      <c r="F23" s="151"/>
      <c r="K23" s="9">
        <v>5</v>
      </c>
      <c r="M23" s="119">
        <v>4</v>
      </c>
      <c r="N23" s="119"/>
      <c r="O23" s="103" t="s">
        <v>700</v>
      </c>
      <c r="P23" s="103"/>
      <c r="Q23" s="103"/>
    </row>
    <row r="24" spans="2:18" x14ac:dyDescent="0.25">
      <c r="D24" s="152" t="s">
        <v>518</v>
      </c>
      <c r="E24" s="152"/>
      <c r="F24" s="101" t="s">
        <v>519</v>
      </c>
      <c r="G24" s="101"/>
      <c r="H24" s="101"/>
      <c r="K24" s="9">
        <v>6</v>
      </c>
      <c r="M24" s="119">
        <v>4</v>
      </c>
      <c r="N24" s="119"/>
      <c r="O24" s="103" t="s">
        <v>1530</v>
      </c>
      <c r="P24" s="103"/>
      <c r="Q24" s="103"/>
    </row>
    <row r="25" spans="2:18" x14ac:dyDescent="0.25">
      <c r="B25" s="9">
        <v>1</v>
      </c>
      <c r="D25" s="119">
        <v>24</v>
      </c>
      <c r="E25" s="119"/>
      <c r="F25" s="103" t="s">
        <v>750</v>
      </c>
      <c r="G25" s="103"/>
      <c r="H25" s="103"/>
      <c r="K25" s="9">
        <v>7</v>
      </c>
      <c r="M25" s="119">
        <v>3</v>
      </c>
      <c r="N25" s="119"/>
      <c r="O25" s="103" t="s">
        <v>703</v>
      </c>
      <c r="P25" s="103"/>
      <c r="Q25" s="103"/>
    </row>
    <row r="26" spans="2:18" x14ac:dyDescent="0.25">
      <c r="B26" s="9">
        <v>2</v>
      </c>
      <c r="D26" s="119">
        <v>8</v>
      </c>
      <c r="E26" s="119"/>
      <c r="F26" s="103" t="s">
        <v>526</v>
      </c>
      <c r="G26" s="103"/>
      <c r="H26" s="103"/>
      <c r="K26" s="9">
        <v>8</v>
      </c>
      <c r="M26" s="119">
        <v>3</v>
      </c>
      <c r="N26" s="119"/>
      <c r="O26" s="103" t="s">
        <v>704</v>
      </c>
      <c r="P26" s="103"/>
      <c r="Q26" s="103"/>
    </row>
    <row r="27" spans="2:18" x14ac:dyDescent="0.25">
      <c r="B27" s="9">
        <v>3</v>
      </c>
      <c r="D27" s="119">
        <v>8</v>
      </c>
      <c r="E27" s="119"/>
      <c r="F27" s="103" t="s">
        <v>702</v>
      </c>
      <c r="G27" s="103"/>
      <c r="H27" s="103"/>
      <c r="K27" s="9">
        <v>9</v>
      </c>
      <c r="M27" s="119">
        <v>3</v>
      </c>
      <c r="N27" s="119"/>
      <c r="O27" s="103" t="s">
        <v>706</v>
      </c>
      <c r="P27" s="103"/>
      <c r="Q27" s="103"/>
    </row>
    <row r="28" spans="2:18" x14ac:dyDescent="0.25">
      <c r="B28" s="9">
        <v>4</v>
      </c>
      <c r="D28" s="119">
        <v>7</v>
      </c>
      <c r="E28" s="119"/>
      <c r="F28" s="103" t="s">
        <v>524</v>
      </c>
      <c r="G28" s="103"/>
      <c r="H28" s="103"/>
      <c r="K28" s="9">
        <v>10</v>
      </c>
      <c r="M28" s="119">
        <v>3</v>
      </c>
      <c r="N28" s="119"/>
      <c r="O28" s="103" t="s">
        <v>1058</v>
      </c>
      <c r="P28" s="103"/>
      <c r="Q28" s="103"/>
    </row>
    <row r="29" spans="2:18" x14ac:dyDescent="0.25">
      <c r="B29" s="9">
        <v>5</v>
      </c>
      <c r="D29" s="119">
        <v>6</v>
      </c>
      <c r="E29" s="119"/>
      <c r="F29" s="103" t="s">
        <v>529</v>
      </c>
      <c r="G29" s="103"/>
      <c r="H29" s="103"/>
      <c r="K29" s="9">
        <v>11</v>
      </c>
      <c r="M29" s="119">
        <v>3</v>
      </c>
      <c r="N29" s="119"/>
      <c r="O29" s="103" t="s">
        <v>1085</v>
      </c>
      <c r="P29" s="103"/>
      <c r="Q29" s="103"/>
    </row>
    <row r="30" spans="2:18" x14ac:dyDescent="0.25">
      <c r="B30" s="9">
        <v>6</v>
      </c>
      <c r="D30" s="119">
        <v>6</v>
      </c>
      <c r="E30" s="119"/>
      <c r="F30" s="103" t="s">
        <v>1038</v>
      </c>
      <c r="G30" s="103"/>
      <c r="H30" s="103"/>
      <c r="M30" s="119">
        <v>3</v>
      </c>
      <c r="N30" s="119"/>
      <c r="O30" s="103" t="s">
        <v>1674</v>
      </c>
      <c r="P30" s="103"/>
      <c r="Q30" s="103"/>
    </row>
    <row r="31" spans="2:18" x14ac:dyDescent="0.25">
      <c r="B31" s="9">
        <v>7</v>
      </c>
      <c r="D31" s="119">
        <v>6</v>
      </c>
      <c r="E31" s="119"/>
      <c r="F31" s="103" t="s">
        <v>1206</v>
      </c>
      <c r="G31" s="103"/>
      <c r="H31" s="103"/>
    </row>
    <row r="32" spans="2:18" x14ac:dyDescent="0.25">
      <c r="B32" s="9">
        <v>8</v>
      </c>
      <c r="D32" s="119">
        <v>5</v>
      </c>
      <c r="E32" s="119"/>
      <c r="F32" s="103" t="s">
        <v>522</v>
      </c>
      <c r="G32" s="103"/>
      <c r="H32" s="103"/>
    </row>
    <row r="33" spans="2:18" x14ac:dyDescent="0.25">
      <c r="B33" s="9">
        <v>9</v>
      </c>
      <c r="D33" s="123">
        <v>5</v>
      </c>
      <c r="E33" s="123"/>
      <c r="F33" s="108" t="s">
        <v>1248</v>
      </c>
      <c r="G33" s="108"/>
      <c r="H33" s="108"/>
      <c r="M33" s="101" t="s">
        <v>724</v>
      </c>
      <c r="N33" s="132"/>
      <c r="O33" s="132"/>
      <c r="P33" s="132"/>
    </row>
    <row r="34" spans="2:18" x14ac:dyDescent="0.25">
      <c r="B34" s="9">
        <v>10</v>
      </c>
      <c r="D34" s="119">
        <v>4</v>
      </c>
      <c r="E34" s="119"/>
      <c r="F34" s="103" t="s">
        <v>523</v>
      </c>
      <c r="G34" s="103"/>
      <c r="H34" s="103"/>
      <c r="M34" s="32" t="s">
        <v>98</v>
      </c>
      <c r="N34" s="120" t="s">
        <v>165</v>
      </c>
      <c r="O34" s="120"/>
      <c r="P34" s="120"/>
      <c r="Q34" s="101" t="s">
        <v>267</v>
      </c>
      <c r="R34" s="101"/>
    </row>
    <row r="35" spans="2:18" x14ac:dyDescent="0.25">
      <c r="D35" s="119">
        <v>4</v>
      </c>
      <c r="E35" s="119"/>
      <c r="F35" s="103" t="s">
        <v>525</v>
      </c>
      <c r="G35" s="103"/>
      <c r="H35" s="103"/>
      <c r="K35" s="9">
        <v>1</v>
      </c>
      <c r="M35" s="56">
        <v>30</v>
      </c>
      <c r="N35" s="103" t="s">
        <v>1485</v>
      </c>
      <c r="O35" s="103"/>
      <c r="P35" s="103"/>
      <c r="Q35" s="118" t="s">
        <v>1483</v>
      </c>
      <c r="R35" s="103"/>
    </row>
    <row r="36" spans="2:18" x14ac:dyDescent="0.25">
      <c r="D36" s="123">
        <v>4</v>
      </c>
      <c r="E36" s="123"/>
      <c r="F36" s="108" t="s">
        <v>528</v>
      </c>
      <c r="G36" s="108"/>
      <c r="H36" s="108"/>
      <c r="K36" s="9">
        <v>2</v>
      </c>
      <c r="M36" s="56">
        <v>20</v>
      </c>
      <c r="N36" s="103" t="s">
        <v>725</v>
      </c>
      <c r="O36" s="103"/>
      <c r="P36" s="103"/>
      <c r="Q36" s="118">
        <v>40888</v>
      </c>
      <c r="R36" s="103"/>
    </row>
    <row r="37" spans="2:18" x14ac:dyDescent="0.25">
      <c r="D37" s="123">
        <v>4</v>
      </c>
      <c r="E37" s="123"/>
      <c r="F37" s="108" t="s">
        <v>1386</v>
      </c>
      <c r="G37" s="108"/>
      <c r="H37" s="108"/>
      <c r="K37" s="9">
        <v>3</v>
      </c>
      <c r="M37" s="56">
        <v>17</v>
      </c>
      <c r="N37" s="103" t="s">
        <v>1510</v>
      </c>
      <c r="O37" s="103"/>
      <c r="P37" s="103"/>
      <c r="Q37" s="118" t="s">
        <v>1508</v>
      </c>
      <c r="R37" s="103"/>
    </row>
    <row r="38" spans="2:18" x14ac:dyDescent="0.25">
      <c r="K38" s="9">
        <v>4</v>
      </c>
      <c r="M38" s="56">
        <v>15</v>
      </c>
      <c r="N38" s="103" t="s">
        <v>1568</v>
      </c>
      <c r="O38" s="103"/>
      <c r="P38" s="103"/>
      <c r="Q38" s="118" t="s">
        <v>1567</v>
      </c>
      <c r="R38" s="103"/>
    </row>
    <row r="39" spans="2:18" x14ac:dyDescent="0.25">
      <c r="K39" s="9">
        <v>5</v>
      </c>
      <c r="M39" s="56">
        <v>13</v>
      </c>
      <c r="N39" s="103" t="s">
        <v>726</v>
      </c>
      <c r="O39" s="103"/>
      <c r="P39" s="103"/>
      <c r="Q39" s="118">
        <v>40888</v>
      </c>
      <c r="R39" s="103"/>
    </row>
    <row r="40" spans="2:18" x14ac:dyDescent="0.25">
      <c r="D40" s="101" t="s">
        <v>723</v>
      </c>
      <c r="E40" s="132"/>
      <c r="F40" s="132"/>
      <c r="G40" s="132"/>
      <c r="K40" s="9">
        <v>6</v>
      </c>
      <c r="M40" s="56">
        <v>13</v>
      </c>
      <c r="N40" s="103" t="s">
        <v>730</v>
      </c>
      <c r="O40" s="103"/>
      <c r="P40" s="103"/>
      <c r="Q40" s="118">
        <v>42750</v>
      </c>
      <c r="R40" s="103"/>
    </row>
    <row r="41" spans="2:18" x14ac:dyDescent="0.25">
      <c r="D41" s="32" t="s">
        <v>98</v>
      </c>
      <c r="E41" s="120" t="s">
        <v>165</v>
      </c>
      <c r="F41" s="120"/>
      <c r="G41" s="120"/>
      <c r="H41" s="101" t="s">
        <v>267</v>
      </c>
      <c r="I41" s="101"/>
      <c r="K41" s="9">
        <v>7</v>
      </c>
      <c r="M41" s="56">
        <v>12</v>
      </c>
      <c r="N41" s="103" t="s">
        <v>727</v>
      </c>
      <c r="O41" s="103"/>
      <c r="P41" s="103"/>
      <c r="Q41" s="118">
        <v>40936</v>
      </c>
      <c r="R41" s="103"/>
    </row>
    <row r="42" spans="2:18" x14ac:dyDescent="0.25">
      <c r="B42" s="9">
        <v>1</v>
      </c>
      <c r="D42" s="56">
        <v>15</v>
      </c>
      <c r="E42" s="103" t="s">
        <v>330</v>
      </c>
      <c r="F42" s="103"/>
      <c r="G42" s="103"/>
      <c r="H42" s="118">
        <v>42714</v>
      </c>
      <c r="I42" s="103"/>
      <c r="K42" s="9">
        <v>8</v>
      </c>
      <c r="M42" s="56">
        <v>12</v>
      </c>
      <c r="N42" s="103" t="s">
        <v>731</v>
      </c>
      <c r="O42" s="103"/>
      <c r="P42" s="103"/>
      <c r="Q42" s="118">
        <v>43226</v>
      </c>
      <c r="R42" s="103"/>
    </row>
    <row r="43" spans="2:18" x14ac:dyDescent="0.25">
      <c r="B43" s="9">
        <v>2</v>
      </c>
      <c r="D43" s="56">
        <v>14</v>
      </c>
      <c r="E43" s="103" t="s">
        <v>734</v>
      </c>
      <c r="F43" s="103"/>
      <c r="G43" s="103"/>
      <c r="H43" s="118">
        <v>43870</v>
      </c>
      <c r="I43" s="103"/>
      <c r="K43" s="9">
        <v>9</v>
      </c>
      <c r="M43" s="56">
        <v>12</v>
      </c>
      <c r="N43" s="103" t="s">
        <v>1387</v>
      </c>
      <c r="O43" s="103"/>
      <c r="P43" s="103"/>
      <c r="Q43" s="118" t="s">
        <v>1373</v>
      </c>
      <c r="R43" s="103"/>
    </row>
    <row r="44" spans="2:18" x14ac:dyDescent="0.25">
      <c r="B44" s="9">
        <v>3</v>
      </c>
      <c r="D44" s="56">
        <v>13</v>
      </c>
      <c r="E44" s="108" t="s">
        <v>646</v>
      </c>
      <c r="F44" s="108"/>
      <c r="G44" s="108"/>
      <c r="H44" s="118">
        <v>43526</v>
      </c>
      <c r="I44" s="103"/>
      <c r="K44" s="9">
        <v>10</v>
      </c>
      <c r="M44" s="56">
        <v>11</v>
      </c>
      <c r="N44" s="103" t="s">
        <v>728</v>
      </c>
      <c r="O44" s="103"/>
      <c r="P44" s="103"/>
      <c r="Q44" s="118">
        <v>41644</v>
      </c>
      <c r="R44" s="103"/>
    </row>
    <row r="45" spans="2:18" x14ac:dyDescent="0.25">
      <c r="B45" s="9">
        <v>4</v>
      </c>
      <c r="D45" s="56">
        <v>13</v>
      </c>
      <c r="E45" s="103" t="s">
        <v>439</v>
      </c>
      <c r="F45" s="103"/>
      <c r="G45" s="103"/>
      <c r="H45" s="118">
        <v>44520</v>
      </c>
      <c r="I45" s="103"/>
      <c r="M45" s="56">
        <v>11</v>
      </c>
      <c r="N45" s="103" t="s">
        <v>729</v>
      </c>
      <c r="O45" s="103"/>
      <c r="P45" s="103"/>
      <c r="Q45" s="118">
        <v>41742</v>
      </c>
      <c r="R45" s="103"/>
    </row>
    <row r="46" spans="2:18" x14ac:dyDescent="0.25">
      <c r="B46" s="9">
        <v>5</v>
      </c>
      <c r="D46" s="56">
        <v>13</v>
      </c>
      <c r="E46" s="103" t="s">
        <v>1059</v>
      </c>
      <c r="F46" s="103"/>
      <c r="G46" s="103"/>
      <c r="H46" s="118">
        <v>44955</v>
      </c>
      <c r="I46" s="103"/>
      <c r="M46" s="56">
        <v>11</v>
      </c>
      <c r="N46" s="103" t="s">
        <v>1139</v>
      </c>
      <c r="O46" s="103"/>
      <c r="P46" s="103"/>
      <c r="Q46" s="118">
        <v>45017</v>
      </c>
      <c r="R46" s="103"/>
    </row>
    <row r="47" spans="2:18" x14ac:dyDescent="0.25">
      <c r="B47" s="9">
        <v>6</v>
      </c>
      <c r="D47" s="56">
        <v>12</v>
      </c>
      <c r="E47" s="103" t="s">
        <v>328</v>
      </c>
      <c r="F47" s="103"/>
      <c r="G47" s="103"/>
      <c r="H47" s="118">
        <v>41644</v>
      </c>
      <c r="I47" s="103"/>
      <c r="M47" s="56">
        <v>11</v>
      </c>
      <c r="N47" s="103" t="s">
        <v>1151</v>
      </c>
      <c r="O47" s="103"/>
      <c r="P47" s="103"/>
      <c r="Q47" s="118">
        <v>45046</v>
      </c>
      <c r="R47" s="103"/>
    </row>
    <row r="48" spans="2:18" x14ac:dyDescent="0.25">
      <c r="B48" s="9">
        <v>7</v>
      </c>
      <c r="D48" s="56">
        <v>12</v>
      </c>
      <c r="E48" s="103" t="s">
        <v>265</v>
      </c>
      <c r="F48" s="103"/>
      <c r="G48" s="103"/>
      <c r="H48" s="118">
        <v>42701</v>
      </c>
      <c r="I48" s="103"/>
      <c r="M48" s="56">
        <v>11</v>
      </c>
      <c r="N48" s="103" t="s">
        <v>1497</v>
      </c>
      <c r="O48" s="103"/>
      <c r="P48" s="103"/>
      <c r="Q48" s="118" t="s">
        <v>1495</v>
      </c>
      <c r="R48" s="103"/>
    </row>
    <row r="49" spans="2:18" x14ac:dyDescent="0.25">
      <c r="B49" s="9">
        <v>8</v>
      </c>
      <c r="D49" s="56">
        <v>12</v>
      </c>
      <c r="E49" s="103" t="s">
        <v>732</v>
      </c>
      <c r="F49" s="103"/>
      <c r="G49" s="103"/>
      <c r="H49" s="118">
        <v>43526</v>
      </c>
      <c r="I49" s="103"/>
    </row>
    <row r="50" spans="2:18" x14ac:dyDescent="0.25">
      <c r="B50" s="9">
        <v>9</v>
      </c>
      <c r="D50" s="56">
        <v>12</v>
      </c>
      <c r="E50" s="103" t="s">
        <v>733</v>
      </c>
      <c r="F50" s="103"/>
      <c r="G50" s="103"/>
      <c r="H50" s="118">
        <v>43751</v>
      </c>
      <c r="I50" s="103"/>
    </row>
    <row r="51" spans="2:18" x14ac:dyDescent="0.25">
      <c r="B51" s="9">
        <v>10</v>
      </c>
      <c r="D51" s="56">
        <v>12</v>
      </c>
      <c r="E51" s="103" t="s">
        <v>766</v>
      </c>
      <c r="F51" s="103"/>
      <c r="G51" s="103"/>
      <c r="H51" s="118">
        <v>44843</v>
      </c>
      <c r="I51" s="103"/>
      <c r="M51" s="109" t="s">
        <v>660</v>
      </c>
      <c r="N51" s="109"/>
      <c r="O51" s="109"/>
    </row>
    <row r="52" spans="2:18" x14ac:dyDescent="0.25">
      <c r="D52" s="56">
        <v>12</v>
      </c>
      <c r="E52" s="103" t="s">
        <v>1086</v>
      </c>
      <c r="F52" s="103"/>
      <c r="G52" s="103"/>
      <c r="H52" s="118">
        <v>44997</v>
      </c>
      <c r="I52" s="103"/>
      <c r="M52" s="32" t="s">
        <v>266</v>
      </c>
      <c r="N52" s="112" t="s">
        <v>165</v>
      </c>
      <c r="O52" s="113"/>
      <c r="P52" s="114"/>
      <c r="Q52" s="101" t="s">
        <v>267</v>
      </c>
      <c r="R52" s="101"/>
    </row>
    <row r="53" spans="2:18" x14ac:dyDescent="0.25">
      <c r="D53" s="56">
        <v>12</v>
      </c>
      <c r="E53" s="103" t="s">
        <v>1151</v>
      </c>
      <c r="F53" s="103"/>
      <c r="G53" s="103"/>
      <c r="H53" s="118">
        <v>45046</v>
      </c>
      <c r="I53" s="103"/>
      <c r="K53" s="9">
        <v>1</v>
      </c>
      <c r="M53" s="53" t="s">
        <v>653</v>
      </c>
      <c r="N53" s="103" t="s">
        <v>634</v>
      </c>
      <c r="O53" s="103"/>
      <c r="P53" s="103"/>
      <c r="Q53" s="118">
        <v>42448</v>
      </c>
      <c r="R53" s="103"/>
    </row>
    <row r="54" spans="2:18" x14ac:dyDescent="0.25">
      <c r="D54" s="56">
        <v>12</v>
      </c>
      <c r="E54" s="103" t="s">
        <v>1231</v>
      </c>
      <c r="F54" s="103"/>
      <c r="G54" s="103"/>
      <c r="H54" s="118" t="s">
        <v>1230</v>
      </c>
      <c r="I54" s="103"/>
      <c r="K54" s="9">
        <v>2</v>
      </c>
      <c r="M54" s="53" t="s">
        <v>653</v>
      </c>
      <c r="N54" s="103" t="s">
        <v>634</v>
      </c>
      <c r="O54" s="103"/>
      <c r="P54" s="103"/>
      <c r="Q54" s="118">
        <v>42448</v>
      </c>
      <c r="R54" s="103"/>
    </row>
    <row r="55" spans="2:18" x14ac:dyDescent="0.25">
      <c r="D55" s="56">
        <v>12</v>
      </c>
      <c r="E55" s="103" t="s">
        <v>1528</v>
      </c>
      <c r="F55" s="103"/>
      <c r="G55" s="103"/>
      <c r="H55" s="118" t="s">
        <v>1529</v>
      </c>
      <c r="I55" s="103"/>
      <c r="K55" s="9">
        <v>3</v>
      </c>
      <c r="M55" s="53" t="s">
        <v>641</v>
      </c>
      <c r="N55" s="108" t="s">
        <v>656</v>
      </c>
      <c r="O55" s="108"/>
      <c r="P55" s="108"/>
      <c r="Q55" s="121">
        <v>44478</v>
      </c>
      <c r="R55" s="108"/>
    </row>
    <row r="56" spans="2:18" x14ac:dyDescent="0.25">
      <c r="K56" s="9">
        <v>4</v>
      </c>
      <c r="M56" s="53" t="s">
        <v>896</v>
      </c>
      <c r="N56" s="103" t="s">
        <v>646</v>
      </c>
      <c r="O56" s="103"/>
      <c r="P56" s="103"/>
      <c r="Q56" s="118">
        <v>43526</v>
      </c>
      <c r="R56" s="103"/>
    </row>
    <row r="57" spans="2:18" x14ac:dyDescent="0.25">
      <c r="K57" s="9">
        <v>5</v>
      </c>
      <c r="M57" s="53" t="s">
        <v>901</v>
      </c>
      <c r="N57" s="103" t="s">
        <v>902</v>
      </c>
      <c r="O57" s="103"/>
      <c r="P57" s="103"/>
      <c r="Q57" s="118">
        <v>44535</v>
      </c>
      <c r="R57" s="103"/>
    </row>
    <row r="58" spans="2:18" x14ac:dyDescent="0.25">
      <c r="D58" s="109" t="s">
        <v>659</v>
      </c>
      <c r="E58" s="109"/>
      <c r="F58" s="109"/>
      <c r="K58" s="9">
        <v>6</v>
      </c>
      <c r="M58" s="53" t="s">
        <v>886</v>
      </c>
      <c r="N58" s="103" t="s">
        <v>887</v>
      </c>
      <c r="O58" s="103"/>
      <c r="P58" s="103"/>
      <c r="Q58" s="118">
        <v>42406</v>
      </c>
      <c r="R58" s="103"/>
    </row>
    <row r="59" spans="2:18" x14ac:dyDescent="0.25">
      <c r="D59" s="32" t="s">
        <v>266</v>
      </c>
      <c r="E59" s="112" t="s">
        <v>165</v>
      </c>
      <c r="F59" s="113"/>
      <c r="G59" s="114"/>
      <c r="H59" s="101" t="s">
        <v>267</v>
      </c>
      <c r="I59" s="101"/>
      <c r="K59" s="9">
        <v>7</v>
      </c>
      <c r="M59" s="53" t="s">
        <v>884</v>
      </c>
      <c r="N59" s="103" t="s">
        <v>746</v>
      </c>
      <c r="O59" s="103"/>
      <c r="P59" s="103"/>
      <c r="Q59" s="118">
        <v>42014</v>
      </c>
      <c r="R59" s="103"/>
    </row>
    <row r="60" spans="2:18" x14ac:dyDescent="0.25">
      <c r="B60" s="9">
        <v>1</v>
      </c>
      <c r="D60" s="53" t="s">
        <v>637</v>
      </c>
      <c r="E60" s="103" t="s">
        <v>634</v>
      </c>
      <c r="F60" s="103"/>
      <c r="G60" s="103"/>
      <c r="H60" s="118" t="s">
        <v>1760</v>
      </c>
      <c r="I60" s="103"/>
      <c r="K60" s="9">
        <v>8</v>
      </c>
      <c r="M60" s="53" t="s">
        <v>888</v>
      </c>
      <c r="N60" s="103" t="s">
        <v>634</v>
      </c>
      <c r="O60" s="103"/>
      <c r="P60" s="103"/>
      <c r="Q60" s="118">
        <v>42448</v>
      </c>
      <c r="R60" s="103"/>
    </row>
    <row r="61" spans="2:18" x14ac:dyDescent="0.25">
      <c r="B61" s="9">
        <v>2</v>
      </c>
      <c r="D61" s="53" t="s">
        <v>637</v>
      </c>
      <c r="E61" s="103" t="s">
        <v>634</v>
      </c>
      <c r="F61" s="103"/>
      <c r="G61" s="103"/>
      <c r="H61" s="118" t="s">
        <v>1760</v>
      </c>
      <c r="I61" s="103"/>
      <c r="K61" s="9">
        <v>9</v>
      </c>
      <c r="M61" s="53" t="s">
        <v>681</v>
      </c>
      <c r="N61" s="103" t="s">
        <v>746</v>
      </c>
      <c r="O61" s="103"/>
      <c r="P61" s="103"/>
      <c r="Q61" s="118">
        <v>42014</v>
      </c>
      <c r="R61" s="103"/>
    </row>
    <row r="62" spans="2:18" x14ac:dyDescent="0.25">
      <c r="B62" s="9">
        <v>3</v>
      </c>
      <c r="D62" s="53" t="s">
        <v>637</v>
      </c>
      <c r="E62" s="103" t="s">
        <v>638</v>
      </c>
      <c r="F62" s="103"/>
      <c r="G62" s="103"/>
      <c r="H62" s="118" t="s">
        <v>1761</v>
      </c>
      <c r="I62" s="103"/>
      <c r="K62" s="9">
        <v>10</v>
      </c>
      <c r="M62" s="53" t="s">
        <v>681</v>
      </c>
      <c r="N62" s="103" t="s">
        <v>732</v>
      </c>
      <c r="O62" s="103"/>
      <c r="P62" s="103"/>
      <c r="Q62" s="118">
        <v>43526</v>
      </c>
      <c r="R62" s="103"/>
    </row>
    <row r="63" spans="2:18" x14ac:dyDescent="0.25">
      <c r="B63" s="9">
        <v>4</v>
      </c>
      <c r="D63" s="53" t="s">
        <v>747</v>
      </c>
      <c r="E63" s="103" t="s">
        <v>634</v>
      </c>
      <c r="F63" s="103"/>
      <c r="G63" s="103"/>
      <c r="H63" s="118" t="s">
        <v>1760</v>
      </c>
      <c r="I63" s="103"/>
      <c r="M63" s="53" t="s">
        <v>681</v>
      </c>
      <c r="N63" s="103" t="s">
        <v>468</v>
      </c>
      <c r="O63" s="103"/>
      <c r="P63" s="103"/>
      <c r="Q63" s="118">
        <v>44644</v>
      </c>
      <c r="R63" s="103"/>
    </row>
    <row r="64" spans="2:18" x14ac:dyDescent="0.25">
      <c r="B64" s="9">
        <v>5</v>
      </c>
      <c r="D64" s="53" t="s">
        <v>747</v>
      </c>
      <c r="E64" s="103" t="s">
        <v>1510</v>
      </c>
      <c r="F64" s="103"/>
      <c r="G64" s="103"/>
      <c r="H64" s="118" t="s">
        <v>1508</v>
      </c>
      <c r="I64" s="103"/>
    </row>
    <row r="65" spans="2:18" x14ac:dyDescent="0.25">
      <c r="B65" s="9">
        <v>6</v>
      </c>
      <c r="D65" s="53" t="s">
        <v>503</v>
      </c>
      <c r="E65" s="103" t="s">
        <v>1215</v>
      </c>
      <c r="F65" s="103"/>
      <c r="G65" s="103"/>
      <c r="H65" s="118" t="s">
        <v>1216</v>
      </c>
      <c r="I65" s="103"/>
    </row>
    <row r="66" spans="2:18" x14ac:dyDescent="0.25">
      <c r="B66" s="9">
        <v>7</v>
      </c>
      <c r="D66" s="53" t="s">
        <v>503</v>
      </c>
      <c r="E66" s="103" t="s">
        <v>1755</v>
      </c>
      <c r="F66" s="103"/>
      <c r="G66" s="103"/>
      <c r="H66" s="118" t="s">
        <v>1756</v>
      </c>
      <c r="I66" s="103"/>
      <c r="M66" s="109" t="s">
        <v>662</v>
      </c>
      <c r="N66" s="109"/>
      <c r="O66" s="109"/>
    </row>
    <row r="67" spans="2:18" x14ac:dyDescent="0.25">
      <c r="B67" s="9">
        <v>8</v>
      </c>
      <c r="D67" s="53" t="s">
        <v>745</v>
      </c>
      <c r="E67" s="103" t="s">
        <v>327</v>
      </c>
      <c r="F67" s="103"/>
      <c r="G67" s="103"/>
      <c r="H67" s="118" t="s">
        <v>1757</v>
      </c>
      <c r="I67" s="103"/>
      <c r="M67" s="32" t="s">
        <v>266</v>
      </c>
      <c r="N67" s="112" t="s">
        <v>165</v>
      </c>
      <c r="O67" s="113"/>
      <c r="P67" s="114"/>
      <c r="Q67" s="101" t="s">
        <v>267</v>
      </c>
      <c r="R67" s="101"/>
    </row>
    <row r="68" spans="2:18" x14ac:dyDescent="0.25">
      <c r="B68" s="9">
        <v>9</v>
      </c>
      <c r="D68" s="53" t="s">
        <v>745</v>
      </c>
      <c r="E68" s="103" t="s">
        <v>746</v>
      </c>
      <c r="F68" s="103"/>
      <c r="G68" s="103"/>
      <c r="H68" s="118" t="s">
        <v>1757</v>
      </c>
      <c r="I68" s="103"/>
      <c r="K68" s="9">
        <v>1</v>
      </c>
      <c r="M68" s="53" t="s">
        <v>892</v>
      </c>
      <c r="N68" s="103" t="s">
        <v>634</v>
      </c>
      <c r="O68" s="103"/>
      <c r="P68" s="103"/>
      <c r="Q68" s="118">
        <v>42448</v>
      </c>
      <c r="R68" s="103"/>
    </row>
    <row r="69" spans="2:18" x14ac:dyDescent="0.25">
      <c r="B69" s="9">
        <v>10</v>
      </c>
      <c r="D69" s="53" t="s">
        <v>745</v>
      </c>
      <c r="E69" s="108" t="s">
        <v>734</v>
      </c>
      <c r="F69" s="108"/>
      <c r="G69" s="108"/>
      <c r="H69" s="121" t="s">
        <v>1758</v>
      </c>
      <c r="I69" s="108"/>
      <c r="K69" s="9">
        <v>2</v>
      </c>
      <c r="M69" s="53" t="s">
        <v>893</v>
      </c>
      <c r="N69" s="103" t="s">
        <v>634</v>
      </c>
      <c r="O69" s="103"/>
      <c r="P69" s="103"/>
      <c r="Q69" s="118">
        <v>42448</v>
      </c>
      <c r="R69" s="103"/>
    </row>
    <row r="70" spans="2:18" x14ac:dyDescent="0.25">
      <c r="D70" s="53" t="s">
        <v>745</v>
      </c>
      <c r="E70" s="103" t="s">
        <v>1087</v>
      </c>
      <c r="F70" s="103"/>
      <c r="G70" s="103"/>
      <c r="H70" s="118" t="s">
        <v>1759</v>
      </c>
      <c r="I70" s="103"/>
      <c r="K70" s="9">
        <v>3</v>
      </c>
      <c r="M70" s="53" t="s">
        <v>905</v>
      </c>
      <c r="N70" s="108" t="s">
        <v>460</v>
      </c>
      <c r="O70" s="108"/>
      <c r="P70" s="108"/>
      <c r="Q70" s="121">
        <v>44681</v>
      </c>
      <c r="R70" s="108"/>
    </row>
    <row r="71" spans="2:18" x14ac:dyDescent="0.25">
      <c r="D71" s="53"/>
      <c r="E71" s="103"/>
      <c r="F71" s="103"/>
      <c r="G71" s="103"/>
      <c r="H71" s="118"/>
      <c r="I71" s="103"/>
      <c r="K71" s="9">
        <v>4</v>
      </c>
      <c r="M71" s="53" t="s">
        <v>891</v>
      </c>
      <c r="N71" s="103" t="s">
        <v>634</v>
      </c>
      <c r="O71" s="103"/>
      <c r="P71" s="103"/>
      <c r="Q71" s="118">
        <v>42448</v>
      </c>
      <c r="R71" s="103"/>
    </row>
    <row r="72" spans="2:18" x14ac:dyDescent="0.25">
      <c r="K72" s="9">
        <v>5</v>
      </c>
      <c r="M72" s="53" t="s">
        <v>577</v>
      </c>
      <c r="N72" s="103" t="s">
        <v>634</v>
      </c>
      <c r="O72" s="103"/>
      <c r="P72" s="103"/>
      <c r="Q72" s="118">
        <v>42448</v>
      </c>
      <c r="R72" s="103"/>
    </row>
    <row r="73" spans="2:18" x14ac:dyDescent="0.25">
      <c r="D73" s="109" t="s">
        <v>661</v>
      </c>
      <c r="E73" s="109"/>
      <c r="F73" s="109"/>
      <c r="K73" s="9">
        <v>6</v>
      </c>
      <c r="M73" s="53" t="s">
        <v>900</v>
      </c>
      <c r="N73" s="103" t="s">
        <v>439</v>
      </c>
      <c r="O73" s="103"/>
      <c r="P73" s="103"/>
      <c r="Q73" s="118">
        <v>44520</v>
      </c>
      <c r="R73" s="103"/>
    </row>
    <row r="74" spans="2:18" x14ac:dyDescent="0.25">
      <c r="D74" s="32" t="s">
        <v>266</v>
      </c>
      <c r="E74" s="112" t="s">
        <v>165</v>
      </c>
      <c r="F74" s="113"/>
      <c r="G74" s="114"/>
      <c r="H74" s="101" t="s">
        <v>267</v>
      </c>
      <c r="I74" s="101"/>
      <c r="K74" s="9">
        <v>7</v>
      </c>
      <c r="M74" s="53" t="s">
        <v>899</v>
      </c>
      <c r="N74" s="103" t="s">
        <v>656</v>
      </c>
      <c r="O74" s="103"/>
      <c r="P74" s="103"/>
      <c r="Q74" s="118">
        <v>44478</v>
      </c>
      <c r="R74" s="103"/>
    </row>
    <row r="75" spans="2:18" x14ac:dyDescent="0.25">
      <c r="B75" s="9">
        <v>1</v>
      </c>
      <c r="D75" s="53" t="s">
        <v>494</v>
      </c>
      <c r="E75" s="103" t="s">
        <v>634</v>
      </c>
      <c r="F75" s="103"/>
      <c r="G75" s="103"/>
      <c r="H75" s="118">
        <v>42448</v>
      </c>
      <c r="I75" s="103"/>
      <c r="K75" s="9">
        <v>8</v>
      </c>
      <c r="M75" s="53" t="s">
        <v>897</v>
      </c>
      <c r="N75" s="108" t="s">
        <v>654</v>
      </c>
      <c r="O75" s="108"/>
      <c r="P75" s="108"/>
      <c r="Q75" s="121">
        <v>43806</v>
      </c>
      <c r="R75" s="108"/>
    </row>
    <row r="76" spans="2:18" x14ac:dyDescent="0.25">
      <c r="B76" s="9">
        <v>2</v>
      </c>
      <c r="D76" s="53" t="s">
        <v>882</v>
      </c>
      <c r="E76" s="103" t="s">
        <v>634</v>
      </c>
      <c r="F76" s="103"/>
      <c r="G76" s="103"/>
      <c r="H76" s="118">
        <v>42448</v>
      </c>
      <c r="I76" s="103"/>
      <c r="K76" s="9">
        <v>9</v>
      </c>
      <c r="M76" s="53" t="s">
        <v>883</v>
      </c>
      <c r="N76" s="103" t="s">
        <v>327</v>
      </c>
      <c r="O76" s="103"/>
      <c r="P76" s="103"/>
      <c r="Q76" s="118">
        <v>42014</v>
      </c>
      <c r="R76" s="103"/>
    </row>
    <row r="77" spans="2:18" x14ac:dyDescent="0.25">
      <c r="B77" s="9">
        <v>3</v>
      </c>
      <c r="D77" s="53" t="s">
        <v>898</v>
      </c>
      <c r="E77" s="103" t="s">
        <v>656</v>
      </c>
      <c r="F77" s="103"/>
      <c r="G77" s="103"/>
      <c r="H77" s="118">
        <v>44478</v>
      </c>
      <c r="I77" s="103"/>
      <c r="K77" s="9">
        <v>10</v>
      </c>
      <c r="M77" s="53" t="s">
        <v>890</v>
      </c>
      <c r="N77" s="103" t="s">
        <v>634</v>
      </c>
      <c r="O77" s="103"/>
      <c r="P77" s="103"/>
      <c r="Q77" s="118">
        <v>42448</v>
      </c>
      <c r="R77" s="103"/>
    </row>
    <row r="78" spans="2:18" x14ac:dyDescent="0.25">
      <c r="B78" s="9">
        <v>4</v>
      </c>
      <c r="D78" s="53" t="s">
        <v>885</v>
      </c>
      <c r="E78" s="103" t="s">
        <v>746</v>
      </c>
      <c r="F78" s="103"/>
      <c r="G78" s="103"/>
      <c r="H78" s="118">
        <v>42014</v>
      </c>
      <c r="I78" s="103"/>
    </row>
    <row r="79" spans="2:18" x14ac:dyDescent="0.25">
      <c r="B79" s="9">
        <v>5</v>
      </c>
      <c r="D79" s="53" t="s">
        <v>889</v>
      </c>
      <c r="E79" s="103" t="s">
        <v>634</v>
      </c>
      <c r="F79" s="103"/>
      <c r="G79" s="103"/>
      <c r="H79" s="118">
        <v>42448</v>
      </c>
      <c r="I79" s="103"/>
    </row>
    <row r="80" spans="2:18" x14ac:dyDescent="0.25">
      <c r="B80" s="9">
        <v>6</v>
      </c>
      <c r="D80" s="53" t="s">
        <v>1282</v>
      </c>
      <c r="E80" s="108" t="s">
        <v>439</v>
      </c>
      <c r="F80" s="108"/>
      <c r="G80" s="108"/>
      <c r="H80" s="121">
        <v>44520</v>
      </c>
      <c r="I80" s="108"/>
    </row>
    <row r="81" spans="2:9" x14ac:dyDescent="0.25">
      <c r="B81" s="9">
        <v>7</v>
      </c>
      <c r="D81" s="53" t="s">
        <v>936</v>
      </c>
      <c r="E81" s="103" t="s">
        <v>1086</v>
      </c>
      <c r="F81" s="103"/>
      <c r="G81" s="103"/>
      <c r="H81" s="118">
        <v>44997</v>
      </c>
      <c r="I81" s="103"/>
    </row>
    <row r="82" spans="2:9" x14ac:dyDescent="0.25">
      <c r="B82" s="9">
        <v>8</v>
      </c>
      <c r="D82" s="53" t="s">
        <v>627</v>
      </c>
      <c r="E82" s="103" t="s">
        <v>327</v>
      </c>
      <c r="F82" s="103"/>
      <c r="G82" s="103"/>
      <c r="H82" s="118">
        <v>42014</v>
      </c>
      <c r="I82" s="103"/>
    </row>
    <row r="83" spans="2:9" x14ac:dyDescent="0.25">
      <c r="B83" s="9">
        <v>9</v>
      </c>
      <c r="D83" s="53" t="s">
        <v>904</v>
      </c>
      <c r="E83" s="108" t="s">
        <v>460</v>
      </c>
      <c r="F83" s="108"/>
      <c r="G83" s="108"/>
      <c r="H83" s="121">
        <v>44681</v>
      </c>
      <c r="I83" s="108"/>
    </row>
    <row r="84" spans="2:9" x14ac:dyDescent="0.25">
      <c r="B84" s="9">
        <v>10</v>
      </c>
      <c r="D84" s="53" t="s">
        <v>903</v>
      </c>
      <c r="E84" s="108" t="s">
        <v>460</v>
      </c>
      <c r="F84" s="108"/>
      <c r="G84" s="108"/>
      <c r="H84" s="121">
        <v>44681</v>
      </c>
      <c r="I84" s="108"/>
    </row>
  </sheetData>
  <mergeCells count="274">
    <mergeCell ref="E66:G66"/>
    <mergeCell ref="H66:I66"/>
    <mergeCell ref="E84:G84"/>
    <mergeCell ref="E83:G83"/>
    <mergeCell ref="Q67:R67"/>
    <mergeCell ref="H76:I76"/>
    <mergeCell ref="E78:G78"/>
    <mergeCell ref="H78:I78"/>
    <mergeCell ref="M66:O66"/>
    <mergeCell ref="N67:P67"/>
    <mergeCell ref="E79:G79"/>
    <mergeCell ref="D73:F73"/>
    <mergeCell ref="E74:G74"/>
    <mergeCell ref="H74:I74"/>
    <mergeCell ref="H75:I75"/>
    <mergeCell ref="E82:G82"/>
    <mergeCell ref="H82:I82"/>
    <mergeCell ref="H81:I81"/>
    <mergeCell ref="N70:P70"/>
    <mergeCell ref="Q70:R70"/>
    <mergeCell ref="N74:P74"/>
    <mergeCell ref="Q74:R74"/>
    <mergeCell ref="N73:P73"/>
    <mergeCell ref="Q68:R68"/>
    <mergeCell ref="H79:I79"/>
    <mergeCell ref="N77:P77"/>
    <mergeCell ref="N62:P62"/>
    <mergeCell ref="N75:P75"/>
    <mergeCell ref="Q75:R75"/>
    <mergeCell ref="Q73:R73"/>
    <mergeCell ref="N68:P68"/>
    <mergeCell ref="E81:G81"/>
    <mergeCell ref="Q72:R72"/>
    <mergeCell ref="N69:P69"/>
    <mergeCell ref="Q62:R62"/>
    <mergeCell ref="N63:P63"/>
    <mergeCell ref="Q63:R63"/>
    <mergeCell ref="E71:G71"/>
    <mergeCell ref="E68:G68"/>
    <mergeCell ref="H70:I70"/>
    <mergeCell ref="E69:G69"/>
    <mergeCell ref="Q77:R77"/>
    <mergeCell ref="N72:P72"/>
    <mergeCell ref="E80:G80"/>
    <mergeCell ref="H80:I80"/>
    <mergeCell ref="Q69:R69"/>
    <mergeCell ref="N71:P71"/>
    <mergeCell ref="Q71:R71"/>
    <mergeCell ref="N76:P76"/>
    <mergeCell ref="Q76:R76"/>
    <mergeCell ref="H84:I84"/>
    <mergeCell ref="N55:P55"/>
    <mergeCell ref="Q55:R55"/>
    <mergeCell ref="E76:G76"/>
    <mergeCell ref="E75:G75"/>
    <mergeCell ref="Q56:R56"/>
    <mergeCell ref="E77:G77"/>
    <mergeCell ref="H77:I77"/>
    <mergeCell ref="H83:I83"/>
    <mergeCell ref="E70:G70"/>
    <mergeCell ref="E62:G62"/>
    <mergeCell ref="E67:G67"/>
    <mergeCell ref="E64:G64"/>
    <mergeCell ref="E60:G60"/>
    <mergeCell ref="E61:G61"/>
    <mergeCell ref="N61:P61"/>
    <mergeCell ref="Q61:R61"/>
    <mergeCell ref="N59:P59"/>
    <mergeCell ref="Q59:R59"/>
    <mergeCell ref="N57:P57"/>
    <mergeCell ref="E63:G63"/>
    <mergeCell ref="Q57:R57"/>
    <mergeCell ref="N56:P56"/>
    <mergeCell ref="F27:H27"/>
    <mergeCell ref="D23:F23"/>
    <mergeCell ref="E20:G20"/>
    <mergeCell ref="H54:I54"/>
    <mergeCell ref="H43:I43"/>
    <mergeCell ref="H45:I45"/>
    <mergeCell ref="E44:G44"/>
    <mergeCell ref="H44:I44"/>
    <mergeCell ref="E50:G50"/>
    <mergeCell ref="E43:G43"/>
    <mergeCell ref="E45:G45"/>
    <mergeCell ref="F28:H28"/>
    <mergeCell ref="F30:H30"/>
    <mergeCell ref="D32:E32"/>
    <mergeCell ref="D28:E28"/>
    <mergeCell ref="D27:E27"/>
    <mergeCell ref="D31:E31"/>
    <mergeCell ref="F31:H31"/>
    <mergeCell ref="D24:E24"/>
    <mergeCell ref="F29:H29"/>
    <mergeCell ref="D29:E29"/>
    <mergeCell ref="F32:H32"/>
    <mergeCell ref="O22:Q22"/>
    <mergeCell ref="H62:I62"/>
    <mergeCell ref="H67:I67"/>
    <mergeCell ref="H64:I64"/>
    <mergeCell ref="H60:I60"/>
    <mergeCell ref="H61:I61"/>
    <mergeCell ref="H63:I63"/>
    <mergeCell ref="H71:I71"/>
    <mergeCell ref="H68:I68"/>
    <mergeCell ref="H69:I69"/>
    <mergeCell ref="E65:G65"/>
    <mergeCell ref="H65:I65"/>
    <mergeCell ref="D3:E3"/>
    <mergeCell ref="N10:P10"/>
    <mergeCell ref="N12:P12"/>
    <mergeCell ref="H17:I17"/>
    <mergeCell ref="E7:G7"/>
    <mergeCell ref="H7:I7"/>
    <mergeCell ref="N11:P11"/>
    <mergeCell ref="N13:P13"/>
    <mergeCell ref="N54:P54"/>
    <mergeCell ref="N53:P53"/>
    <mergeCell ref="H18:I18"/>
    <mergeCell ref="H19:I19"/>
    <mergeCell ref="H20:I20"/>
    <mergeCell ref="E5:G5"/>
    <mergeCell ref="E6:G6"/>
    <mergeCell ref="E8:G8"/>
    <mergeCell ref="E10:G10"/>
    <mergeCell ref="E11:G11"/>
    <mergeCell ref="E13:G13"/>
    <mergeCell ref="E14:G14"/>
    <mergeCell ref="N5:P5"/>
    <mergeCell ref="H14:I14"/>
    <mergeCell ref="H12:I12"/>
    <mergeCell ref="H16:I16"/>
    <mergeCell ref="Q5:R5"/>
    <mergeCell ref="N7:P7"/>
    <mergeCell ref="Q7:R7"/>
    <mergeCell ref="Q4:R4"/>
    <mergeCell ref="N6:P6"/>
    <mergeCell ref="N8:P8"/>
    <mergeCell ref="N9:P9"/>
    <mergeCell ref="Q12:R12"/>
    <mergeCell ref="Q6:R6"/>
    <mergeCell ref="H15:I15"/>
    <mergeCell ref="Q13:R13"/>
    <mergeCell ref="Q14:R14"/>
    <mergeCell ref="E16:G16"/>
    <mergeCell ref="F25:H25"/>
    <mergeCell ref="E19:G19"/>
    <mergeCell ref="E18:G18"/>
    <mergeCell ref="Q8:R8"/>
    <mergeCell ref="Q9:R9"/>
    <mergeCell ref="Q10:R10"/>
    <mergeCell ref="M3:N3"/>
    <mergeCell ref="N4:P4"/>
    <mergeCell ref="N14:P14"/>
    <mergeCell ref="E4:G4"/>
    <mergeCell ref="E9:G9"/>
    <mergeCell ref="H4:I4"/>
    <mergeCell ref="H5:I5"/>
    <mergeCell ref="H6:I6"/>
    <mergeCell ref="H8:I8"/>
    <mergeCell ref="H9:I9"/>
    <mergeCell ref="E15:G15"/>
    <mergeCell ref="E17:G17"/>
    <mergeCell ref="H10:I10"/>
    <mergeCell ref="H11:I11"/>
    <mergeCell ref="H13:I13"/>
    <mergeCell ref="Q11:R11"/>
    <mergeCell ref="E12:G12"/>
    <mergeCell ref="O20:Q20"/>
    <mergeCell ref="O23:Q23"/>
    <mergeCell ref="O19:Q19"/>
    <mergeCell ref="O21:Q21"/>
    <mergeCell ref="M21:N21"/>
    <mergeCell ref="M22:N22"/>
    <mergeCell ref="M19:N19"/>
    <mergeCell ref="D25:E25"/>
    <mergeCell ref="M20:N20"/>
    <mergeCell ref="F24:H24"/>
    <mergeCell ref="M23:N23"/>
    <mergeCell ref="M17:O17"/>
    <mergeCell ref="M18:N18"/>
    <mergeCell ref="O18:Q18"/>
    <mergeCell ref="M28:N28"/>
    <mergeCell ref="M29:N29"/>
    <mergeCell ref="M27:N27"/>
    <mergeCell ref="E41:G41"/>
    <mergeCell ref="O28:Q28"/>
    <mergeCell ref="O29:Q29"/>
    <mergeCell ref="F33:H33"/>
    <mergeCell ref="M24:N24"/>
    <mergeCell ref="O24:Q24"/>
    <mergeCell ref="M26:N26"/>
    <mergeCell ref="D30:E30"/>
    <mergeCell ref="D36:E36"/>
    <mergeCell ref="D33:E33"/>
    <mergeCell ref="D35:E35"/>
    <mergeCell ref="F34:H34"/>
    <mergeCell ref="D34:E34"/>
    <mergeCell ref="N37:P37"/>
    <mergeCell ref="Q37:R37"/>
    <mergeCell ref="M30:N30"/>
    <mergeCell ref="O30:Q30"/>
    <mergeCell ref="D26:E26"/>
    <mergeCell ref="O27:Q27"/>
    <mergeCell ref="F35:H35"/>
    <mergeCell ref="M51:O51"/>
    <mergeCell ref="M25:N25"/>
    <mergeCell ref="O25:Q25"/>
    <mergeCell ref="O26:Q26"/>
    <mergeCell ref="N35:P35"/>
    <mergeCell ref="Q35:R35"/>
    <mergeCell ref="M33:P33"/>
    <mergeCell ref="N34:P34"/>
    <mergeCell ref="Q34:R34"/>
    <mergeCell ref="N36:P36"/>
    <mergeCell ref="N39:P39"/>
    <mergeCell ref="N43:P43"/>
    <mergeCell ref="Q43:R43"/>
    <mergeCell ref="N41:P41"/>
    <mergeCell ref="Q42:R42"/>
    <mergeCell ref="Q36:R36"/>
    <mergeCell ref="Q39:R39"/>
    <mergeCell ref="F36:H36"/>
    <mergeCell ref="H47:I47"/>
    <mergeCell ref="H42:I42"/>
    <mergeCell ref="E42:G42"/>
    <mergeCell ref="F26:H26"/>
    <mergeCell ref="N58:P58"/>
    <mergeCell ref="Q58:R58"/>
    <mergeCell ref="D37:E37"/>
    <mergeCell ref="F37:H37"/>
    <mergeCell ref="E55:G55"/>
    <mergeCell ref="H55:I55"/>
    <mergeCell ref="H53:I53"/>
    <mergeCell ref="D58:F58"/>
    <mergeCell ref="D40:G40"/>
    <mergeCell ref="N52:P52"/>
    <mergeCell ref="Q52:R52"/>
    <mergeCell ref="E54:G54"/>
    <mergeCell ref="N48:P48"/>
    <mergeCell ref="Q48:R48"/>
    <mergeCell ref="N40:P40"/>
    <mergeCell ref="Q40:R40"/>
    <mergeCell ref="N44:P44"/>
    <mergeCell ref="N45:P45"/>
    <mergeCell ref="N42:P42"/>
    <mergeCell ref="Q41:R41"/>
    <mergeCell ref="Q44:R44"/>
    <mergeCell ref="N46:P46"/>
    <mergeCell ref="N38:P38"/>
    <mergeCell ref="Q38:R38"/>
    <mergeCell ref="N60:P60"/>
    <mergeCell ref="Q60:R60"/>
    <mergeCell ref="E51:G51"/>
    <mergeCell ref="H51:I51"/>
    <mergeCell ref="H50:I50"/>
    <mergeCell ref="E52:G52"/>
    <mergeCell ref="H41:I41"/>
    <mergeCell ref="H48:I48"/>
    <mergeCell ref="H52:I52"/>
    <mergeCell ref="Q54:R54"/>
    <mergeCell ref="Q53:R53"/>
    <mergeCell ref="E49:G49"/>
    <mergeCell ref="E48:G48"/>
    <mergeCell ref="H46:I46"/>
    <mergeCell ref="E46:G46"/>
    <mergeCell ref="E47:G47"/>
    <mergeCell ref="Q45:R45"/>
    <mergeCell ref="N47:P47"/>
    <mergeCell ref="E59:G59"/>
    <mergeCell ref="H59:I59"/>
    <mergeCell ref="E53:G53"/>
    <mergeCell ref="H49:I49"/>
    <mergeCell ref="Q46:R46"/>
    <mergeCell ref="Q47:R47"/>
  </mergeCells>
  <phoneticPr fontId="10" type="noConversion"/>
  <pageMargins left="0.7" right="0.7" top="0.78740157499999996" bottom="0.78740157499999996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09DB0-42BE-485F-A0D6-CCF68C78597C}">
  <dimension ref="B3:R83"/>
  <sheetViews>
    <sheetView zoomScale="80" zoomScaleNormal="80" workbookViewId="0">
      <selection activeCell="AC67" sqref="AC67"/>
    </sheetView>
  </sheetViews>
  <sheetFormatPr defaultRowHeight="15" x14ac:dyDescent="0.25"/>
  <cols>
    <col min="2" max="2" width="3" bestFit="1" customWidth="1"/>
    <col min="3" max="3" width="4.7109375" customWidth="1"/>
    <col min="6" max="6" width="15.28515625" customWidth="1"/>
    <col min="11" max="11" width="3" bestFit="1" customWidth="1"/>
    <col min="12" max="12" width="4.85546875" customWidth="1"/>
    <col min="15" max="15" width="14" customWidth="1"/>
  </cols>
  <sheetData>
    <row r="3" spans="2:18" x14ac:dyDescent="0.25">
      <c r="D3" s="153" t="s">
        <v>616</v>
      </c>
      <c r="E3" s="154"/>
      <c r="M3" s="101" t="s">
        <v>617</v>
      </c>
      <c r="N3" s="101"/>
    </row>
    <row r="4" spans="2:18" x14ac:dyDescent="0.25">
      <c r="D4" s="32" t="s">
        <v>101</v>
      </c>
      <c r="E4" s="120" t="s">
        <v>165</v>
      </c>
      <c r="F4" s="120"/>
      <c r="G4" s="120"/>
      <c r="H4" s="101" t="s">
        <v>267</v>
      </c>
      <c r="I4" s="101"/>
      <c r="M4" s="32" t="s">
        <v>101</v>
      </c>
      <c r="N4" s="120" t="s">
        <v>165</v>
      </c>
      <c r="O4" s="120"/>
      <c r="P4" s="120"/>
      <c r="Q4" s="101" t="s">
        <v>267</v>
      </c>
      <c r="R4" s="101"/>
    </row>
    <row r="5" spans="2:18" x14ac:dyDescent="0.25">
      <c r="B5" s="9">
        <v>1</v>
      </c>
      <c r="D5" s="53" t="s">
        <v>608</v>
      </c>
      <c r="E5" s="111" t="s">
        <v>202</v>
      </c>
      <c r="F5" s="111"/>
      <c r="G5" s="111"/>
      <c r="H5" s="125">
        <v>42434</v>
      </c>
      <c r="I5" s="111"/>
      <c r="K5" s="9">
        <v>1</v>
      </c>
      <c r="M5" s="53" t="s">
        <v>610</v>
      </c>
      <c r="N5" s="111" t="s">
        <v>270</v>
      </c>
      <c r="O5" s="111"/>
      <c r="P5" s="111"/>
      <c r="Q5" s="125">
        <v>43219</v>
      </c>
      <c r="R5" s="111"/>
    </row>
    <row r="6" spans="2:18" x14ac:dyDescent="0.25">
      <c r="B6" s="9">
        <v>2</v>
      </c>
      <c r="D6" s="53" t="s">
        <v>385</v>
      </c>
      <c r="E6" s="103" t="s">
        <v>354</v>
      </c>
      <c r="F6" s="103"/>
      <c r="G6" s="103"/>
      <c r="H6" s="118">
        <v>43856</v>
      </c>
      <c r="I6" s="103"/>
      <c r="K6" s="9">
        <v>2</v>
      </c>
      <c r="M6" s="53" t="s">
        <v>604</v>
      </c>
      <c r="N6" s="103" t="s">
        <v>139</v>
      </c>
      <c r="O6" s="103"/>
      <c r="P6" s="103"/>
      <c r="Q6" s="118">
        <v>41377</v>
      </c>
      <c r="R6" s="103"/>
    </row>
    <row r="7" spans="2:18" x14ac:dyDescent="0.25">
      <c r="B7" s="9">
        <v>3</v>
      </c>
      <c r="D7" s="53" t="s">
        <v>772</v>
      </c>
      <c r="E7" s="108" t="s">
        <v>408</v>
      </c>
      <c r="F7" s="108"/>
      <c r="G7" s="108"/>
      <c r="H7" s="121">
        <v>44843</v>
      </c>
      <c r="I7" s="108"/>
      <c r="K7" s="9">
        <v>3</v>
      </c>
      <c r="M7" s="53" t="s">
        <v>1384</v>
      </c>
      <c r="N7" s="103" t="s">
        <v>483</v>
      </c>
      <c r="O7" s="103"/>
      <c r="P7" s="103"/>
      <c r="Q7" s="118" t="s">
        <v>1490</v>
      </c>
      <c r="R7" s="103"/>
    </row>
    <row r="8" spans="2:18" x14ac:dyDescent="0.25">
      <c r="B8" s="9">
        <v>4</v>
      </c>
      <c r="D8" s="53" t="s">
        <v>605</v>
      </c>
      <c r="E8" s="103" t="s">
        <v>182</v>
      </c>
      <c r="F8" s="103"/>
      <c r="G8" s="103"/>
      <c r="H8" s="118">
        <v>41762</v>
      </c>
      <c r="I8" s="103"/>
      <c r="K8" s="9">
        <v>4</v>
      </c>
      <c r="M8" s="53" t="s">
        <v>1218</v>
      </c>
      <c r="N8" s="103" t="s">
        <v>406</v>
      </c>
      <c r="O8" s="103"/>
      <c r="P8" s="103"/>
      <c r="Q8" s="118" t="s">
        <v>1216</v>
      </c>
      <c r="R8" s="103"/>
    </row>
    <row r="9" spans="2:18" x14ac:dyDescent="0.25">
      <c r="B9" s="9">
        <v>5</v>
      </c>
      <c r="D9" s="53" t="s">
        <v>1099</v>
      </c>
      <c r="E9" s="103" t="s">
        <v>483</v>
      </c>
      <c r="F9" s="103"/>
      <c r="G9" s="103"/>
      <c r="H9" s="121">
        <v>45010</v>
      </c>
      <c r="I9" s="108"/>
      <c r="K9" s="9">
        <v>5</v>
      </c>
      <c r="M9" s="53" t="s">
        <v>609</v>
      </c>
      <c r="N9" s="103" t="s">
        <v>270</v>
      </c>
      <c r="O9" s="103"/>
      <c r="P9" s="103"/>
      <c r="Q9" s="118">
        <v>43037</v>
      </c>
      <c r="R9" s="103"/>
    </row>
    <row r="10" spans="2:18" x14ac:dyDescent="0.25">
      <c r="B10" s="9">
        <v>6</v>
      </c>
      <c r="D10" s="53" t="s">
        <v>601</v>
      </c>
      <c r="E10" s="103" t="s">
        <v>167</v>
      </c>
      <c r="F10" s="103"/>
      <c r="G10" s="103"/>
      <c r="H10" s="121">
        <v>41168</v>
      </c>
      <c r="I10" s="108"/>
      <c r="K10" s="9">
        <v>6</v>
      </c>
      <c r="M10" s="53" t="s">
        <v>606</v>
      </c>
      <c r="N10" s="103" t="s">
        <v>607</v>
      </c>
      <c r="O10" s="103"/>
      <c r="P10" s="103"/>
      <c r="Q10" s="118">
        <v>42120</v>
      </c>
      <c r="R10" s="103"/>
    </row>
    <row r="11" spans="2:18" x14ac:dyDescent="0.25">
      <c r="B11" s="9">
        <v>7</v>
      </c>
      <c r="D11" s="53" t="s">
        <v>603</v>
      </c>
      <c r="E11" s="103" t="s">
        <v>109</v>
      </c>
      <c r="F11" s="103"/>
      <c r="G11" s="103"/>
      <c r="H11" s="121">
        <v>41280</v>
      </c>
      <c r="I11" s="108"/>
      <c r="K11" s="9">
        <v>7</v>
      </c>
      <c r="M11" s="53" t="s">
        <v>568</v>
      </c>
      <c r="N11" s="103" t="s">
        <v>169</v>
      </c>
      <c r="O11" s="103"/>
      <c r="P11" s="103"/>
      <c r="Q11" s="118">
        <v>41658</v>
      </c>
      <c r="R11" s="103"/>
    </row>
    <row r="12" spans="2:18" x14ac:dyDescent="0.25">
      <c r="B12" s="9">
        <v>8</v>
      </c>
      <c r="D12" s="53" t="s">
        <v>603</v>
      </c>
      <c r="E12" s="103" t="s">
        <v>408</v>
      </c>
      <c r="F12" s="103"/>
      <c r="G12" s="103"/>
      <c r="H12" s="118">
        <v>44640</v>
      </c>
      <c r="I12" s="103"/>
      <c r="K12" s="9">
        <v>8</v>
      </c>
      <c r="M12" s="53" t="s">
        <v>568</v>
      </c>
      <c r="N12" s="103" t="s">
        <v>404</v>
      </c>
      <c r="O12" s="103"/>
      <c r="P12" s="103"/>
      <c r="Q12" s="118">
        <v>42722</v>
      </c>
      <c r="R12" s="103"/>
    </row>
    <row r="13" spans="2:18" x14ac:dyDescent="0.25">
      <c r="B13" s="9">
        <v>9</v>
      </c>
      <c r="D13" s="53" t="s">
        <v>614</v>
      </c>
      <c r="E13" s="103" t="s">
        <v>391</v>
      </c>
      <c r="F13" s="103"/>
      <c r="G13" s="103"/>
      <c r="H13" s="118">
        <v>44597</v>
      </c>
      <c r="I13" s="103"/>
      <c r="K13" s="9">
        <v>9</v>
      </c>
      <c r="M13" s="53" t="s">
        <v>568</v>
      </c>
      <c r="N13" s="103" t="s">
        <v>390</v>
      </c>
      <c r="O13" s="103"/>
      <c r="P13" s="103"/>
      <c r="Q13" s="118">
        <v>44597</v>
      </c>
      <c r="R13" s="103"/>
    </row>
    <row r="14" spans="2:18" x14ac:dyDescent="0.25">
      <c r="B14" s="9">
        <v>10</v>
      </c>
      <c r="D14" s="53" t="s">
        <v>611</v>
      </c>
      <c r="E14" s="103" t="s">
        <v>310</v>
      </c>
      <c r="F14" s="103"/>
      <c r="G14" s="103"/>
      <c r="H14" s="118">
        <v>43527</v>
      </c>
      <c r="I14" s="103"/>
      <c r="K14" s="9">
        <v>10</v>
      </c>
      <c r="M14" s="53" t="s">
        <v>502</v>
      </c>
      <c r="N14" s="103" t="s">
        <v>233</v>
      </c>
      <c r="O14" s="103"/>
      <c r="P14" s="103"/>
      <c r="Q14" s="118">
        <v>43037</v>
      </c>
      <c r="R14" s="103"/>
    </row>
    <row r="15" spans="2:18" x14ac:dyDescent="0.25">
      <c r="D15" s="53" t="s">
        <v>612</v>
      </c>
      <c r="E15" s="103" t="s">
        <v>613</v>
      </c>
      <c r="F15" s="103"/>
      <c r="G15" s="103"/>
      <c r="H15" s="118" t="s">
        <v>1726</v>
      </c>
      <c r="I15" s="103"/>
      <c r="M15" s="53"/>
      <c r="N15" s="41"/>
      <c r="O15" s="41"/>
      <c r="P15" s="41"/>
      <c r="Q15" s="49"/>
      <c r="R15" s="41"/>
    </row>
    <row r="16" spans="2:18" x14ac:dyDescent="0.25">
      <c r="D16" s="53" t="s">
        <v>612</v>
      </c>
      <c r="E16" s="103" t="s">
        <v>1724</v>
      </c>
      <c r="F16" s="103"/>
      <c r="G16" s="103"/>
      <c r="H16" s="118" t="s">
        <v>1725</v>
      </c>
      <c r="I16" s="103"/>
      <c r="M16" s="37"/>
      <c r="N16" s="41"/>
      <c r="O16" s="41"/>
      <c r="P16" s="41"/>
      <c r="Q16" s="41"/>
      <c r="R16" s="41"/>
    </row>
    <row r="17" spans="2:18" x14ac:dyDescent="0.25">
      <c r="D17" s="53" t="s">
        <v>602</v>
      </c>
      <c r="E17" s="103" t="s">
        <v>112</v>
      </c>
      <c r="F17" s="103"/>
      <c r="G17" s="103"/>
      <c r="H17" s="121" t="s">
        <v>1727</v>
      </c>
      <c r="I17" s="108"/>
      <c r="M17" s="150" t="s">
        <v>698</v>
      </c>
      <c r="N17" s="150"/>
      <c r="O17" s="151"/>
      <c r="R17" s="41"/>
    </row>
    <row r="18" spans="2:18" x14ac:dyDescent="0.25">
      <c r="D18" s="53" t="s">
        <v>602</v>
      </c>
      <c r="E18" s="103" t="s">
        <v>350</v>
      </c>
      <c r="F18" s="103"/>
      <c r="G18" s="103"/>
      <c r="H18" s="118">
        <v>41685</v>
      </c>
      <c r="I18" s="103"/>
      <c r="M18" s="152" t="s">
        <v>518</v>
      </c>
      <c r="N18" s="152"/>
      <c r="O18" s="101" t="s">
        <v>519</v>
      </c>
      <c r="P18" s="101"/>
      <c r="Q18" s="101"/>
    </row>
    <row r="19" spans="2:18" x14ac:dyDescent="0.25">
      <c r="D19" s="53" t="s">
        <v>894</v>
      </c>
      <c r="E19" s="103" t="s">
        <v>405</v>
      </c>
      <c r="F19" s="103"/>
      <c r="G19" s="103"/>
      <c r="H19" s="118">
        <v>44863</v>
      </c>
      <c r="I19" s="103"/>
      <c r="K19" s="9">
        <v>1</v>
      </c>
      <c r="M19" s="119">
        <v>8</v>
      </c>
      <c r="N19" s="119"/>
      <c r="O19" s="103" t="s">
        <v>711</v>
      </c>
      <c r="P19" s="103"/>
      <c r="Q19" s="103"/>
    </row>
    <row r="20" spans="2:18" x14ac:dyDescent="0.25">
      <c r="D20" s="37"/>
      <c r="E20" s="41"/>
      <c r="F20" s="41"/>
      <c r="G20" s="41"/>
      <c r="H20" s="41"/>
      <c r="I20" s="41"/>
      <c r="K20" s="9">
        <v>2</v>
      </c>
      <c r="M20" s="119">
        <v>7</v>
      </c>
      <c r="N20" s="119"/>
      <c r="O20" s="103" t="s">
        <v>716</v>
      </c>
      <c r="P20" s="103"/>
      <c r="Q20" s="103"/>
    </row>
    <row r="21" spans="2:18" x14ac:dyDescent="0.25">
      <c r="K21" s="9">
        <v>3</v>
      </c>
      <c r="M21" s="119">
        <v>7</v>
      </c>
      <c r="N21" s="119"/>
      <c r="O21" s="103" t="s">
        <v>1514</v>
      </c>
      <c r="P21" s="103"/>
      <c r="Q21" s="103"/>
    </row>
    <row r="22" spans="2:18" x14ac:dyDescent="0.25">
      <c r="D22" s="151" t="s">
        <v>697</v>
      </c>
      <c r="E22" s="151"/>
      <c r="F22" s="151"/>
      <c r="K22" s="9">
        <v>4</v>
      </c>
      <c r="M22" s="119">
        <v>6</v>
      </c>
      <c r="N22" s="119"/>
      <c r="O22" s="103" t="s">
        <v>712</v>
      </c>
      <c r="P22" s="103"/>
      <c r="Q22" s="103"/>
    </row>
    <row r="23" spans="2:18" x14ac:dyDescent="0.25">
      <c r="D23" s="152" t="s">
        <v>518</v>
      </c>
      <c r="E23" s="152"/>
      <c r="F23" s="101" t="s">
        <v>519</v>
      </c>
      <c r="G23" s="101"/>
      <c r="H23" s="101"/>
      <c r="K23" s="9">
        <v>5</v>
      </c>
      <c r="M23" s="119">
        <v>5</v>
      </c>
      <c r="N23" s="119"/>
      <c r="O23" s="103" t="s">
        <v>714</v>
      </c>
      <c r="P23" s="103"/>
      <c r="Q23" s="103"/>
    </row>
    <row r="24" spans="2:18" x14ac:dyDescent="0.25">
      <c r="B24" s="9">
        <v>1</v>
      </c>
      <c r="D24" s="119">
        <v>5</v>
      </c>
      <c r="E24" s="119"/>
      <c r="F24" s="103" t="s">
        <v>559</v>
      </c>
      <c r="G24" s="103"/>
      <c r="H24" s="103"/>
      <c r="K24" s="9">
        <v>6</v>
      </c>
      <c r="M24" s="119">
        <v>5</v>
      </c>
      <c r="N24" s="119"/>
      <c r="O24" s="103" t="s">
        <v>715</v>
      </c>
      <c r="P24" s="103"/>
      <c r="Q24" s="103"/>
    </row>
    <row r="25" spans="2:18" x14ac:dyDescent="0.25">
      <c r="B25" s="9">
        <v>2</v>
      </c>
      <c r="D25" s="119">
        <v>5</v>
      </c>
      <c r="E25" s="119"/>
      <c r="F25" s="108" t="s">
        <v>1036</v>
      </c>
      <c r="G25" s="108"/>
      <c r="H25" s="108"/>
      <c r="K25" s="9">
        <v>7</v>
      </c>
      <c r="M25" s="119">
        <v>4</v>
      </c>
      <c r="N25" s="119"/>
      <c r="O25" s="103" t="s">
        <v>707</v>
      </c>
      <c r="P25" s="103"/>
      <c r="Q25" s="103"/>
    </row>
    <row r="26" spans="2:18" x14ac:dyDescent="0.25">
      <c r="B26" s="9">
        <v>3</v>
      </c>
      <c r="D26" s="119">
        <v>4</v>
      </c>
      <c r="E26" s="119"/>
      <c r="F26" s="103" t="s">
        <v>557</v>
      </c>
      <c r="G26" s="103"/>
      <c r="H26" s="103"/>
      <c r="K26" s="9">
        <v>8</v>
      </c>
      <c r="M26" s="119">
        <v>4</v>
      </c>
      <c r="N26" s="119"/>
      <c r="O26" s="103" t="s">
        <v>708</v>
      </c>
      <c r="P26" s="103"/>
      <c r="Q26" s="103"/>
    </row>
    <row r="27" spans="2:18" x14ac:dyDescent="0.25">
      <c r="B27" s="9">
        <v>4</v>
      </c>
      <c r="D27" s="119">
        <v>4</v>
      </c>
      <c r="E27" s="119"/>
      <c r="F27" s="103" t="s">
        <v>1728</v>
      </c>
      <c r="G27" s="103"/>
      <c r="H27" s="103"/>
      <c r="K27" s="9">
        <v>9</v>
      </c>
      <c r="M27" s="119">
        <v>4</v>
      </c>
      <c r="N27" s="119"/>
      <c r="O27" s="103" t="s">
        <v>710</v>
      </c>
      <c r="P27" s="103"/>
      <c r="Q27" s="103"/>
    </row>
    <row r="28" spans="2:18" x14ac:dyDescent="0.25">
      <c r="B28" s="9">
        <v>5</v>
      </c>
      <c r="D28" s="119">
        <v>3</v>
      </c>
      <c r="E28" s="119"/>
      <c r="F28" s="103" t="s">
        <v>553</v>
      </c>
      <c r="G28" s="103"/>
      <c r="H28" s="103"/>
      <c r="K28" s="9">
        <v>10</v>
      </c>
      <c r="M28" s="119">
        <v>4</v>
      </c>
      <c r="N28" s="119"/>
      <c r="O28" s="103" t="s">
        <v>713</v>
      </c>
      <c r="P28" s="103"/>
      <c r="Q28" s="103"/>
    </row>
    <row r="29" spans="2:18" x14ac:dyDescent="0.25">
      <c r="B29" s="9">
        <v>6</v>
      </c>
      <c r="D29" s="119">
        <v>3</v>
      </c>
      <c r="E29" s="119"/>
      <c r="F29" s="103" t="s">
        <v>709</v>
      </c>
      <c r="G29" s="103"/>
      <c r="H29" s="103"/>
      <c r="M29" s="119">
        <v>4</v>
      </c>
      <c r="N29" s="119"/>
      <c r="O29" s="103" t="s">
        <v>1556</v>
      </c>
      <c r="P29" s="103"/>
      <c r="Q29" s="103"/>
    </row>
    <row r="30" spans="2:18" x14ac:dyDescent="0.25">
      <c r="B30" s="9">
        <v>7</v>
      </c>
      <c r="D30" s="119">
        <v>3</v>
      </c>
      <c r="E30" s="119"/>
      <c r="F30" s="103" t="s">
        <v>558</v>
      </c>
      <c r="G30" s="103"/>
      <c r="H30" s="103"/>
      <c r="M30" s="60"/>
      <c r="N30" s="60"/>
      <c r="O30" s="41"/>
      <c r="P30" s="41"/>
      <c r="Q30" s="41"/>
    </row>
    <row r="31" spans="2:18" x14ac:dyDescent="0.25">
      <c r="B31" s="9">
        <v>8</v>
      </c>
      <c r="D31" s="119">
        <v>3</v>
      </c>
      <c r="E31" s="119"/>
      <c r="F31" s="103" t="s">
        <v>566</v>
      </c>
      <c r="G31" s="103"/>
      <c r="H31" s="103"/>
    </row>
    <row r="32" spans="2:18" x14ac:dyDescent="0.25">
      <c r="B32" s="9">
        <v>9</v>
      </c>
      <c r="D32" s="119">
        <v>3</v>
      </c>
      <c r="E32" s="119"/>
      <c r="F32" s="103" t="s">
        <v>717</v>
      </c>
      <c r="G32" s="103"/>
      <c r="H32" s="103"/>
      <c r="M32" s="101" t="s">
        <v>724</v>
      </c>
      <c r="N32" s="132"/>
      <c r="O32" s="132"/>
      <c r="P32" s="132"/>
    </row>
    <row r="33" spans="2:18" x14ac:dyDescent="0.25">
      <c r="B33" s="9">
        <v>10</v>
      </c>
      <c r="D33" s="119">
        <v>3</v>
      </c>
      <c r="E33" s="119"/>
      <c r="F33" s="118" t="s">
        <v>1094</v>
      </c>
      <c r="G33" s="103"/>
      <c r="H33" s="103"/>
      <c r="M33" s="32" t="s">
        <v>98</v>
      </c>
      <c r="N33" s="120" t="s">
        <v>165</v>
      </c>
      <c r="O33" s="120"/>
      <c r="P33" s="120"/>
      <c r="Q33" s="101" t="s">
        <v>267</v>
      </c>
      <c r="R33" s="101"/>
    </row>
    <row r="34" spans="2:18" x14ac:dyDescent="0.25">
      <c r="D34" s="119">
        <v>3</v>
      </c>
      <c r="E34" s="119"/>
      <c r="F34" s="118" t="s">
        <v>1177</v>
      </c>
      <c r="G34" s="103"/>
      <c r="H34" s="103"/>
      <c r="K34" s="9">
        <v>1</v>
      </c>
      <c r="M34" s="56">
        <v>17</v>
      </c>
      <c r="N34" s="103" t="s">
        <v>736</v>
      </c>
      <c r="O34" s="103"/>
      <c r="P34" s="103"/>
      <c r="Q34" s="118">
        <v>41377</v>
      </c>
      <c r="R34" s="103"/>
    </row>
    <row r="35" spans="2:18" x14ac:dyDescent="0.25">
      <c r="D35" s="119">
        <v>3</v>
      </c>
      <c r="E35" s="119"/>
      <c r="F35" s="118" t="s">
        <v>1370</v>
      </c>
      <c r="G35" s="103"/>
      <c r="H35" s="103"/>
      <c r="K35" s="9">
        <v>2</v>
      </c>
      <c r="M35" s="56">
        <v>17</v>
      </c>
      <c r="N35" s="103" t="s">
        <v>1491</v>
      </c>
      <c r="O35" s="103"/>
      <c r="P35" s="103"/>
      <c r="Q35" s="118" t="s">
        <v>1490</v>
      </c>
      <c r="R35" s="103"/>
    </row>
    <row r="36" spans="2:18" x14ac:dyDescent="0.25">
      <c r="K36" s="9">
        <v>3</v>
      </c>
      <c r="M36" s="56">
        <v>16</v>
      </c>
      <c r="N36" s="103" t="s">
        <v>742</v>
      </c>
      <c r="O36" s="103"/>
      <c r="P36" s="103"/>
      <c r="Q36" s="118">
        <v>43219</v>
      </c>
      <c r="R36" s="103"/>
    </row>
    <row r="37" spans="2:18" x14ac:dyDescent="0.25">
      <c r="K37" s="9">
        <v>4</v>
      </c>
      <c r="M37" s="56">
        <v>14</v>
      </c>
      <c r="N37" s="103" t="s">
        <v>735</v>
      </c>
      <c r="O37" s="103"/>
      <c r="P37" s="103"/>
      <c r="Q37" s="118">
        <v>41280</v>
      </c>
      <c r="R37" s="103"/>
    </row>
    <row r="38" spans="2:18" x14ac:dyDescent="0.25">
      <c r="D38" s="101" t="s">
        <v>723</v>
      </c>
      <c r="E38" s="132"/>
      <c r="F38" s="132"/>
      <c r="G38" s="132"/>
      <c r="K38" s="9">
        <v>5</v>
      </c>
      <c r="M38" s="56">
        <v>14</v>
      </c>
      <c r="N38" s="103" t="s">
        <v>1219</v>
      </c>
      <c r="O38" s="103"/>
      <c r="P38" s="103"/>
      <c r="Q38" s="118" t="s">
        <v>1216</v>
      </c>
      <c r="R38" s="103"/>
    </row>
    <row r="39" spans="2:18" x14ac:dyDescent="0.25">
      <c r="D39" s="32" t="s">
        <v>98</v>
      </c>
      <c r="E39" s="120" t="s">
        <v>165</v>
      </c>
      <c r="F39" s="120"/>
      <c r="G39" s="120"/>
      <c r="H39" s="101" t="s">
        <v>267</v>
      </c>
      <c r="I39" s="101"/>
      <c r="K39" s="9">
        <v>6</v>
      </c>
      <c r="M39" s="56">
        <v>13</v>
      </c>
      <c r="N39" s="103" t="s">
        <v>741</v>
      </c>
      <c r="O39" s="103"/>
      <c r="P39" s="103"/>
      <c r="Q39" s="118">
        <v>43037</v>
      </c>
      <c r="R39" s="103"/>
    </row>
    <row r="40" spans="2:18" x14ac:dyDescent="0.25">
      <c r="B40" s="9">
        <v>1</v>
      </c>
      <c r="D40" s="56">
        <v>18</v>
      </c>
      <c r="E40" s="103" t="s">
        <v>334</v>
      </c>
      <c r="F40" s="103"/>
      <c r="G40" s="103"/>
      <c r="H40" s="118">
        <v>42434</v>
      </c>
      <c r="I40" s="103"/>
      <c r="K40" s="9">
        <v>7</v>
      </c>
      <c r="M40" s="56">
        <v>12</v>
      </c>
      <c r="N40" s="103" t="s">
        <v>737</v>
      </c>
      <c r="O40" s="103"/>
      <c r="P40" s="103"/>
      <c r="Q40" s="118">
        <v>41658</v>
      </c>
      <c r="R40" s="103"/>
    </row>
    <row r="41" spans="2:18" x14ac:dyDescent="0.25">
      <c r="B41" s="9">
        <v>2</v>
      </c>
      <c r="D41" s="56">
        <v>15</v>
      </c>
      <c r="E41" s="103" t="s">
        <v>386</v>
      </c>
      <c r="F41" s="103"/>
      <c r="G41" s="103"/>
      <c r="H41" s="118">
        <v>43856</v>
      </c>
      <c r="I41" s="103"/>
      <c r="K41" s="9">
        <v>8</v>
      </c>
      <c r="M41" s="56">
        <v>12</v>
      </c>
      <c r="N41" s="103" t="s">
        <v>738</v>
      </c>
      <c r="O41" s="103"/>
      <c r="P41" s="103"/>
      <c r="Q41" s="118">
        <v>42120</v>
      </c>
      <c r="R41" s="103"/>
    </row>
    <row r="42" spans="2:18" x14ac:dyDescent="0.25">
      <c r="B42" s="9">
        <v>3</v>
      </c>
      <c r="D42" s="31">
        <v>13</v>
      </c>
      <c r="E42" s="108" t="s">
        <v>768</v>
      </c>
      <c r="F42" s="108"/>
      <c r="G42" s="108"/>
      <c r="H42" s="121">
        <v>44843</v>
      </c>
      <c r="I42" s="108"/>
      <c r="K42" s="9">
        <v>9</v>
      </c>
      <c r="M42" s="56">
        <v>12</v>
      </c>
      <c r="N42" s="103" t="s">
        <v>740</v>
      </c>
      <c r="O42" s="103"/>
      <c r="P42" s="103"/>
      <c r="Q42" s="118">
        <v>42722</v>
      </c>
      <c r="R42" s="103"/>
    </row>
    <row r="43" spans="2:18" x14ac:dyDescent="0.25">
      <c r="B43" s="9">
        <v>4</v>
      </c>
      <c r="D43" s="56">
        <v>12</v>
      </c>
      <c r="E43" s="103" t="s">
        <v>1091</v>
      </c>
      <c r="F43" s="103"/>
      <c r="G43" s="103"/>
      <c r="H43" s="118">
        <v>45010</v>
      </c>
      <c r="I43" s="103"/>
      <c r="K43" s="9">
        <v>10</v>
      </c>
      <c r="M43" s="56">
        <v>12</v>
      </c>
      <c r="N43" s="103" t="s">
        <v>744</v>
      </c>
      <c r="O43" s="103"/>
      <c r="P43" s="103"/>
      <c r="Q43" s="118">
        <v>44597</v>
      </c>
      <c r="R43" s="103"/>
    </row>
    <row r="44" spans="2:18" x14ac:dyDescent="0.25">
      <c r="B44" s="9">
        <v>5</v>
      </c>
      <c r="D44" s="56">
        <v>11</v>
      </c>
      <c r="E44" s="103" t="s">
        <v>696</v>
      </c>
      <c r="F44" s="103"/>
      <c r="G44" s="103"/>
      <c r="H44" s="118">
        <v>44597</v>
      </c>
      <c r="I44" s="103"/>
      <c r="M44" s="56"/>
      <c r="N44" s="103"/>
      <c r="O44" s="103"/>
      <c r="P44" s="103"/>
      <c r="Q44" s="118"/>
      <c r="R44" s="103"/>
    </row>
    <row r="45" spans="2:18" x14ac:dyDescent="0.25">
      <c r="B45" s="9">
        <v>6</v>
      </c>
      <c r="D45" s="56">
        <v>10</v>
      </c>
      <c r="E45" s="103" t="s">
        <v>335</v>
      </c>
      <c r="F45" s="103"/>
      <c r="G45" s="103"/>
      <c r="H45" s="118">
        <v>42092</v>
      </c>
      <c r="I45" s="103"/>
      <c r="M45" s="56"/>
      <c r="N45" s="103"/>
      <c r="O45" s="103"/>
      <c r="P45" s="103"/>
      <c r="Q45" s="118"/>
      <c r="R45" s="103"/>
    </row>
    <row r="46" spans="2:18" x14ac:dyDescent="0.25">
      <c r="B46" s="9">
        <v>7</v>
      </c>
      <c r="D46" s="56">
        <v>10</v>
      </c>
      <c r="E46" s="103" t="s">
        <v>333</v>
      </c>
      <c r="F46" s="103"/>
      <c r="G46" s="103"/>
      <c r="H46" s="118">
        <v>43527</v>
      </c>
      <c r="I46" s="103"/>
    </row>
    <row r="47" spans="2:18" x14ac:dyDescent="0.25">
      <c r="B47" s="9">
        <v>8</v>
      </c>
      <c r="D47" s="56">
        <v>10</v>
      </c>
      <c r="E47" s="103" t="s">
        <v>1241</v>
      </c>
      <c r="F47" s="103"/>
      <c r="G47" s="103"/>
      <c r="H47" s="118" t="s">
        <v>1236</v>
      </c>
      <c r="I47" s="103"/>
    </row>
    <row r="48" spans="2:18" x14ac:dyDescent="0.25">
      <c r="B48" s="9">
        <v>9</v>
      </c>
      <c r="D48" s="56">
        <v>10</v>
      </c>
      <c r="E48" s="103" t="s">
        <v>1238</v>
      </c>
      <c r="F48" s="103"/>
      <c r="G48" s="103"/>
      <c r="H48" s="118" t="s">
        <v>1236</v>
      </c>
      <c r="I48" s="103"/>
      <c r="M48" s="109" t="s">
        <v>660</v>
      </c>
      <c r="N48" s="109"/>
      <c r="O48" s="109"/>
    </row>
    <row r="49" spans="2:18" x14ac:dyDescent="0.25">
      <c r="B49" s="9">
        <v>10</v>
      </c>
      <c r="D49" s="56">
        <v>9</v>
      </c>
      <c r="E49" s="103" t="s">
        <v>491</v>
      </c>
      <c r="F49" s="103"/>
      <c r="G49" s="103"/>
      <c r="H49" s="118">
        <v>41168</v>
      </c>
      <c r="I49" s="103"/>
      <c r="M49" s="32" t="s">
        <v>266</v>
      </c>
      <c r="N49" s="112" t="s">
        <v>165</v>
      </c>
      <c r="O49" s="113"/>
      <c r="P49" s="114"/>
      <c r="Q49" s="101" t="s">
        <v>267</v>
      </c>
      <c r="R49" s="101"/>
    </row>
    <row r="50" spans="2:18" x14ac:dyDescent="0.25">
      <c r="D50" s="56">
        <v>9</v>
      </c>
      <c r="E50" s="103" t="s">
        <v>499</v>
      </c>
      <c r="F50" s="103"/>
      <c r="G50" s="103"/>
      <c r="H50" s="118">
        <v>41762</v>
      </c>
      <c r="I50" s="103"/>
      <c r="K50" s="9">
        <v>1</v>
      </c>
      <c r="M50" s="53" t="s">
        <v>1240</v>
      </c>
      <c r="N50" s="103" t="s">
        <v>1241</v>
      </c>
      <c r="O50" s="103"/>
      <c r="P50" s="103"/>
      <c r="Q50" s="118" t="s">
        <v>1236</v>
      </c>
      <c r="R50" s="103"/>
    </row>
    <row r="51" spans="2:18" x14ac:dyDescent="0.25">
      <c r="D51" s="56">
        <v>9</v>
      </c>
      <c r="E51" s="103" t="s">
        <v>339</v>
      </c>
      <c r="F51" s="103"/>
      <c r="G51" s="103"/>
      <c r="H51" s="118">
        <v>42351</v>
      </c>
      <c r="I51" s="103"/>
      <c r="K51" s="9">
        <v>2</v>
      </c>
      <c r="M51" s="53" t="s">
        <v>630</v>
      </c>
      <c r="N51" s="103" t="s">
        <v>996</v>
      </c>
      <c r="O51" s="103"/>
      <c r="P51" s="103"/>
      <c r="Q51" s="118">
        <v>44843</v>
      </c>
      <c r="R51" s="103"/>
    </row>
    <row r="52" spans="2:18" x14ac:dyDescent="0.25">
      <c r="D52" s="56">
        <v>9</v>
      </c>
      <c r="E52" s="103" t="s">
        <v>739</v>
      </c>
      <c r="F52" s="103"/>
      <c r="G52" s="103"/>
      <c r="H52" s="118">
        <v>42378</v>
      </c>
      <c r="I52" s="103"/>
      <c r="K52" s="9">
        <v>3</v>
      </c>
      <c r="M52" s="53" t="s">
        <v>1239</v>
      </c>
      <c r="N52" s="103" t="s">
        <v>946</v>
      </c>
      <c r="O52" s="103"/>
      <c r="P52" s="103"/>
      <c r="Q52" s="118">
        <v>41280</v>
      </c>
      <c r="R52" s="103"/>
    </row>
    <row r="53" spans="2:18" x14ac:dyDescent="0.25">
      <c r="D53" s="56">
        <v>9</v>
      </c>
      <c r="E53" s="103" t="s">
        <v>743</v>
      </c>
      <c r="F53" s="103"/>
      <c r="G53" s="103"/>
      <c r="H53" s="118">
        <v>43883</v>
      </c>
      <c r="I53" s="103"/>
      <c r="K53" s="9">
        <v>4</v>
      </c>
      <c r="M53" s="53" t="s">
        <v>1239</v>
      </c>
      <c r="N53" s="103" t="s">
        <v>1241</v>
      </c>
      <c r="O53" s="103"/>
      <c r="P53" s="103"/>
      <c r="Q53" s="118" t="s">
        <v>1236</v>
      </c>
      <c r="R53" s="103"/>
    </row>
    <row r="54" spans="2:18" x14ac:dyDescent="0.25">
      <c r="K54" s="9">
        <v>5</v>
      </c>
      <c r="M54" s="53" t="s">
        <v>888</v>
      </c>
      <c r="N54" s="103" t="s">
        <v>1052</v>
      </c>
      <c r="O54" s="103"/>
      <c r="P54" s="103"/>
      <c r="Q54" s="118">
        <v>44933</v>
      </c>
      <c r="R54" s="103"/>
    </row>
    <row r="55" spans="2:18" x14ac:dyDescent="0.25">
      <c r="K55" s="9">
        <v>6</v>
      </c>
      <c r="M55" s="53" t="s">
        <v>1492</v>
      </c>
      <c r="N55" s="103" t="s">
        <v>995</v>
      </c>
      <c r="O55" s="103"/>
      <c r="P55" s="103"/>
      <c r="Q55" s="118">
        <v>44640</v>
      </c>
      <c r="R55" s="103"/>
    </row>
    <row r="56" spans="2:18" x14ac:dyDescent="0.25">
      <c r="D56" s="109" t="s">
        <v>659</v>
      </c>
      <c r="E56" s="109"/>
      <c r="F56" s="109"/>
      <c r="K56" s="9">
        <v>7</v>
      </c>
      <c r="M56" s="53" t="s">
        <v>1053</v>
      </c>
      <c r="N56" s="103" t="s">
        <v>970</v>
      </c>
      <c r="O56" s="103"/>
      <c r="P56" s="103"/>
      <c r="Q56" s="118">
        <v>43016</v>
      </c>
      <c r="R56" s="103"/>
    </row>
    <row r="57" spans="2:18" x14ac:dyDescent="0.25">
      <c r="D57" s="32" t="s">
        <v>266</v>
      </c>
      <c r="E57" s="112" t="s">
        <v>165</v>
      </c>
      <c r="F57" s="113"/>
      <c r="G57" s="114"/>
      <c r="H57" s="101" t="s">
        <v>267</v>
      </c>
      <c r="I57" s="101"/>
      <c r="K57" s="9">
        <v>8</v>
      </c>
      <c r="M57" s="53" t="s">
        <v>1053</v>
      </c>
      <c r="N57" s="103" t="s">
        <v>1052</v>
      </c>
      <c r="O57" s="103"/>
      <c r="P57" s="103"/>
      <c r="Q57" s="118">
        <v>44933</v>
      </c>
      <c r="R57" s="103"/>
    </row>
    <row r="58" spans="2:18" x14ac:dyDescent="0.25">
      <c r="B58" s="9">
        <v>1</v>
      </c>
      <c r="D58" s="53" t="s">
        <v>1050</v>
      </c>
      <c r="E58" s="103" t="s">
        <v>499</v>
      </c>
      <c r="F58" s="103"/>
      <c r="G58" s="103"/>
      <c r="H58" s="118">
        <v>41762</v>
      </c>
      <c r="I58" s="103"/>
      <c r="K58" s="9">
        <v>9</v>
      </c>
      <c r="M58" s="53" t="s">
        <v>892</v>
      </c>
      <c r="N58" s="103" t="s">
        <v>996</v>
      </c>
      <c r="O58" s="103"/>
      <c r="P58" s="103"/>
      <c r="Q58" s="118">
        <v>44843</v>
      </c>
      <c r="R58" s="103"/>
    </row>
    <row r="59" spans="2:18" x14ac:dyDescent="0.25">
      <c r="B59" s="9">
        <v>2</v>
      </c>
      <c r="D59" s="53" t="s">
        <v>637</v>
      </c>
      <c r="E59" s="103" t="s">
        <v>996</v>
      </c>
      <c r="F59" s="103"/>
      <c r="G59" s="103"/>
      <c r="H59" s="118">
        <v>44843</v>
      </c>
      <c r="I59" s="103"/>
      <c r="K59" s="9">
        <v>10</v>
      </c>
      <c r="M59" s="53" t="s">
        <v>1493</v>
      </c>
      <c r="N59" s="103" t="s">
        <v>499</v>
      </c>
      <c r="O59" s="103"/>
      <c r="P59" s="103"/>
      <c r="Q59" s="118">
        <v>41762</v>
      </c>
      <c r="R59" s="118"/>
    </row>
    <row r="60" spans="2:18" x14ac:dyDescent="0.25">
      <c r="B60" s="9">
        <v>3</v>
      </c>
      <c r="D60" s="53" t="s">
        <v>503</v>
      </c>
      <c r="E60" s="103" t="s">
        <v>1237</v>
      </c>
      <c r="F60" s="103"/>
      <c r="G60" s="103"/>
      <c r="H60" s="118" t="s">
        <v>1236</v>
      </c>
      <c r="I60" s="103"/>
      <c r="M60" s="55"/>
      <c r="N60" s="41"/>
      <c r="O60" s="41"/>
      <c r="P60" s="41"/>
      <c r="Q60" s="41"/>
      <c r="R60" s="41"/>
    </row>
    <row r="61" spans="2:18" x14ac:dyDescent="0.25">
      <c r="B61" s="9">
        <v>4</v>
      </c>
      <c r="D61" s="53" t="s">
        <v>1220</v>
      </c>
      <c r="E61" s="103" t="s">
        <v>1034</v>
      </c>
      <c r="F61" s="103"/>
      <c r="G61" s="103"/>
      <c r="H61" s="118">
        <v>42378</v>
      </c>
      <c r="I61" s="103"/>
    </row>
    <row r="62" spans="2:18" x14ac:dyDescent="0.25">
      <c r="B62" s="9">
        <v>5</v>
      </c>
      <c r="D62" s="53" t="s">
        <v>1220</v>
      </c>
      <c r="E62" s="103" t="s">
        <v>1563</v>
      </c>
      <c r="F62" s="103"/>
      <c r="G62" s="103"/>
      <c r="H62" s="118" t="s">
        <v>1562</v>
      </c>
      <c r="I62" s="103"/>
      <c r="M62" s="109" t="s">
        <v>662</v>
      </c>
      <c r="N62" s="109"/>
      <c r="O62" s="109"/>
    </row>
    <row r="63" spans="2:18" x14ac:dyDescent="0.25">
      <c r="B63" s="9">
        <v>6</v>
      </c>
      <c r="D63" s="53" t="s">
        <v>653</v>
      </c>
      <c r="E63" s="108" t="s">
        <v>516</v>
      </c>
      <c r="F63" s="108"/>
      <c r="G63" s="108"/>
      <c r="H63" s="121">
        <v>43841</v>
      </c>
      <c r="I63" s="108"/>
      <c r="M63" s="32" t="s">
        <v>266</v>
      </c>
      <c r="N63" s="112" t="s">
        <v>165</v>
      </c>
      <c r="O63" s="113"/>
      <c r="P63" s="114"/>
      <c r="Q63" s="101" t="s">
        <v>267</v>
      </c>
      <c r="R63" s="101"/>
    </row>
    <row r="64" spans="2:18" x14ac:dyDescent="0.25">
      <c r="B64" s="9">
        <v>7</v>
      </c>
      <c r="D64" s="53" t="s">
        <v>502</v>
      </c>
      <c r="E64" s="103" t="s">
        <v>335</v>
      </c>
      <c r="F64" s="103"/>
      <c r="G64" s="103"/>
      <c r="H64" s="118">
        <v>42092</v>
      </c>
      <c r="I64" s="103"/>
      <c r="K64" s="9">
        <v>1</v>
      </c>
      <c r="M64" s="53" t="s">
        <v>626</v>
      </c>
      <c r="N64" s="103" t="s">
        <v>991</v>
      </c>
      <c r="O64" s="103"/>
      <c r="P64" s="103"/>
      <c r="Q64" s="118">
        <v>44597</v>
      </c>
      <c r="R64" s="103"/>
    </row>
    <row r="65" spans="2:18" x14ac:dyDescent="0.25">
      <c r="B65" s="9">
        <v>8</v>
      </c>
      <c r="D65" s="53" t="s">
        <v>687</v>
      </c>
      <c r="E65" s="103" t="s">
        <v>950</v>
      </c>
      <c r="F65" s="103"/>
      <c r="G65" s="103"/>
      <c r="H65" s="118">
        <v>41671</v>
      </c>
      <c r="I65" s="103"/>
      <c r="K65" s="9">
        <v>2</v>
      </c>
      <c r="M65" s="53" t="s">
        <v>883</v>
      </c>
      <c r="N65" s="103" t="s">
        <v>334</v>
      </c>
      <c r="O65" s="103"/>
      <c r="P65" s="103"/>
      <c r="Q65" s="118">
        <v>42434</v>
      </c>
      <c r="R65" s="103"/>
    </row>
    <row r="66" spans="2:18" x14ac:dyDescent="0.25">
      <c r="B66" s="9">
        <v>9</v>
      </c>
      <c r="D66" s="53" t="s">
        <v>687</v>
      </c>
      <c r="E66" s="103" t="s">
        <v>951</v>
      </c>
      <c r="F66" s="103"/>
      <c r="G66" s="103"/>
      <c r="H66" s="118">
        <v>41762</v>
      </c>
      <c r="I66" s="103"/>
      <c r="K66" s="9">
        <v>3</v>
      </c>
      <c r="M66" s="53" t="s">
        <v>1242</v>
      </c>
      <c r="N66" s="103" t="s">
        <v>1241</v>
      </c>
      <c r="O66" s="103"/>
      <c r="P66" s="103"/>
      <c r="Q66" s="118" t="s">
        <v>1236</v>
      </c>
      <c r="R66" s="103"/>
    </row>
    <row r="67" spans="2:18" x14ac:dyDescent="0.25">
      <c r="B67" s="9">
        <v>10</v>
      </c>
      <c r="D67" s="53" t="s">
        <v>687</v>
      </c>
      <c r="E67" s="103" t="s">
        <v>970</v>
      </c>
      <c r="F67" s="103"/>
      <c r="G67" s="103"/>
      <c r="H67" s="118">
        <v>43016</v>
      </c>
      <c r="I67" s="103"/>
      <c r="K67" s="9">
        <v>4</v>
      </c>
      <c r="M67" s="53" t="s">
        <v>1101</v>
      </c>
      <c r="N67" s="103" t="s">
        <v>1091</v>
      </c>
      <c r="O67" s="103"/>
      <c r="P67" s="103"/>
      <c r="Q67" s="118">
        <v>45010</v>
      </c>
      <c r="R67" s="103"/>
    </row>
    <row r="68" spans="2:18" x14ac:dyDescent="0.25">
      <c r="D68" s="53" t="s">
        <v>687</v>
      </c>
      <c r="E68" s="108" t="s">
        <v>688</v>
      </c>
      <c r="F68" s="108"/>
      <c r="G68" s="108"/>
      <c r="H68" s="121">
        <v>43372</v>
      </c>
      <c r="I68" s="108"/>
      <c r="K68" s="9">
        <v>5</v>
      </c>
      <c r="M68" s="53" t="s">
        <v>682</v>
      </c>
      <c r="N68" s="103" t="s">
        <v>1241</v>
      </c>
      <c r="O68" s="103"/>
      <c r="P68" s="103"/>
      <c r="Q68" s="118" t="s">
        <v>1236</v>
      </c>
      <c r="R68" s="103"/>
    </row>
    <row r="69" spans="2:18" x14ac:dyDescent="0.25">
      <c r="K69" s="9">
        <v>6</v>
      </c>
      <c r="M69" s="53" t="s">
        <v>633</v>
      </c>
      <c r="N69" s="103" t="s">
        <v>1091</v>
      </c>
      <c r="O69" s="103"/>
      <c r="P69" s="103"/>
      <c r="Q69" s="118">
        <v>45010</v>
      </c>
      <c r="R69" s="103"/>
    </row>
    <row r="70" spans="2:18" x14ac:dyDescent="0.25">
      <c r="K70" s="9">
        <v>7</v>
      </c>
      <c r="M70" s="53" t="s">
        <v>994</v>
      </c>
      <c r="N70" s="103" t="s">
        <v>991</v>
      </c>
      <c r="O70" s="103"/>
      <c r="P70" s="103"/>
      <c r="Q70" s="118">
        <v>44597</v>
      </c>
      <c r="R70" s="103"/>
    </row>
    <row r="71" spans="2:18" x14ac:dyDescent="0.25">
      <c r="D71" s="109" t="s">
        <v>661</v>
      </c>
      <c r="E71" s="109"/>
      <c r="F71" s="109"/>
      <c r="K71" s="9">
        <v>8</v>
      </c>
      <c r="M71" s="53" t="s">
        <v>1243</v>
      </c>
      <c r="N71" s="103" t="s">
        <v>996</v>
      </c>
      <c r="O71" s="103"/>
      <c r="P71" s="103"/>
      <c r="Q71" s="118">
        <v>44843</v>
      </c>
      <c r="R71" s="103"/>
    </row>
    <row r="72" spans="2:18" x14ac:dyDescent="0.25">
      <c r="D72" s="32" t="s">
        <v>266</v>
      </c>
      <c r="E72" s="112" t="s">
        <v>165</v>
      </c>
      <c r="F72" s="113"/>
      <c r="G72" s="114"/>
      <c r="H72" s="101" t="s">
        <v>267</v>
      </c>
      <c r="I72" s="101"/>
      <c r="K72" s="9">
        <v>9</v>
      </c>
      <c r="M72" s="53" t="s">
        <v>999</v>
      </c>
      <c r="N72" s="103" t="s">
        <v>996</v>
      </c>
      <c r="O72" s="103"/>
      <c r="P72" s="103"/>
      <c r="Q72" s="118">
        <v>44843</v>
      </c>
      <c r="R72" s="103"/>
    </row>
    <row r="73" spans="2:18" x14ac:dyDescent="0.25">
      <c r="B73" s="9">
        <v>1</v>
      </c>
      <c r="D73" s="53" t="s">
        <v>681</v>
      </c>
      <c r="E73" s="103" t="s">
        <v>1241</v>
      </c>
      <c r="F73" s="103"/>
      <c r="G73" s="103"/>
      <c r="H73" s="118" t="s">
        <v>1236</v>
      </c>
      <c r="I73" s="103"/>
      <c r="K73" s="9">
        <v>10</v>
      </c>
      <c r="M73" s="53" t="s">
        <v>965</v>
      </c>
      <c r="N73" s="103" t="s">
        <v>334</v>
      </c>
      <c r="O73" s="103"/>
      <c r="P73" s="103"/>
      <c r="Q73" s="118">
        <v>42434</v>
      </c>
      <c r="R73" s="103"/>
    </row>
    <row r="74" spans="2:18" x14ac:dyDescent="0.25">
      <c r="B74" s="9">
        <v>2</v>
      </c>
      <c r="D74" s="53" t="s">
        <v>1245</v>
      </c>
      <c r="E74" s="103" t="s">
        <v>986</v>
      </c>
      <c r="F74" s="103"/>
      <c r="G74" s="103"/>
      <c r="H74" s="118" t="s">
        <v>1735</v>
      </c>
      <c r="I74" s="103"/>
    </row>
    <row r="75" spans="2:18" x14ac:dyDescent="0.25">
      <c r="B75" s="9">
        <v>3</v>
      </c>
      <c r="D75" s="53" t="s">
        <v>992</v>
      </c>
      <c r="E75" s="103" t="s">
        <v>991</v>
      </c>
      <c r="F75" s="103"/>
      <c r="G75" s="103"/>
      <c r="H75" s="118" t="s">
        <v>1733</v>
      </c>
      <c r="I75" s="103"/>
    </row>
    <row r="76" spans="2:18" x14ac:dyDescent="0.25">
      <c r="B76" s="9">
        <v>4</v>
      </c>
      <c r="D76" s="53" t="s">
        <v>998</v>
      </c>
      <c r="E76" s="103" t="s">
        <v>996</v>
      </c>
      <c r="F76" s="103"/>
      <c r="G76" s="103"/>
      <c r="H76" s="118" t="s">
        <v>1734</v>
      </c>
      <c r="I76" s="103"/>
    </row>
    <row r="77" spans="2:18" x14ac:dyDescent="0.25">
      <c r="B77" s="9">
        <v>5</v>
      </c>
      <c r="D77" s="53" t="s">
        <v>997</v>
      </c>
      <c r="E77" s="103" t="s">
        <v>996</v>
      </c>
      <c r="F77" s="103"/>
      <c r="G77" s="103"/>
      <c r="H77" s="118" t="s">
        <v>1734</v>
      </c>
      <c r="I77" s="103"/>
    </row>
    <row r="78" spans="2:18" x14ac:dyDescent="0.25">
      <c r="B78" s="9">
        <v>6</v>
      </c>
      <c r="D78" s="53" t="s">
        <v>1244</v>
      </c>
      <c r="E78" s="103" t="s">
        <v>334</v>
      </c>
      <c r="F78" s="103"/>
      <c r="G78" s="103"/>
      <c r="H78" s="118" t="s">
        <v>1731</v>
      </c>
      <c r="I78" s="103"/>
    </row>
    <row r="79" spans="2:18" x14ac:dyDescent="0.25">
      <c r="B79" s="9">
        <v>7</v>
      </c>
      <c r="D79" s="53" t="s">
        <v>1729</v>
      </c>
      <c r="E79" s="103" t="s">
        <v>1730</v>
      </c>
      <c r="F79" s="103"/>
      <c r="G79" s="103"/>
      <c r="H79" s="118" t="s">
        <v>1725</v>
      </c>
      <c r="I79" s="103"/>
    </row>
    <row r="80" spans="2:18" x14ac:dyDescent="0.25">
      <c r="B80" s="9">
        <v>8</v>
      </c>
      <c r="D80" s="53" t="s">
        <v>1100</v>
      </c>
      <c r="E80" s="103" t="s">
        <v>1091</v>
      </c>
      <c r="F80" s="103"/>
      <c r="G80" s="103"/>
      <c r="H80" s="118" t="s">
        <v>1732</v>
      </c>
      <c r="I80" s="103"/>
    </row>
    <row r="81" spans="2:9" x14ac:dyDescent="0.25">
      <c r="B81" s="9">
        <v>9</v>
      </c>
      <c r="D81" s="53" t="s">
        <v>993</v>
      </c>
      <c r="E81" s="103" t="s">
        <v>991</v>
      </c>
      <c r="F81" s="103"/>
      <c r="G81" s="103"/>
      <c r="H81" s="118" t="s">
        <v>1733</v>
      </c>
      <c r="I81" s="103"/>
    </row>
    <row r="82" spans="2:9" x14ac:dyDescent="0.25">
      <c r="B82" s="9">
        <v>10</v>
      </c>
      <c r="D82" s="53" t="s">
        <v>623</v>
      </c>
      <c r="E82" s="103" t="s">
        <v>996</v>
      </c>
      <c r="F82" s="103"/>
      <c r="G82" s="103"/>
      <c r="H82" s="118" t="s">
        <v>1734</v>
      </c>
      <c r="I82" s="103"/>
    </row>
    <row r="83" spans="2:9" x14ac:dyDescent="0.25">
      <c r="D83" s="53"/>
      <c r="E83" s="41"/>
      <c r="F83" s="41"/>
      <c r="G83" s="41"/>
      <c r="H83" s="49"/>
      <c r="I83" s="41"/>
    </row>
  </sheetData>
  <mergeCells count="260">
    <mergeCell ref="E58:G58"/>
    <mergeCell ref="N42:P42"/>
    <mergeCell ref="E10:G10"/>
    <mergeCell ref="H10:I10"/>
    <mergeCell ref="N11:P11"/>
    <mergeCell ref="E15:G15"/>
    <mergeCell ref="H15:I15"/>
    <mergeCell ref="E17:G17"/>
    <mergeCell ref="H17:I17"/>
    <mergeCell ref="E19:G19"/>
    <mergeCell ref="H19:I19"/>
    <mergeCell ref="D25:E25"/>
    <mergeCell ref="F25:H25"/>
    <mergeCell ref="D22:F22"/>
    <mergeCell ref="M17:O17"/>
    <mergeCell ref="D23:E23"/>
    <mergeCell ref="N10:P10"/>
    <mergeCell ref="D32:E32"/>
    <mergeCell ref="F32:H32"/>
    <mergeCell ref="E18:G18"/>
    <mergeCell ref="H18:I18"/>
    <mergeCell ref="D28:E28"/>
    <mergeCell ref="M19:N19"/>
    <mergeCell ref="M20:N20"/>
    <mergeCell ref="Q11:R11"/>
    <mergeCell ref="E13:G13"/>
    <mergeCell ref="H13:I13"/>
    <mergeCell ref="N13:P13"/>
    <mergeCell ref="Q13:R13"/>
    <mergeCell ref="E14:G14"/>
    <mergeCell ref="H14:I14"/>
    <mergeCell ref="N14:P14"/>
    <mergeCell ref="Q14:R14"/>
    <mergeCell ref="E11:G11"/>
    <mergeCell ref="H11:I11"/>
    <mergeCell ref="E12:G12"/>
    <mergeCell ref="H12:I12"/>
    <mergeCell ref="N12:P12"/>
    <mergeCell ref="Q12:R12"/>
    <mergeCell ref="Q10:R10"/>
    <mergeCell ref="E5:G5"/>
    <mergeCell ref="H5:I5"/>
    <mergeCell ref="N5:P5"/>
    <mergeCell ref="Q5:R5"/>
    <mergeCell ref="E6:G6"/>
    <mergeCell ref="H6:I6"/>
    <mergeCell ref="N6:P6"/>
    <mergeCell ref="Q6:R6"/>
    <mergeCell ref="E9:G9"/>
    <mergeCell ref="H9:I9"/>
    <mergeCell ref="D3:E3"/>
    <mergeCell ref="M3:N3"/>
    <mergeCell ref="E4:G4"/>
    <mergeCell ref="H4:I4"/>
    <mergeCell ref="N4:P4"/>
    <mergeCell ref="E8:G8"/>
    <mergeCell ref="H8:I8"/>
    <mergeCell ref="N9:P9"/>
    <mergeCell ref="Q9:R9"/>
    <mergeCell ref="E7:G7"/>
    <mergeCell ref="H7:I7"/>
    <mergeCell ref="Q4:R4"/>
    <mergeCell ref="N8:P8"/>
    <mergeCell ref="Q8:R8"/>
    <mergeCell ref="N7:P7"/>
    <mergeCell ref="Q7:R7"/>
    <mergeCell ref="O19:Q19"/>
    <mergeCell ref="O20:Q20"/>
    <mergeCell ref="F26:H26"/>
    <mergeCell ref="F24:H24"/>
    <mergeCell ref="M22:N22"/>
    <mergeCell ref="D26:E26"/>
    <mergeCell ref="M23:N23"/>
    <mergeCell ref="M24:N24"/>
    <mergeCell ref="O22:Q22"/>
    <mergeCell ref="O24:Q24"/>
    <mergeCell ref="O23:Q23"/>
    <mergeCell ref="M25:N25"/>
    <mergeCell ref="O25:Q25"/>
    <mergeCell ref="F29:H29"/>
    <mergeCell ref="F30:H30"/>
    <mergeCell ref="M26:N26"/>
    <mergeCell ref="O26:Q26"/>
    <mergeCell ref="M21:N21"/>
    <mergeCell ref="M28:N28"/>
    <mergeCell ref="M27:N27"/>
    <mergeCell ref="O27:Q27"/>
    <mergeCell ref="F31:H31"/>
    <mergeCell ref="O28:Q28"/>
    <mergeCell ref="O21:Q21"/>
    <mergeCell ref="F28:H28"/>
    <mergeCell ref="E51:G51"/>
    <mergeCell ref="H51:I51"/>
    <mergeCell ref="E52:G52"/>
    <mergeCell ref="H52:I52"/>
    <mergeCell ref="E60:G60"/>
    <mergeCell ref="E43:G43"/>
    <mergeCell ref="N71:P71"/>
    <mergeCell ref="Q34:R34"/>
    <mergeCell ref="E44:G44"/>
    <mergeCell ref="H44:I44"/>
    <mergeCell ref="E42:G42"/>
    <mergeCell ref="H42:I42"/>
    <mergeCell ref="D34:E34"/>
    <mergeCell ref="F34:H34"/>
    <mergeCell ref="D35:E35"/>
    <mergeCell ref="F35:H35"/>
    <mergeCell ref="N34:P34"/>
    <mergeCell ref="D38:G38"/>
    <mergeCell ref="E39:G39"/>
    <mergeCell ref="H39:I39"/>
    <mergeCell ref="E41:G41"/>
    <mergeCell ref="H41:I41"/>
    <mergeCell ref="E40:G40"/>
    <mergeCell ref="H40:I40"/>
    <mergeCell ref="H53:I53"/>
    <mergeCell ref="E81:G81"/>
    <mergeCell ref="H81:I81"/>
    <mergeCell ref="E78:G78"/>
    <mergeCell ref="E82:G82"/>
    <mergeCell ref="E59:G59"/>
    <mergeCell ref="E57:G57"/>
    <mergeCell ref="D71:F71"/>
    <mergeCell ref="E72:G72"/>
    <mergeCell ref="E66:G66"/>
    <mergeCell ref="H65:I65"/>
    <mergeCell ref="E73:G73"/>
    <mergeCell ref="H73:I73"/>
    <mergeCell ref="H77:I77"/>
    <mergeCell ref="H66:I66"/>
    <mergeCell ref="H68:I68"/>
    <mergeCell ref="H72:I72"/>
    <mergeCell ref="H75:I75"/>
    <mergeCell ref="H60:I60"/>
    <mergeCell ref="H64:I64"/>
    <mergeCell ref="E68:G68"/>
    <mergeCell ref="E53:G53"/>
    <mergeCell ref="E63:G63"/>
    <mergeCell ref="D56:F56"/>
    <mergeCell ref="E79:G79"/>
    <mergeCell ref="H79:I79"/>
    <mergeCell ref="H78:I78"/>
    <mergeCell ref="H82:I82"/>
    <mergeCell ref="E80:G80"/>
    <mergeCell ref="H80:I80"/>
    <mergeCell ref="E77:G77"/>
    <mergeCell ref="H59:I59"/>
    <mergeCell ref="H57:I57"/>
    <mergeCell ref="H58:I58"/>
    <mergeCell ref="E76:G76"/>
    <mergeCell ref="H76:I76"/>
    <mergeCell ref="E75:G75"/>
    <mergeCell ref="H63:I63"/>
    <mergeCell ref="E64:G64"/>
    <mergeCell ref="E67:G67"/>
    <mergeCell ref="H67:I67"/>
    <mergeCell ref="E65:G65"/>
    <mergeCell ref="E74:G74"/>
    <mergeCell ref="H74:I74"/>
    <mergeCell ref="E61:G61"/>
    <mergeCell ref="H61:I61"/>
    <mergeCell ref="E62:G62"/>
    <mergeCell ref="H62:I62"/>
    <mergeCell ref="Q67:R67"/>
    <mergeCell ref="N68:P68"/>
    <mergeCell ref="Q68:R68"/>
    <mergeCell ref="N66:P66"/>
    <mergeCell ref="Q66:R66"/>
    <mergeCell ref="N67:P67"/>
    <mergeCell ref="Q64:R64"/>
    <mergeCell ref="N58:P58"/>
    <mergeCell ref="Q58:R58"/>
    <mergeCell ref="Q65:R65"/>
    <mergeCell ref="N63:P63"/>
    <mergeCell ref="Q63:R63"/>
    <mergeCell ref="N59:P59"/>
    <mergeCell ref="Q59:R59"/>
    <mergeCell ref="N73:P73"/>
    <mergeCell ref="Q73:R73"/>
    <mergeCell ref="N70:P70"/>
    <mergeCell ref="Q70:R70"/>
    <mergeCell ref="N72:P72"/>
    <mergeCell ref="Q72:R72"/>
    <mergeCell ref="Q71:R71"/>
    <mergeCell ref="N69:P69"/>
    <mergeCell ref="Q69:R69"/>
    <mergeCell ref="Q49:R49"/>
    <mergeCell ref="N50:P50"/>
    <mergeCell ref="Q50:R50"/>
    <mergeCell ref="Q44:R44"/>
    <mergeCell ref="N45:P45"/>
    <mergeCell ref="Q55:R55"/>
    <mergeCell ref="N65:P65"/>
    <mergeCell ref="M62:O62"/>
    <mergeCell ref="Q45:R45"/>
    <mergeCell ref="N53:P53"/>
    <mergeCell ref="N64:P64"/>
    <mergeCell ref="N57:P57"/>
    <mergeCell ref="Q57:R57"/>
    <mergeCell ref="N55:P55"/>
    <mergeCell ref="Q56:R56"/>
    <mergeCell ref="N49:P49"/>
    <mergeCell ref="N56:P56"/>
    <mergeCell ref="N51:P51"/>
    <mergeCell ref="Q52:R52"/>
    <mergeCell ref="N54:P54"/>
    <mergeCell ref="Q54:R54"/>
    <mergeCell ref="Q51:R51"/>
    <mergeCell ref="Q53:R53"/>
    <mergeCell ref="N52:P52"/>
    <mergeCell ref="M48:O48"/>
    <mergeCell ref="Q35:R35"/>
    <mergeCell ref="N41:P41"/>
    <mergeCell ref="Q41:R41"/>
    <mergeCell ref="Q40:R40"/>
    <mergeCell ref="Q37:R37"/>
    <mergeCell ref="N37:P37"/>
    <mergeCell ref="N38:P38"/>
    <mergeCell ref="Q38:R38"/>
    <mergeCell ref="N39:P39"/>
    <mergeCell ref="N40:P40"/>
    <mergeCell ref="Q43:R43"/>
    <mergeCell ref="Q42:R42"/>
    <mergeCell ref="N35:P35"/>
    <mergeCell ref="Q39:R39"/>
    <mergeCell ref="Q36:R36"/>
    <mergeCell ref="H46:I46"/>
    <mergeCell ref="E49:G49"/>
    <mergeCell ref="H49:I49"/>
    <mergeCell ref="E50:G50"/>
    <mergeCell ref="H50:I50"/>
    <mergeCell ref="H48:I48"/>
    <mergeCell ref="E47:G47"/>
    <mergeCell ref="H47:I47"/>
    <mergeCell ref="E48:G48"/>
    <mergeCell ref="E46:G46"/>
    <mergeCell ref="E16:G16"/>
    <mergeCell ref="H16:I16"/>
    <mergeCell ref="D27:E27"/>
    <mergeCell ref="F27:H27"/>
    <mergeCell ref="M29:N29"/>
    <mergeCell ref="O29:Q29"/>
    <mergeCell ref="E45:G45"/>
    <mergeCell ref="H45:I45"/>
    <mergeCell ref="N36:P36"/>
    <mergeCell ref="N44:P44"/>
    <mergeCell ref="H43:I43"/>
    <mergeCell ref="N43:P43"/>
    <mergeCell ref="Q33:R33"/>
    <mergeCell ref="D33:E33"/>
    <mergeCell ref="F33:H33"/>
    <mergeCell ref="M32:P32"/>
    <mergeCell ref="N33:P33"/>
    <mergeCell ref="O18:Q18"/>
    <mergeCell ref="F23:H23"/>
    <mergeCell ref="M18:N18"/>
    <mergeCell ref="D30:E30"/>
    <mergeCell ref="D24:E24"/>
    <mergeCell ref="D31:E31"/>
    <mergeCell ref="D29:E29"/>
  </mergeCells>
  <phoneticPr fontId="10" type="noConversion"/>
  <pageMargins left="0.7" right="0.7" top="0.78740157499999996" bottom="0.78740157499999996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BA3E5-9369-4180-AFCA-019B2D641C59}">
  <dimension ref="B3:R76"/>
  <sheetViews>
    <sheetView topLeftCell="A40" zoomScale="80" zoomScaleNormal="80" workbookViewId="0">
      <selection activeCell="Y16" sqref="Y16"/>
    </sheetView>
  </sheetViews>
  <sheetFormatPr defaultRowHeight="15" x14ac:dyDescent="0.25"/>
  <cols>
    <col min="2" max="2" width="3.28515625" bestFit="1" customWidth="1"/>
    <col min="3" max="3" width="5.28515625" style="37" customWidth="1"/>
    <col min="4" max="4" width="10.140625" style="17" customWidth="1"/>
    <col min="5" max="5" width="9.85546875" style="17" bestFit="1" customWidth="1"/>
    <col min="6" max="6" width="14.42578125" customWidth="1"/>
    <col min="10" max="10" width="9.140625" style="37"/>
    <col min="11" max="11" width="3.28515625" style="37" bestFit="1" customWidth="1"/>
    <col min="12" max="12" width="5" style="17" customWidth="1"/>
    <col min="13" max="13" width="9.85546875" bestFit="1" customWidth="1"/>
    <col min="15" max="15" width="11.7109375" customWidth="1"/>
  </cols>
  <sheetData>
    <row r="3" spans="2:18" x14ac:dyDescent="0.25">
      <c r="C3"/>
      <c r="D3" s="153" t="s">
        <v>616</v>
      </c>
      <c r="E3" s="154"/>
      <c r="J3"/>
      <c r="K3"/>
      <c r="L3"/>
      <c r="M3" s="101" t="s">
        <v>617</v>
      </c>
      <c r="N3" s="101"/>
    </row>
    <row r="4" spans="2:18" x14ac:dyDescent="0.25">
      <c r="C4"/>
      <c r="D4" s="32" t="s">
        <v>101</v>
      </c>
      <c r="E4" s="120" t="s">
        <v>165</v>
      </c>
      <c r="F4" s="120"/>
      <c r="G4" s="120"/>
      <c r="H4" s="112" t="s">
        <v>267</v>
      </c>
      <c r="I4" s="114"/>
      <c r="J4"/>
      <c r="K4"/>
      <c r="L4"/>
      <c r="M4" s="32" t="s">
        <v>101</v>
      </c>
      <c r="N4" s="120" t="s">
        <v>165</v>
      </c>
      <c r="O4" s="120"/>
      <c r="P4" s="120"/>
      <c r="Q4" s="112" t="s">
        <v>267</v>
      </c>
      <c r="R4" s="114"/>
    </row>
    <row r="5" spans="2:18" x14ac:dyDescent="0.25">
      <c r="B5" s="9">
        <v>1</v>
      </c>
      <c r="C5"/>
      <c r="D5" s="53" t="s">
        <v>764</v>
      </c>
      <c r="E5" s="111" t="s">
        <v>307</v>
      </c>
      <c r="F5" s="111"/>
      <c r="G5" s="111"/>
      <c r="H5" s="125" t="s">
        <v>1715</v>
      </c>
      <c r="I5" s="111"/>
      <c r="J5"/>
      <c r="K5" s="9">
        <v>1</v>
      </c>
      <c r="M5" s="53" t="s">
        <v>1035</v>
      </c>
      <c r="N5" s="103" t="s">
        <v>487</v>
      </c>
      <c r="O5" s="103"/>
      <c r="P5" s="103"/>
      <c r="Q5" s="118">
        <v>44884</v>
      </c>
      <c r="R5" s="103"/>
    </row>
    <row r="6" spans="2:18" x14ac:dyDescent="0.25">
      <c r="B6" s="9">
        <v>2</v>
      </c>
      <c r="C6"/>
      <c r="D6" s="53" t="s">
        <v>580</v>
      </c>
      <c r="E6" s="103" t="s">
        <v>105</v>
      </c>
      <c r="F6" s="103"/>
      <c r="G6" s="103"/>
      <c r="H6" s="121" t="s">
        <v>1683</v>
      </c>
      <c r="I6" s="108"/>
      <c r="J6"/>
      <c r="K6" s="9">
        <v>2</v>
      </c>
      <c r="M6" s="53" t="s">
        <v>687</v>
      </c>
      <c r="N6" s="103" t="s">
        <v>1163</v>
      </c>
      <c r="O6" s="103"/>
      <c r="P6" s="103"/>
      <c r="Q6" s="118">
        <v>45228</v>
      </c>
      <c r="R6" s="103"/>
    </row>
    <row r="7" spans="2:18" x14ac:dyDescent="0.25">
      <c r="B7" s="9">
        <v>3</v>
      </c>
      <c r="C7"/>
      <c r="D7" s="53" t="s">
        <v>601</v>
      </c>
      <c r="E7" s="103" t="s">
        <v>121</v>
      </c>
      <c r="F7" s="103"/>
      <c r="G7" s="103"/>
      <c r="H7" s="118" t="s">
        <v>1685</v>
      </c>
      <c r="I7" s="103"/>
      <c r="J7"/>
      <c r="K7" s="9">
        <v>3</v>
      </c>
      <c r="M7" s="53" t="s">
        <v>577</v>
      </c>
      <c r="N7" s="103" t="s">
        <v>1164</v>
      </c>
      <c r="O7" s="103"/>
      <c r="P7" s="103"/>
      <c r="Q7" s="118" t="s">
        <v>1300</v>
      </c>
      <c r="R7" s="103"/>
    </row>
    <row r="8" spans="2:18" x14ac:dyDescent="0.25">
      <c r="B8" s="9">
        <v>4</v>
      </c>
      <c r="C8"/>
      <c r="D8" s="53" t="s">
        <v>601</v>
      </c>
      <c r="E8" s="103" t="s">
        <v>105</v>
      </c>
      <c r="F8" s="103"/>
      <c r="G8" s="103"/>
      <c r="H8" s="118" t="s">
        <v>1749</v>
      </c>
      <c r="I8" s="103"/>
      <c r="J8"/>
      <c r="K8" s="9">
        <v>4</v>
      </c>
      <c r="M8" s="53" t="s">
        <v>765</v>
      </c>
      <c r="N8" s="103" t="s">
        <v>202</v>
      </c>
      <c r="O8" s="103"/>
      <c r="P8" s="103"/>
      <c r="Q8" s="118">
        <v>44822</v>
      </c>
      <c r="R8" s="103"/>
    </row>
    <row r="9" spans="2:18" x14ac:dyDescent="0.25">
      <c r="B9" s="9">
        <v>5</v>
      </c>
      <c r="C9"/>
      <c r="D9" s="53" t="s">
        <v>602</v>
      </c>
      <c r="E9" s="103" t="s">
        <v>1166</v>
      </c>
      <c r="F9" s="103"/>
      <c r="G9" s="103"/>
      <c r="H9" s="118" t="s">
        <v>1257</v>
      </c>
      <c r="I9" s="103"/>
      <c r="J9"/>
      <c r="K9" s="9">
        <v>5</v>
      </c>
      <c r="M9" s="53" t="s">
        <v>765</v>
      </c>
      <c r="N9" s="103" t="s">
        <v>202</v>
      </c>
      <c r="O9" s="103"/>
      <c r="P9" s="103"/>
      <c r="Q9" s="118">
        <v>44934</v>
      </c>
      <c r="R9" s="103"/>
    </row>
    <row r="10" spans="2:18" x14ac:dyDescent="0.25">
      <c r="B10" s="9">
        <v>6</v>
      </c>
      <c r="C10"/>
      <c r="D10" s="53" t="s">
        <v>780</v>
      </c>
      <c r="E10" s="103" t="s">
        <v>484</v>
      </c>
      <c r="F10" s="103"/>
      <c r="G10" s="103"/>
      <c r="H10" s="118" t="s">
        <v>1716</v>
      </c>
      <c r="I10" s="103"/>
      <c r="J10"/>
      <c r="K10" s="9">
        <v>6</v>
      </c>
      <c r="M10" s="53" t="s">
        <v>781</v>
      </c>
      <c r="N10" s="103" t="s">
        <v>488</v>
      </c>
      <c r="O10" s="103"/>
      <c r="P10" s="103"/>
      <c r="Q10" s="118">
        <v>44850</v>
      </c>
      <c r="R10" s="103"/>
    </row>
    <row r="11" spans="2:18" x14ac:dyDescent="0.25">
      <c r="B11" s="9">
        <v>7</v>
      </c>
      <c r="C11"/>
      <c r="D11" s="53" t="s">
        <v>780</v>
      </c>
      <c r="E11" s="103" t="s">
        <v>161</v>
      </c>
      <c r="F11" s="103"/>
      <c r="G11" s="103"/>
      <c r="H11" s="118" t="s">
        <v>1685</v>
      </c>
      <c r="I11" s="103"/>
      <c r="J11"/>
      <c r="K11" s="9">
        <v>7</v>
      </c>
      <c r="M11" s="53" t="s">
        <v>1224</v>
      </c>
      <c r="N11" s="103" t="s">
        <v>138</v>
      </c>
      <c r="O11" s="103"/>
      <c r="P11" s="103"/>
      <c r="Q11" s="118" t="s">
        <v>1225</v>
      </c>
      <c r="R11" s="103"/>
    </row>
    <row r="12" spans="2:18" x14ac:dyDescent="0.25">
      <c r="B12" s="9">
        <v>8</v>
      </c>
      <c r="C12"/>
      <c r="D12" s="53" t="s">
        <v>1047</v>
      </c>
      <c r="E12" s="103" t="s">
        <v>477</v>
      </c>
      <c r="F12" s="103"/>
      <c r="G12" s="103"/>
      <c r="H12" s="121" t="s">
        <v>1684</v>
      </c>
      <c r="I12" s="108"/>
      <c r="J12"/>
      <c r="K12" s="9">
        <v>8</v>
      </c>
      <c r="M12" s="53" t="s">
        <v>1289</v>
      </c>
      <c r="N12" s="103" t="s">
        <v>1163</v>
      </c>
      <c r="O12" s="103"/>
      <c r="P12" s="103"/>
      <c r="Q12" s="118" t="s">
        <v>1287</v>
      </c>
      <c r="R12" s="103"/>
    </row>
    <row r="13" spans="2:18" x14ac:dyDescent="0.25">
      <c r="B13" s="9">
        <v>9</v>
      </c>
      <c r="C13"/>
      <c r="D13" s="53" t="s">
        <v>1047</v>
      </c>
      <c r="E13" s="103" t="s">
        <v>303</v>
      </c>
      <c r="F13" s="103"/>
      <c r="G13" s="103"/>
      <c r="H13" s="121" t="s">
        <v>1681</v>
      </c>
      <c r="I13" s="108"/>
      <c r="J13"/>
      <c r="K13" s="9">
        <v>9</v>
      </c>
      <c r="M13" s="53" t="s">
        <v>574</v>
      </c>
      <c r="N13" s="103" t="s">
        <v>487</v>
      </c>
      <c r="O13" s="103"/>
      <c r="P13" s="103"/>
      <c r="Q13" s="118">
        <v>44948</v>
      </c>
      <c r="R13" s="103"/>
    </row>
    <row r="14" spans="2:18" x14ac:dyDescent="0.25">
      <c r="B14" s="9">
        <v>10</v>
      </c>
      <c r="C14"/>
      <c r="D14" s="53" t="s">
        <v>1047</v>
      </c>
      <c r="E14" s="103" t="s">
        <v>1748</v>
      </c>
      <c r="F14" s="103"/>
      <c r="G14" s="103"/>
      <c r="H14" s="118" t="s">
        <v>1746</v>
      </c>
      <c r="I14" s="103"/>
      <c r="J14"/>
      <c r="K14" s="9">
        <v>10</v>
      </c>
      <c r="M14" s="53" t="s">
        <v>579</v>
      </c>
      <c r="N14" s="103" t="s">
        <v>161</v>
      </c>
      <c r="O14" s="103"/>
      <c r="P14" s="103"/>
      <c r="Q14" s="118">
        <v>44884</v>
      </c>
      <c r="R14" s="103"/>
    </row>
    <row r="15" spans="2:18" x14ac:dyDescent="0.25">
      <c r="C15"/>
      <c r="D15" s="53"/>
      <c r="E15" s="41"/>
      <c r="F15" s="41"/>
      <c r="G15" s="41"/>
      <c r="H15" s="49"/>
      <c r="I15" s="41"/>
      <c r="J15"/>
      <c r="K15"/>
    </row>
    <row r="16" spans="2:18" x14ac:dyDescent="0.25">
      <c r="D16" s="53"/>
      <c r="E16" s="41"/>
      <c r="F16" s="41"/>
      <c r="G16" s="41"/>
      <c r="H16" s="49"/>
      <c r="I16" s="41"/>
      <c r="M16" s="53"/>
      <c r="N16" s="41"/>
      <c r="O16" s="41"/>
      <c r="P16" s="41"/>
      <c r="Q16" s="49"/>
      <c r="R16" s="41"/>
    </row>
    <row r="17" spans="2:18" x14ac:dyDescent="0.25">
      <c r="C17"/>
      <c r="D17" s="151" t="s">
        <v>697</v>
      </c>
      <c r="E17" s="151"/>
      <c r="F17" s="151"/>
      <c r="J17"/>
      <c r="K17"/>
      <c r="L17"/>
      <c r="M17" s="150" t="s">
        <v>698</v>
      </c>
      <c r="N17" s="150"/>
      <c r="O17" s="151"/>
    </row>
    <row r="18" spans="2:18" x14ac:dyDescent="0.25">
      <c r="C18"/>
      <c r="D18" s="152" t="s">
        <v>518</v>
      </c>
      <c r="E18" s="152"/>
      <c r="F18" s="101" t="s">
        <v>519</v>
      </c>
      <c r="G18" s="101"/>
      <c r="H18" s="101"/>
      <c r="J18"/>
      <c r="K18"/>
      <c r="L18"/>
      <c r="M18" s="152" t="s">
        <v>518</v>
      </c>
      <c r="N18" s="152"/>
      <c r="O18" s="101" t="s">
        <v>519</v>
      </c>
      <c r="P18" s="101"/>
      <c r="Q18" s="101"/>
    </row>
    <row r="19" spans="2:18" x14ac:dyDescent="0.25">
      <c r="B19" s="9">
        <v>1</v>
      </c>
      <c r="C19"/>
      <c r="D19" s="119">
        <v>3</v>
      </c>
      <c r="E19" s="119"/>
      <c r="F19" s="103" t="s">
        <v>1111</v>
      </c>
      <c r="G19" s="103"/>
      <c r="H19" s="103"/>
      <c r="J19"/>
      <c r="K19" s="9">
        <v>1</v>
      </c>
      <c r="L19"/>
      <c r="M19" s="119">
        <v>4</v>
      </c>
      <c r="N19" s="119"/>
      <c r="O19" s="118" t="s">
        <v>1073</v>
      </c>
      <c r="P19" s="103"/>
      <c r="Q19" s="103"/>
    </row>
    <row r="20" spans="2:18" x14ac:dyDescent="0.25">
      <c r="B20" s="9">
        <v>2</v>
      </c>
      <c r="C20"/>
      <c r="D20" s="119">
        <v>3</v>
      </c>
      <c r="E20" s="119"/>
      <c r="F20" s="103" t="s">
        <v>1186</v>
      </c>
      <c r="G20" s="103"/>
      <c r="H20" s="103"/>
      <c r="J20"/>
      <c r="K20" s="9">
        <v>2</v>
      </c>
      <c r="L20"/>
      <c r="M20" s="119">
        <v>4</v>
      </c>
      <c r="N20" s="119"/>
      <c r="O20" s="118" t="s">
        <v>1276</v>
      </c>
      <c r="P20" s="103"/>
      <c r="Q20" s="103"/>
    </row>
    <row r="21" spans="2:18" x14ac:dyDescent="0.25">
      <c r="B21" s="9">
        <v>3</v>
      </c>
      <c r="C21"/>
      <c r="D21" s="119">
        <v>3</v>
      </c>
      <c r="E21" s="119"/>
      <c r="F21" s="103" t="s">
        <v>1197</v>
      </c>
      <c r="G21" s="103"/>
      <c r="H21" s="103"/>
      <c r="J21"/>
      <c r="K21" s="9">
        <v>3</v>
      </c>
      <c r="L21"/>
      <c r="M21" s="119">
        <v>4</v>
      </c>
      <c r="N21" s="119"/>
      <c r="O21" s="103" t="s">
        <v>1694</v>
      </c>
      <c r="P21" s="103"/>
      <c r="Q21" s="103"/>
    </row>
    <row r="22" spans="2:18" x14ac:dyDescent="0.25">
      <c r="B22" s="9">
        <v>4</v>
      </c>
      <c r="C22"/>
      <c r="D22" s="119">
        <v>3</v>
      </c>
      <c r="E22" s="119"/>
      <c r="F22" s="103" t="s">
        <v>1277</v>
      </c>
      <c r="G22" s="103"/>
      <c r="H22" s="103"/>
      <c r="J22"/>
      <c r="K22" s="9">
        <v>4</v>
      </c>
      <c r="L22"/>
      <c r="M22" s="119">
        <v>3</v>
      </c>
      <c r="N22" s="119"/>
      <c r="O22" s="103" t="s">
        <v>1048</v>
      </c>
      <c r="P22" s="103"/>
      <c r="Q22" s="103"/>
    </row>
    <row r="23" spans="2:18" x14ac:dyDescent="0.25">
      <c r="B23" s="9">
        <v>5</v>
      </c>
      <c r="C23"/>
      <c r="D23" s="119">
        <v>2</v>
      </c>
      <c r="E23" s="119"/>
      <c r="F23" s="103" t="s">
        <v>1008</v>
      </c>
      <c r="G23" s="103"/>
      <c r="H23" s="103"/>
      <c r="J23"/>
      <c r="K23" s="9">
        <v>5</v>
      </c>
      <c r="L23"/>
      <c r="M23" s="119">
        <v>3</v>
      </c>
      <c r="N23" s="119"/>
      <c r="O23" s="118" t="s">
        <v>1711</v>
      </c>
      <c r="P23" s="103"/>
      <c r="Q23" s="103"/>
    </row>
    <row r="24" spans="2:18" x14ac:dyDescent="0.25">
      <c r="B24" s="9">
        <v>6</v>
      </c>
      <c r="C24"/>
      <c r="D24" s="119">
        <v>2</v>
      </c>
      <c r="E24" s="119"/>
      <c r="F24" s="103" t="s">
        <v>1681</v>
      </c>
      <c r="G24" s="103"/>
      <c r="H24" s="103"/>
      <c r="J24"/>
      <c r="K24" s="9">
        <v>6</v>
      </c>
      <c r="L24"/>
      <c r="M24" s="119">
        <v>2</v>
      </c>
      <c r="N24" s="119"/>
      <c r="O24" s="118" t="s">
        <v>1706</v>
      </c>
      <c r="P24" s="103"/>
      <c r="Q24" s="103"/>
    </row>
    <row r="25" spans="2:18" x14ac:dyDescent="0.25">
      <c r="B25" s="9">
        <v>7</v>
      </c>
      <c r="C25"/>
      <c r="D25" s="119">
        <v>1</v>
      </c>
      <c r="E25" s="119"/>
      <c r="F25" s="118">
        <v>44822</v>
      </c>
      <c r="G25" s="103"/>
      <c r="H25" s="103"/>
      <c r="J25"/>
      <c r="K25" s="9">
        <v>7</v>
      </c>
      <c r="L25"/>
      <c r="M25" s="119">
        <v>1</v>
      </c>
      <c r="N25" s="119"/>
      <c r="O25" s="118" t="s">
        <v>1715</v>
      </c>
      <c r="P25" s="103"/>
      <c r="Q25" s="103"/>
    </row>
    <row r="26" spans="2:18" x14ac:dyDescent="0.25">
      <c r="B26" s="9">
        <v>8</v>
      </c>
      <c r="C26"/>
      <c r="D26" s="119">
        <v>1</v>
      </c>
      <c r="E26" s="119"/>
      <c r="F26" s="118">
        <v>44905</v>
      </c>
      <c r="G26" s="103"/>
      <c r="H26" s="103"/>
      <c r="J26"/>
      <c r="K26" s="9">
        <v>8</v>
      </c>
      <c r="L26"/>
      <c r="M26" s="119">
        <v>1</v>
      </c>
      <c r="N26" s="119"/>
      <c r="O26" s="118" t="s">
        <v>1716</v>
      </c>
      <c r="P26" s="103"/>
      <c r="Q26" s="103"/>
    </row>
    <row r="27" spans="2:18" x14ac:dyDescent="0.25">
      <c r="B27" s="9">
        <v>9</v>
      </c>
      <c r="C27"/>
      <c r="D27" s="119">
        <v>1</v>
      </c>
      <c r="E27" s="119"/>
      <c r="F27" s="103" t="s">
        <v>1287</v>
      </c>
      <c r="G27" s="103"/>
      <c r="H27" s="103"/>
      <c r="J27"/>
      <c r="K27" s="9">
        <v>9</v>
      </c>
      <c r="L27"/>
      <c r="M27" s="119">
        <v>1</v>
      </c>
      <c r="N27" s="119"/>
      <c r="O27" s="118" t="s">
        <v>1263</v>
      </c>
      <c r="P27" s="103"/>
      <c r="Q27" s="103"/>
    </row>
    <row r="28" spans="2:18" x14ac:dyDescent="0.25">
      <c r="B28" s="9">
        <v>10</v>
      </c>
      <c r="C28"/>
      <c r="D28" s="119">
        <v>1</v>
      </c>
      <c r="E28" s="119"/>
      <c r="F28" s="103" t="s">
        <v>1750</v>
      </c>
      <c r="G28" s="103"/>
      <c r="H28" s="103"/>
      <c r="J28"/>
      <c r="K28" s="9">
        <v>10</v>
      </c>
      <c r="L28"/>
      <c r="M28" s="119">
        <v>1</v>
      </c>
      <c r="N28" s="119"/>
      <c r="O28" s="103" t="s">
        <v>1260</v>
      </c>
      <c r="P28" s="103"/>
      <c r="Q28" s="103"/>
    </row>
    <row r="29" spans="2:18" x14ac:dyDescent="0.25">
      <c r="D29" s="119" t="s">
        <v>1714</v>
      </c>
      <c r="E29" s="119"/>
      <c r="F29" s="103" t="s">
        <v>1744</v>
      </c>
      <c r="G29" s="103"/>
      <c r="H29" s="103"/>
    </row>
    <row r="30" spans="2:18" x14ac:dyDescent="0.25">
      <c r="E30"/>
    </row>
    <row r="31" spans="2:18" x14ac:dyDescent="0.25">
      <c r="K31"/>
      <c r="L31"/>
      <c r="M31" s="101" t="s">
        <v>724</v>
      </c>
      <c r="N31" s="132"/>
      <c r="O31" s="132"/>
      <c r="P31" s="132"/>
    </row>
    <row r="32" spans="2:18" x14ac:dyDescent="0.25">
      <c r="C32"/>
      <c r="D32" s="101" t="s">
        <v>723</v>
      </c>
      <c r="E32" s="132"/>
      <c r="F32" s="132"/>
      <c r="G32" s="132"/>
      <c r="K32"/>
      <c r="L32"/>
      <c r="M32" s="32" t="s">
        <v>98</v>
      </c>
      <c r="N32" s="120" t="s">
        <v>165</v>
      </c>
      <c r="O32" s="120"/>
      <c r="P32" s="120"/>
      <c r="Q32" s="112" t="s">
        <v>267</v>
      </c>
      <c r="R32" s="114"/>
    </row>
    <row r="33" spans="2:18" x14ac:dyDescent="0.25">
      <c r="C33"/>
      <c r="D33" s="32" t="s">
        <v>98</v>
      </c>
      <c r="E33" s="120" t="s">
        <v>165</v>
      </c>
      <c r="F33" s="120"/>
      <c r="G33" s="120"/>
      <c r="H33" s="112" t="s">
        <v>267</v>
      </c>
      <c r="I33" s="114"/>
      <c r="K33" s="9">
        <v>1</v>
      </c>
      <c r="L33"/>
      <c r="M33" s="56">
        <v>17</v>
      </c>
      <c r="N33" s="103" t="s">
        <v>1113</v>
      </c>
      <c r="O33" s="103"/>
      <c r="P33" s="103"/>
      <c r="Q33" s="118">
        <v>44884</v>
      </c>
      <c r="R33" s="103"/>
    </row>
    <row r="34" spans="2:18" x14ac:dyDescent="0.25">
      <c r="B34" s="9">
        <v>1</v>
      </c>
      <c r="C34"/>
      <c r="D34" s="56">
        <v>13</v>
      </c>
      <c r="E34" s="103" t="s">
        <v>753</v>
      </c>
      <c r="F34" s="103"/>
      <c r="G34" s="103"/>
      <c r="H34" s="125">
        <v>44822</v>
      </c>
      <c r="I34" s="111"/>
      <c r="K34" s="9">
        <v>2</v>
      </c>
      <c r="L34"/>
      <c r="M34" s="56">
        <v>13</v>
      </c>
      <c r="N34" s="103" t="s">
        <v>754</v>
      </c>
      <c r="O34" s="103"/>
      <c r="P34" s="103"/>
      <c r="Q34" s="118">
        <v>44822</v>
      </c>
      <c r="R34" s="103"/>
    </row>
    <row r="35" spans="2:18" x14ac:dyDescent="0.25">
      <c r="B35" s="9">
        <v>2</v>
      </c>
      <c r="C35"/>
      <c r="D35" s="56">
        <v>12</v>
      </c>
      <c r="E35" s="103" t="s">
        <v>1064</v>
      </c>
      <c r="F35" s="103"/>
      <c r="G35" s="103"/>
      <c r="H35" s="118">
        <v>44948</v>
      </c>
      <c r="I35" s="103"/>
      <c r="K35" s="9">
        <v>3</v>
      </c>
      <c r="L35"/>
      <c r="M35" s="56">
        <v>13</v>
      </c>
      <c r="N35" s="103" t="s">
        <v>754</v>
      </c>
      <c r="O35" s="103"/>
      <c r="P35" s="103"/>
      <c r="Q35" s="118">
        <v>44934</v>
      </c>
      <c r="R35" s="103"/>
    </row>
    <row r="36" spans="2:18" x14ac:dyDescent="0.25">
      <c r="B36" s="9">
        <v>3</v>
      </c>
      <c r="C36"/>
      <c r="D36" s="56">
        <v>9</v>
      </c>
      <c r="E36" s="103" t="s">
        <v>1004</v>
      </c>
      <c r="F36" s="103"/>
      <c r="G36" s="103"/>
      <c r="H36" s="118">
        <v>44871</v>
      </c>
      <c r="I36" s="103"/>
      <c r="K36" s="9">
        <v>4</v>
      </c>
      <c r="L36"/>
      <c r="M36" s="56">
        <v>13</v>
      </c>
      <c r="N36" s="103" t="s">
        <v>1302</v>
      </c>
      <c r="O36" s="103"/>
      <c r="P36" s="103"/>
      <c r="Q36" s="118" t="s">
        <v>1300</v>
      </c>
      <c r="R36" s="103"/>
    </row>
    <row r="37" spans="2:18" x14ac:dyDescent="0.25">
      <c r="B37" s="9">
        <v>4</v>
      </c>
      <c r="C37"/>
      <c r="D37" s="56">
        <v>9</v>
      </c>
      <c r="E37" s="103" t="s">
        <v>1105</v>
      </c>
      <c r="F37" s="103"/>
      <c r="G37" s="103"/>
      <c r="H37" s="118">
        <v>44968</v>
      </c>
      <c r="I37" s="103"/>
      <c r="K37" s="9">
        <v>5</v>
      </c>
      <c r="L37"/>
      <c r="M37" s="56">
        <v>11</v>
      </c>
      <c r="N37" s="103" t="s">
        <v>1202</v>
      </c>
      <c r="O37" s="103"/>
      <c r="P37" s="103"/>
      <c r="Q37" s="118">
        <v>45228</v>
      </c>
      <c r="R37" s="103"/>
    </row>
    <row r="38" spans="2:18" x14ac:dyDescent="0.25">
      <c r="B38" s="9">
        <v>5</v>
      </c>
      <c r="C38"/>
      <c r="D38" s="56">
        <v>9</v>
      </c>
      <c r="E38" s="103" t="s">
        <v>1119</v>
      </c>
      <c r="F38" s="103"/>
      <c r="G38" s="103"/>
      <c r="H38" s="118">
        <v>45018</v>
      </c>
      <c r="I38" s="103"/>
      <c r="K38" s="9">
        <v>6</v>
      </c>
      <c r="L38"/>
      <c r="M38" s="56">
        <v>11</v>
      </c>
      <c r="N38" s="103" t="s">
        <v>1207</v>
      </c>
      <c r="O38" s="103"/>
      <c r="P38" s="103"/>
      <c r="Q38" s="118">
        <v>45256</v>
      </c>
      <c r="R38" s="103"/>
    </row>
    <row r="39" spans="2:18" x14ac:dyDescent="0.25">
      <c r="B39" s="9">
        <v>6</v>
      </c>
      <c r="C39"/>
      <c r="D39" s="56">
        <v>8</v>
      </c>
      <c r="E39" s="103" t="s">
        <v>1103</v>
      </c>
      <c r="F39" s="103"/>
      <c r="G39" s="103"/>
      <c r="H39" s="118">
        <v>44968</v>
      </c>
      <c r="I39" s="103"/>
      <c r="K39" s="9">
        <v>7</v>
      </c>
      <c r="L39"/>
      <c r="M39" s="56">
        <v>10</v>
      </c>
      <c r="N39" s="103" t="s">
        <v>1226</v>
      </c>
      <c r="O39" s="103"/>
      <c r="P39" s="103"/>
      <c r="Q39" s="118" t="s">
        <v>1225</v>
      </c>
      <c r="R39" s="103"/>
    </row>
    <row r="40" spans="2:18" x14ac:dyDescent="0.25">
      <c r="B40" s="9">
        <v>7</v>
      </c>
      <c r="C40"/>
      <c r="D40" s="31">
        <v>8</v>
      </c>
      <c r="E40" s="103" t="s">
        <v>774</v>
      </c>
      <c r="F40" s="103"/>
      <c r="G40" s="103"/>
      <c r="H40" s="118">
        <v>44850</v>
      </c>
      <c r="I40" s="103"/>
      <c r="K40" s="9">
        <v>8</v>
      </c>
      <c r="L40"/>
      <c r="M40" s="56">
        <v>9</v>
      </c>
      <c r="N40" s="103" t="s">
        <v>782</v>
      </c>
      <c r="O40" s="103"/>
      <c r="P40" s="103"/>
      <c r="Q40" s="118">
        <v>44850</v>
      </c>
      <c r="R40" s="103"/>
    </row>
    <row r="41" spans="2:18" x14ac:dyDescent="0.25">
      <c r="B41" s="9">
        <v>8</v>
      </c>
      <c r="C41"/>
      <c r="D41" s="56">
        <v>7</v>
      </c>
      <c r="E41" s="103" t="s">
        <v>1255</v>
      </c>
      <c r="F41" s="103"/>
      <c r="G41" s="103"/>
      <c r="H41" s="118" t="s">
        <v>1257</v>
      </c>
      <c r="I41" s="103"/>
      <c r="K41" s="9">
        <v>9</v>
      </c>
      <c r="L41"/>
      <c r="M41" s="56">
        <v>9</v>
      </c>
      <c r="N41" s="103" t="s">
        <v>1074</v>
      </c>
      <c r="O41" s="103"/>
      <c r="P41" s="103"/>
      <c r="Q41" s="118">
        <v>44948</v>
      </c>
      <c r="R41" s="103"/>
    </row>
    <row r="42" spans="2:18" x14ac:dyDescent="0.25">
      <c r="B42" s="9">
        <v>9</v>
      </c>
      <c r="C42"/>
      <c r="D42" s="56">
        <v>7</v>
      </c>
      <c r="E42" s="103" t="s">
        <v>1258</v>
      </c>
      <c r="F42" s="103"/>
      <c r="G42" s="103"/>
      <c r="H42" s="118" t="s">
        <v>1257</v>
      </c>
      <c r="I42" s="103"/>
      <c r="K42" s="9">
        <v>10</v>
      </c>
      <c r="L42"/>
      <c r="M42" s="56">
        <v>8</v>
      </c>
      <c r="N42" s="103" t="s">
        <v>1112</v>
      </c>
      <c r="O42" s="103"/>
      <c r="P42" s="103"/>
      <c r="Q42" s="118">
        <v>44989</v>
      </c>
      <c r="R42" s="103"/>
    </row>
    <row r="43" spans="2:18" x14ac:dyDescent="0.25">
      <c r="B43" s="9">
        <v>10</v>
      </c>
      <c r="C43"/>
      <c r="D43" s="56">
        <v>6</v>
      </c>
      <c r="E43" s="103" t="s">
        <v>1120</v>
      </c>
      <c r="F43" s="103"/>
      <c r="G43" s="103"/>
      <c r="H43" s="118">
        <v>45018</v>
      </c>
      <c r="I43" s="103"/>
    </row>
    <row r="44" spans="2:18" x14ac:dyDescent="0.25">
      <c r="D44" s="56">
        <v>6</v>
      </c>
      <c r="E44" s="103" t="s">
        <v>1062</v>
      </c>
      <c r="F44" s="103"/>
      <c r="G44" s="103"/>
      <c r="H44" s="118">
        <v>44934</v>
      </c>
      <c r="I44" s="103"/>
    </row>
    <row r="45" spans="2:18" x14ac:dyDescent="0.25">
      <c r="D45" s="56">
        <v>6</v>
      </c>
      <c r="E45" s="103" t="s">
        <v>1112</v>
      </c>
      <c r="F45" s="103"/>
      <c r="G45" s="103"/>
      <c r="H45" s="118">
        <v>44989</v>
      </c>
      <c r="I45" s="103"/>
      <c r="K45"/>
      <c r="L45"/>
      <c r="M45" s="109" t="s">
        <v>660</v>
      </c>
      <c r="N45" s="109"/>
      <c r="O45" s="109"/>
    </row>
    <row r="46" spans="2:18" x14ac:dyDescent="0.25">
      <c r="D46" s="56">
        <v>6</v>
      </c>
      <c r="E46" s="103" t="s">
        <v>1207</v>
      </c>
      <c r="F46" s="103"/>
      <c r="G46" s="103"/>
      <c r="H46" s="118">
        <v>45256</v>
      </c>
      <c r="I46" s="103"/>
      <c r="K46"/>
      <c r="L46"/>
      <c r="M46" s="32" t="s">
        <v>266</v>
      </c>
      <c r="N46" s="112" t="s">
        <v>165</v>
      </c>
      <c r="O46" s="113"/>
      <c r="P46" s="114"/>
      <c r="Q46" s="112" t="s">
        <v>267</v>
      </c>
      <c r="R46" s="114"/>
    </row>
    <row r="47" spans="2:18" x14ac:dyDescent="0.25">
      <c r="K47" s="9">
        <v>1</v>
      </c>
      <c r="L47"/>
      <c r="M47" s="53" t="s">
        <v>1240</v>
      </c>
      <c r="N47" s="103" t="s">
        <v>753</v>
      </c>
      <c r="O47" s="103"/>
      <c r="P47" s="103"/>
      <c r="Q47" s="118">
        <v>44822</v>
      </c>
      <c r="R47" s="103"/>
    </row>
    <row r="48" spans="2:18" x14ac:dyDescent="0.25">
      <c r="K48" s="9">
        <v>2</v>
      </c>
      <c r="L48"/>
      <c r="M48" s="53" t="s">
        <v>1688</v>
      </c>
      <c r="N48" s="103" t="s">
        <v>1689</v>
      </c>
      <c r="O48" s="103"/>
      <c r="P48" s="103"/>
      <c r="Q48" s="118" t="s">
        <v>1681</v>
      </c>
      <c r="R48" s="103"/>
    </row>
    <row r="49" spans="2:18" x14ac:dyDescent="0.25">
      <c r="C49"/>
      <c r="D49" s="109" t="s">
        <v>659</v>
      </c>
      <c r="E49" s="109"/>
      <c r="F49" s="109"/>
      <c r="K49" s="9">
        <v>3</v>
      </c>
      <c r="L49"/>
      <c r="M49" s="53" t="s">
        <v>898</v>
      </c>
      <c r="N49" s="103" t="s">
        <v>753</v>
      </c>
      <c r="O49" s="103"/>
      <c r="P49" s="103"/>
      <c r="Q49" s="118">
        <v>44822</v>
      </c>
      <c r="R49" s="103"/>
    </row>
    <row r="50" spans="2:18" x14ac:dyDescent="0.25">
      <c r="C50"/>
      <c r="D50" s="32" t="s">
        <v>266</v>
      </c>
      <c r="E50" s="112" t="s">
        <v>165</v>
      </c>
      <c r="F50" s="113"/>
      <c r="G50" s="114"/>
      <c r="H50" s="112" t="s">
        <v>267</v>
      </c>
      <c r="I50" s="114"/>
      <c r="K50" s="9">
        <v>4</v>
      </c>
      <c r="L50"/>
      <c r="M50" s="53" t="s">
        <v>1290</v>
      </c>
      <c r="N50" s="103" t="s">
        <v>1291</v>
      </c>
      <c r="O50" s="103"/>
      <c r="P50" s="103"/>
      <c r="Q50" s="118" t="s">
        <v>1287</v>
      </c>
      <c r="R50" s="103"/>
    </row>
    <row r="51" spans="2:18" x14ac:dyDescent="0.25">
      <c r="B51" s="9">
        <v>1</v>
      </c>
      <c r="C51"/>
      <c r="D51" s="53" t="s">
        <v>1050</v>
      </c>
      <c r="E51" s="103" t="s">
        <v>1187</v>
      </c>
      <c r="F51" s="103"/>
      <c r="G51" s="103"/>
      <c r="H51" s="118">
        <v>45186</v>
      </c>
      <c r="I51" s="103"/>
      <c r="K51" s="9">
        <v>5</v>
      </c>
      <c r="L51"/>
      <c r="M51" s="53" t="s">
        <v>1282</v>
      </c>
      <c r="N51" s="103" t="s">
        <v>1064</v>
      </c>
      <c r="O51" s="103"/>
      <c r="P51" s="103"/>
      <c r="Q51" s="118">
        <v>44948</v>
      </c>
      <c r="R51" s="103"/>
    </row>
    <row r="52" spans="2:18" x14ac:dyDescent="0.25">
      <c r="B52" s="9">
        <v>2</v>
      </c>
      <c r="C52"/>
      <c r="D52" s="53" t="s">
        <v>637</v>
      </c>
      <c r="E52" s="103" t="s">
        <v>1042</v>
      </c>
      <c r="F52" s="103"/>
      <c r="G52" s="103"/>
      <c r="H52" s="118">
        <v>44905</v>
      </c>
      <c r="I52" s="103"/>
      <c r="K52" s="9">
        <v>6</v>
      </c>
      <c r="L52"/>
      <c r="M52" s="53" t="s">
        <v>1292</v>
      </c>
      <c r="N52" s="103" t="s">
        <v>1064</v>
      </c>
      <c r="O52" s="103"/>
      <c r="P52" s="103"/>
      <c r="Q52" s="118">
        <v>44948</v>
      </c>
      <c r="R52" s="103"/>
    </row>
    <row r="53" spans="2:18" x14ac:dyDescent="0.25">
      <c r="B53" s="9">
        <v>3</v>
      </c>
      <c r="C53"/>
      <c r="D53" s="53" t="s">
        <v>747</v>
      </c>
      <c r="E53" s="103" t="s">
        <v>753</v>
      </c>
      <c r="F53" s="103"/>
      <c r="G53" s="103"/>
      <c r="H53" s="118">
        <v>44822</v>
      </c>
      <c r="I53" s="103"/>
      <c r="K53" s="9">
        <v>7</v>
      </c>
      <c r="L53"/>
      <c r="M53" s="53" t="s">
        <v>1293</v>
      </c>
      <c r="N53" s="103" t="s">
        <v>1187</v>
      </c>
      <c r="O53" s="103"/>
      <c r="P53" s="103"/>
      <c r="Q53" s="118">
        <v>45186</v>
      </c>
      <c r="R53" s="103"/>
    </row>
    <row r="54" spans="2:18" x14ac:dyDescent="0.25">
      <c r="B54" s="9">
        <v>4</v>
      </c>
      <c r="C54"/>
      <c r="D54" s="53" t="s">
        <v>653</v>
      </c>
      <c r="E54" s="103" t="s">
        <v>1258</v>
      </c>
      <c r="F54" s="103"/>
      <c r="G54" s="103"/>
      <c r="H54" s="118" t="s">
        <v>1257</v>
      </c>
      <c r="I54" s="103"/>
      <c r="K54" s="9">
        <v>8</v>
      </c>
      <c r="L54"/>
      <c r="M54" s="53" t="s">
        <v>758</v>
      </c>
      <c r="N54" s="103" t="s">
        <v>753</v>
      </c>
      <c r="O54" s="103"/>
      <c r="P54" s="103"/>
      <c r="Q54" s="118">
        <v>44822</v>
      </c>
      <c r="R54" s="103"/>
    </row>
    <row r="55" spans="2:18" x14ac:dyDescent="0.25">
      <c r="B55" s="9">
        <v>5</v>
      </c>
      <c r="C55"/>
      <c r="D55" s="53" t="s">
        <v>1280</v>
      </c>
      <c r="E55" s="103" t="s">
        <v>753</v>
      </c>
      <c r="F55" s="103"/>
      <c r="G55" s="103"/>
      <c r="H55" s="118">
        <v>44822</v>
      </c>
      <c r="I55" s="103"/>
      <c r="K55" s="9">
        <v>9</v>
      </c>
      <c r="L55"/>
      <c r="M55" s="53" t="s">
        <v>609</v>
      </c>
      <c r="N55" s="103" t="s">
        <v>1064</v>
      </c>
      <c r="O55" s="103"/>
      <c r="P55" s="103"/>
      <c r="Q55" s="118">
        <v>44948</v>
      </c>
      <c r="R55" s="103"/>
    </row>
    <row r="56" spans="2:18" x14ac:dyDescent="0.25">
      <c r="B56" s="9">
        <v>6</v>
      </c>
      <c r="C56"/>
      <c r="D56" s="53" t="s">
        <v>641</v>
      </c>
      <c r="E56" s="103" t="s">
        <v>1042</v>
      </c>
      <c r="F56" s="103"/>
      <c r="G56" s="103"/>
      <c r="H56" s="118">
        <v>44905</v>
      </c>
      <c r="I56" s="103"/>
      <c r="K56" s="9">
        <v>10</v>
      </c>
      <c r="L56"/>
      <c r="M56" s="53" t="s">
        <v>1294</v>
      </c>
      <c r="N56" s="103" t="s">
        <v>753</v>
      </c>
      <c r="O56" s="103"/>
      <c r="P56" s="103"/>
      <c r="Q56" s="118">
        <v>44822</v>
      </c>
      <c r="R56" s="103"/>
    </row>
    <row r="57" spans="2:18" x14ac:dyDescent="0.25">
      <c r="B57" s="9">
        <v>7</v>
      </c>
      <c r="C57"/>
      <c r="D57" s="53" t="s">
        <v>641</v>
      </c>
      <c r="E57" s="103" t="s">
        <v>1103</v>
      </c>
      <c r="F57" s="103"/>
      <c r="G57" s="103"/>
      <c r="H57" s="118">
        <v>44968</v>
      </c>
      <c r="I57" s="103"/>
    </row>
    <row r="58" spans="2:18" x14ac:dyDescent="0.25">
      <c r="B58" s="9">
        <v>8</v>
      </c>
      <c r="C58"/>
      <c r="D58" s="53" t="s">
        <v>641</v>
      </c>
      <c r="E58" s="103" t="s">
        <v>1258</v>
      </c>
      <c r="F58" s="103"/>
      <c r="G58" s="103"/>
      <c r="H58" s="118" t="s">
        <v>1257</v>
      </c>
      <c r="I58" s="103"/>
    </row>
    <row r="59" spans="2:18" x14ac:dyDescent="0.25">
      <c r="B59" s="9">
        <v>9</v>
      </c>
      <c r="C59"/>
      <c r="D59" s="53" t="s">
        <v>1281</v>
      </c>
      <c r="E59" s="103" t="s">
        <v>1064</v>
      </c>
      <c r="F59" s="103"/>
      <c r="G59" s="103"/>
      <c r="H59" s="118">
        <v>44948</v>
      </c>
      <c r="I59" s="103"/>
      <c r="K59"/>
      <c r="L59"/>
      <c r="M59" s="109" t="s">
        <v>662</v>
      </c>
      <c r="N59" s="109"/>
      <c r="O59" s="109"/>
    </row>
    <row r="60" spans="2:18" x14ac:dyDescent="0.25">
      <c r="B60" s="9">
        <v>10</v>
      </c>
      <c r="C60"/>
      <c r="D60" s="53" t="s">
        <v>1066</v>
      </c>
      <c r="E60" s="103" t="s">
        <v>1064</v>
      </c>
      <c r="F60" s="103"/>
      <c r="G60" s="103"/>
      <c r="H60" s="118">
        <v>44948</v>
      </c>
      <c r="I60" s="103"/>
      <c r="K60"/>
      <c r="L60"/>
      <c r="M60" s="32" t="s">
        <v>266</v>
      </c>
      <c r="N60" s="112" t="s">
        <v>165</v>
      </c>
      <c r="O60" s="113"/>
      <c r="P60" s="114"/>
      <c r="Q60" s="112" t="s">
        <v>267</v>
      </c>
      <c r="R60" s="114"/>
    </row>
    <row r="61" spans="2:18" x14ac:dyDescent="0.25">
      <c r="D61" s="53" t="s">
        <v>1066</v>
      </c>
      <c r="E61" s="103" t="s">
        <v>1203</v>
      </c>
      <c r="F61" s="103"/>
      <c r="G61" s="103"/>
      <c r="H61" s="118">
        <v>45228</v>
      </c>
      <c r="I61" s="103"/>
      <c r="K61" s="9">
        <v>1</v>
      </c>
      <c r="L61"/>
      <c r="M61" s="53" t="s">
        <v>942</v>
      </c>
      <c r="N61" s="103" t="s">
        <v>753</v>
      </c>
      <c r="O61" s="103"/>
      <c r="P61" s="103"/>
      <c r="Q61" s="118">
        <v>44822</v>
      </c>
      <c r="R61" s="103"/>
    </row>
    <row r="62" spans="2:18" x14ac:dyDescent="0.25">
      <c r="K62" s="9">
        <v>2</v>
      </c>
      <c r="L62"/>
      <c r="M62" s="53" t="s">
        <v>941</v>
      </c>
      <c r="N62" s="103" t="s">
        <v>753</v>
      </c>
      <c r="O62" s="103"/>
      <c r="P62" s="103"/>
      <c r="Q62" s="118">
        <v>44822</v>
      </c>
      <c r="R62" s="103"/>
    </row>
    <row r="63" spans="2:18" x14ac:dyDescent="0.25">
      <c r="K63" s="9">
        <v>3</v>
      </c>
      <c r="L63"/>
      <c r="M63" s="53" t="s">
        <v>940</v>
      </c>
      <c r="N63" s="103" t="s">
        <v>753</v>
      </c>
      <c r="O63" s="103"/>
      <c r="P63" s="103"/>
      <c r="Q63" s="118">
        <v>44822</v>
      </c>
      <c r="R63" s="103"/>
    </row>
    <row r="64" spans="2:18" x14ac:dyDescent="0.25">
      <c r="C64"/>
      <c r="D64" s="109" t="s">
        <v>661</v>
      </c>
      <c r="E64" s="109"/>
      <c r="F64" s="109"/>
      <c r="K64" s="9">
        <v>4</v>
      </c>
      <c r="L64"/>
      <c r="M64" s="53" t="s">
        <v>1079</v>
      </c>
      <c r="N64" s="103" t="s">
        <v>1064</v>
      </c>
      <c r="O64" s="103"/>
      <c r="P64" s="103"/>
      <c r="Q64" s="118">
        <v>44948</v>
      </c>
      <c r="R64" s="103"/>
    </row>
    <row r="65" spans="2:18" x14ac:dyDescent="0.25">
      <c r="C65"/>
      <c r="D65" s="32" t="s">
        <v>266</v>
      </c>
      <c r="E65" s="112" t="s">
        <v>165</v>
      </c>
      <c r="F65" s="113"/>
      <c r="G65" s="114"/>
      <c r="H65" s="112" t="s">
        <v>267</v>
      </c>
      <c r="I65" s="114"/>
      <c r="K65" s="9">
        <v>5</v>
      </c>
      <c r="L65"/>
      <c r="M65" s="53" t="s">
        <v>1080</v>
      </c>
      <c r="N65" s="103" t="s">
        <v>1064</v>
      </c>
      <c r="O65" s="103"/>
      <c r="P65" s="103"/>
      <c r="Q65" s="118">
        <v>44948</v>
      </c>
      <c r="R65" s="103"/>
    </row>
    <row r="66" spans="2:18" x14ac:dyDescent="0.25">
      <c r="B66" s="9">
        <v>1</v>
      </c>
      <c r="C66"/>
      <c r="D66" s="53" t="s">
        <v>936</v>
      </c>
      <c r="E66" s="103" t="s">
        <v>753</v>
      </c>
      <c r="F66" s="103"/>
      <c r="G66" s="103"/>
      <c r="H66" s="118">
        <v>44822</v>
      </c>
      <c r="I66" s="103"/>
      <c r="K66" s="9">
        <v>6</v>
      </c>
      <c r="L66"/>
      <c r="M66" s="53" t="s">
        <v>939</v>
      </c>
      <c r="N66" s="103" t="s">
        <v>753</v>
      </c>
      <c r="O66" s="103"/>
      <c r="P66" s="103"/>
      <c r="Q66" s="118">
        <v>44822</v>
      </c>
      <c r="R66" s="103"/>
    </row>
    <row r="67" spans="2:18" x14ac:dyDescent="0.25">
      <c r="B67" s="9">
        <v>2</v>
      </c>
      <c r="C67"/>
      <c r="D67" s="53" t="s">
        <v>1279</v>
      </c>
      <c r="E67" s="103" t="s">
        <v>753</v>
      </c>
      <c r="F67" s="103"/>
      <c r="G67" s="103"/>
      <c r="H67" s="118">
        <v>44822</v>
      </c>
      <c r="I67" s="103"/>
      <c r="K67" s="9">
        <v>7</v>
      </c>
      <c r="L67"/>
      <c r="M67" s="53" t="s">
        <v>1130</v>
      </c>
      <c r="N67" s="103" t="s">
        <v>1119</v>
      </c>
      <c r="O67" s="103"/>
      <c r="P67" s="103"/>
      <c r="Q67" s="118">
        <v>45018</v>
      </c>
      <c r="R67" s="103"/>
    </row>
    <row r="68" spans="2:18" x14ac:dyDescent="0.25">
      <c r="B68" s="9">
        <v>3</v>
      </c>
      <c r="C68"/>
      <c r="D68" s="53" t="s">
        <v>937</v>
      </c>
      <c r="E68" s="103" t="s">
        <v>753</v>
      </c>
      <c r="F68" s="103"/>
      <c r="G68" s="103"/>
      <c r="H68" s="118">
        <v>44822</v>
      </c>
      <c r="I68" s="103"/>
      <c r="K68" s="9">
        <v>8</v>
      </c>
      <c r="L68"/>
      <c r="M68" s="53" t="s">
        <v>1078</v>
      </c>
      <c r="N68" s="103" t="s">
        <v>1064</v>
      </c>
      <c r="O68" s="103"/>
      <c r="P68" s="103"/>
      <c r="Q68" s="118">
        <v>44948</v>
      </c>
      <c r="R68" s="103"/>
    </row>
    <row r="69" spans="2:18" x14ac:dyDescent="0.25">
      <c r="B69" s="9">
        <v>4</v>
      </c>
      <c r="C69"/>
      <c r="D69" s="53" t="s">
        <v>1077</v>
      </c>
      <c r="E69" s="103" t="s">
        <v>1064</v>
      </c>
      <c r="F69" s="103"/>
      <c r="G69" s="103"/>
      <c r="H69" s="118">
        <v>44948</v>
      </c>
      <c r="I69" s="103"/>
      <c r="K69" s="9">
        <v>9</v>
      </c>
      <c r="L69"/>
      <c r="M69" s="53" t="s">
        <v>938</v>
      </c>
      <c r="N69" s="103" t="s">
        <v>753</v>
      </c>
      <c r="O69" s="103"/>
      <c r="P69" s="103"/>
      <c r="Q69" s="118">
        <v>44822</v>
      </c>
      <c r="R69" s="103"/>
    </row>
    <row r="70" spans="2:18" x14ac:dyDescent="0.25">
      <c r="B70" s="9">
        <v>5</v>
      </c>
      <c r="C70"/>
      <c r="D70" s="53" t="s">
        <v>625</v>
      </c>
      <c r="E70" s="103" t="s">
        <v>753</v>
      </c>
      <c r="F70" s="103"/>
      <c r="G70" s="103"/>
      <c r="H70" s="118">
        <v>44822</v>
      </c>
      <c r="I70" s="103"/>
      <c r="K70" s="9">
        <v>10</v>
      </c>
      <c r="L70"/>
      <c r="M70" s="53" t="s">
        <v>945</v>
      </c>
      <c r="N70" s="103" t="s">
        <v>944</v>
      </c>
      <c r="O70" s="103"/>
      <c r="P70" s="103"/>
      <c r="Q70" s="118">
        <v>44850</v>
      </c>
      <c r="R70" s="103"/>
    </row>
    <row r="71" spans="2:18" x14ac:dyDescent="0.25">
      <c r="B71" s="9">
        <v>6</v>
      </c>
      <c r="C71"/>
      <c r="D71" s="53" t="s">
        <v>652</v>
      </c>
      <c r="E71" s="103" t="s">
        <v>1042</v>
      </c>
      <c r="F71" s="103"/>
      <c r="G71" s="103"/>
      <c r="H71" s="118">
        <v>44905</v>
      </c>
      <c r="I71" s="103"/>
    </row>
    <row r="72" spans="2:18" x14ac:dyDescent="0.25">
      <c r="B72" s="9">
        <v>7</v>
      </c>
      <c r="C72"/>
      <c r="D72" s="53" t="s">
        <v>1128</v>
      </c>
      <c r="E72" s="103" t="s">
        <v>1119</v>
      </c>
      <c r="F72" s="103"/>
      <c r="G72" s="103"/>
      <c r="H72" s="118">
        <v>45018</v>
      </c>
      <c r="I72" s="103"/>
    </row>
    <row r="73" spans="2:18" x14ac:dyDescent="0.25">
      <c r="B73" s="9">
        <v>8</v>
      </c>
      <c r="C73"/>
      <c r="D73" s="53" t="s">
        <v>1278</v>
      </c>
      <c r="E73" s="103" t="s">
        <v>1064</v>
      </c>
      <c r="F73" s="103"/>
      <c r="G73" s="103"/>
      <c r="H73" s="118">
        <v>44948</v>
      </c>
      <c r="I73" s="103"/>
    </row>
    <row r="74" spans="2:18" x14ac:dyDescent="0.25">
      <c r="B74" s="9">
        <v>9</v>
      </c>
      <c r="C74"/>
      <c r="D74" s="53" t="s">
        <v>1134</v>
      </c>
      <c r="E74" s="103" t="s">
        <v>1119</v>
      </c>
      <c r="F74" s="103"/>
      <c r="G74" s="103"/>
      <c r="H74" s="118">
        <v>45018</v>
      </c>
      <c r="I74" s="103"/>
    </row>
    <row r="75" spans="2:18" x14ac:dyDescent="0.25">
      <c r="B75" s="9">
        <v>10</v>
      </c>
      <c r="C75"/>
      <c r="D75" s="53" t="s">
        <v>943</v>
      </c>
      <c r="E75" s="103" t="s">
        <v>774</v>
      </c>
      <c r="F75" s="103"/>
      <c r="G75" s="103"/>
      <c r="H75" s="118">
        <v>44850</v>
      </c>
      <c r="I75" s="103"/>
    </row>
    <row r="76" spans="2:18" x14ac:dyDescent="0.25">
      <c r="D76" s="53" t="s">
        <v>943</v>
      </c>
      <c r="E76" s="103" t="s">
        <v>1103</v>
      </c>
      <c r="F76" s="103"/>
      <c r="G76" s="103"/>
      <c r="H76" s="118">
        <v>44968</v>
      </c>
      <c r="I76" s="103"/>
    </row>
  </sheetData>
  <mergeCells count="242">
    <mergeCell ref="D3:E3"/>
    <mergeCell ref="M3:N3"/>
    <mergeCell ref="E4:G4"/>
    <mergeCell ref="H4:I4"/>
    <mergeCell ref="N4:P4"/>
    <mergeCell ref="D26:E26"/>
    <mergeCell ref="F26:H26"/>
    <mergeCell ref="O26:Q26"/>
    <mergeCell ref="F25:H25"/>
    <mergeCell ref="N14:P14"/>
    <mergeCell ref="M19:N19"/>
    <mergeCell ref="O19:Q19"/>
    <mergeCell ref="Q14:R14"/>
    <mergeCell ref="Q6:R6"/>
    <mergeCell ref="N9:P9"/>
    <mergeCell ref="Q9:R9"/>
    <mergeCell ref="N13:P13"/>
    <mergeCell ref="H10:I10"/>
    <mergeCell ref="N11:P11"/>
    <mergeCell ref="M17:O17"/>
    <mergeCell ref="Q37:R37"/>
    <mergeCell ref="D29:E29"/>
    <mergeCell ref="F29:H29"/>
    <mergeCell ref="M18:N18"/>
    <mergeCell ref="O18:Q18"/>
    <mergeCell ref="Q4:R4"/>
    <mergeCell ref="E14:G14"/>
    <mergeCell ref="H14:I14"/>
    <mergeCell ref="N7:P7"/>
    <mergeCell ref="Q7:R7"/>
    <mergeCell ref="E12:G12"/>
    <mergeCell ref="H12:I12"/>
    <mergeCell ref="N5:P5"/>
    <mergeCell ref="Q5:R5"/>
    <mergeCell ref="Q8:R8"/>
    <mergeCell ref="E10:G10"/>
    <mergeCell ref="E5:G5"/>
    <mergeCell ref="H5:I5"/>
    <mergeCell ref="Q10:R10"/>
    <mergeCell ref="E7:G7"/>
    <mergeCell ref="H7:I7"/>
    <mergeCell ref="E8:G8"/>
    <mergeCell ref="H8:I8"/>
    <mergeCell ref="D21:E21"/>
    <mergeCell ref="D19:E19"/>
    <mergeCell ref="F19:H19"/>
    <mergeCell ref="M22:N22"/>
    <mergeCell ref="O22:Q22"/>
    <mergeCell ref="F21:H21"/>
    <mergeCell ref="D22:E22"/>
    <mergeCell ref="D20:E20"/>
    <mergeCell ref="F20:H20"/>
    <mergeCell ref="D32:G32"/>
    <mergeCell ref="E34:G34"/>
    <mergeCell ref="H34:I34"/>
    <mergeCell ref="N32:P32"/>
    <mergeCell ref="N34:P34"/>
    <mergeCell ref="M31:P31"/>
    <mergeCell ref="D24:E24"/>
    <mergeCell ref="F24:H24"/>
    <mergeCell ref="D25:E25"/>
    <mergeCell ref="M24:N24"/>
    <mergeCell ref="M26:N26"/>
    <mergeCell ref="D27:E27"/>
    <mergeCell ref="F27:H27"/>
    <mergeCell ref="M28:N28"/>
    <mergeCell ref="O28:Q28"/>
    <mergeCell ref="E61:G61"/>
    <mergeCell ref="H61:I61"/>
    <mergeCell ref="H59:I59"/>
    <mergeCell ref="E40:G40"/>
    <mergeCell ref="H40:I40"/>
    <mergeCell ref="E41:G41"/>
    <mergeCell ref="H41:I41"/>
    <mergeCell ref="E42:G42"/>
    <mergeCell ref="H42:I42"/>
    <mergeCell ref="E54:G54"/>
    <mergeCell ref="H54:I54"/>
    <mergeCell ref="E46:G46"/>
    <mergeCell ref="E53:G53"/>
    <mergeCell ref="H53:I53"/>
    <mergeCell ref="E56:G56"/>
    <mergeCell ref="H46:I46"/>
    <mergeCell ref="E52:G52"/>
    <mergeCell ref="H60:I60"/>
    <mergeCell ref="E59:G59"/>
    <mergeCell ref="Q11:R11"/>
    <mergeCell ref="N8:P8"/>
    <mergeCell ref="E11:G11"/>
    <mergeCell ref="H11:I11"/>
    <mergeCell ref="N12:P12"/>
    <mergeCell ref="Q12:R12"/>
    <mergeCell ref="Q13:R13"/>
    <mergeCell ref="E6:G6"/>
    <mergeCell ref="H6:I6"/>
    <mergeCell ref="E9:G9"/>
    <mergeCell ref="H9:I9"/>
    <mergeCell ref="N10:P10"/>
    <mergeCell ref="H13:I13"/>
    <mergeCell ref="N6:P6"/>
    <mergeCell ref="E13:G13"/>
    <mergeCell ref="D17:F17"/>
    <mergeCell ref="D18:E18"/>
    <mergeCell ref="F18:H18"/>
    <mergeCell ref="O24:Q24"/>
    <mergeCell ref="M23:N23"/>
    <mergeCell ref="O23:Q23"/>
    <mergeCell ref="M27:N27"/>
    <mergeCell ref="O27:Q27"/>
    <mergeCell ref="E33:G33"/>
    <mergeCell ref="H33:I33"/>
    <mergeCell ref="D28:E28"/>
    <mergeCell ref="F28:H28"/>
    <mergeCell ref="M25:N25"/>
    <mergeCell ref="O25:Q25"/>
    <mergeCell ref="F22:H22"/>
    <mergeCell ref="M20:N20"/>
    <mergeCell ref="O20:Q20"/>
    <mergeCell ref="D23:E23"/>
    <mergeCell ref="F23:H23"/>
    <mergeCell ref="M21:N21"/>
    <mergeCell ref="O21:Q21"/>
    <mergeCell ref="Q33:R33"/>
    <mergeCell ref="Q32:R32"/>
    <mergeCell ref="N33:P33"/>
    <mergeCell ref="Q42:R42"/>
    <mergeCell ref="N40:P40"/>
    <mergeCell ref="Q38:R38"/>
    <mergeCell ref="H37:I37"/>
    <mergeCell ref="E39:G39"/>
    <mergeCell ref="H39:I39"/>
    <mergeCell ref="N35:P35"/>
    <mergeCell ref="Q35:R35"/>
    <mergeCell ref="E36:G36"/>
    <mergeCell ref="H36:I36"/>
    <mergeCell ref="H38:I38"/>
    <mergeCell ref="N37:P37"/>
    <mergeCell ref="E35:G35"/>
    <mergeCell ref="H35:I35"/>
    <mergeCell ref="Q36:R36"/>
    <mergeCell ref="N42:P42"/>
    <mergeCell ref="Q34:R34"/>
    <mergeCell ref="E65:G65"/>
    <mergeCell ref="H65:I65"/>
    <mergeCell ref="E45:G45"/>
    <mergeCell ref="Q40:R40"/>
    <mergeCell ref="E38:G38"/>
    <mergeCell ref="Q41:R41"/>
    <mergeCell ref="N60:P60"/>
    <mergeCell ref="Q60:R60"/>
    <mergeCell ref="Q50:R50"/>
    <mergeCell ref="N53:P53"/>
    <mergeCell ref="Q53:R53"/>
    <mergeCell ref="N48:P48"/>
    <mergeCell ref="Q48:R48"/>
    <mergeCell ref="H44:I44"/>
    <mergeCell ref="H50:I50"/>
    <mergeCell ref="Q52:R52"/>
    <mergeCell ref="Q49:R49"/>
    <mergeCell ref="Q47:R47"/>
    <mergeCell ref="Q46:R46"/>
    <mergeCell ref="E43:G43"/>
    <mergeCell ref="H43:I43"/>
    <mergeCell ref="M45:O45"/>
    <mergeCell ref="N46:P46"/>
    <mergeCell ref="E60:G60"/>
    <mergeCell ref="N51:P51"/>
    <mergeCell ref="N50:P50"/>
    <mergeCell ref="N56:P56"/>
    <mergeCell ref="N36:P36"/>
    <mergeCell ref="E51:G51"/>
    <mergeCell ref="H51:I51"/>
    <mergeCell ref="E55:G55"/>
    <mergeCell ref="H55:I55"/>
    <mergeCell ref="E57:G57"/>
    <mergeCell ref="H57:I57"/>
    <mergeCell ref="E37:G37"/>
    <mergeCell ref="H52:I52"/>
    <mergeCell ref="D49:F49"/>
    <mergeCell ref="E50:G50"/>
    <mergeCell ref="N38:P38"/>
    <mergeCell ref="N41:P41"/>
    <mergeCell ref="E44:G44"/>
    <mergeCell ref="Q51:R51"/>
    <mergeCell ref="N49:P49"/>
    <mergeCell ref="N47:P47"/>
    <mergeCell ref="N39:P39"/>
    <mergeCell ref="Q39:R39"/>
    <mergeCell ref="E76:G76"/>
    <mergeCell ref="H76:I76"/>
    <mergeCell ref="E71:G71"/>
    <mergeCell ref="H71:I71"/>
    <mergeCell ref="E75:G75"/>
    <mergeCell ref="H75:I75"/>
    <mergeCell ref="E72:G72"/>
    <mergeCell ref="H72:I72"/>
    <mergeCell ref="N69:P69"/>
    <mergeCell ref="E74:G74"/>
    <mergeCell ref="H74:I74"/>
    <mergeCell ref="E70:G70"/>
    <mergeCell ref="H70:I70"/>
    <mergeCell ref="E66:G66"/>
    <mergeCell ref="H66:I66"/>
    <mergeCell ref="Q61:R61"/>
    <mergeCell ref="Q63:R63"/>
    <mergeCell ref="N62:P62"/>
    <mergeCell ref="Q62:R62"/>
    <mergeCell ref="N61:P61"/>
    <mergeCell ref="Q70:R70"/>
    <mergeCell ref="N67:P67"/>
    <mergeCell ref="Q67:R67"/>
    <mergeCell ref="N64:P64"/>
    <mergeCell ref="Q64:R64"/>
    <mergeCell ref="N68:P68"/>
    <mergeCell ref="Q68:R68"/>
    <mergeCell ref="Q69:R69"/>
    <mergeCell ref="N66:P66"/>
    <mergeCell ref="Q66:R66"/>
    <mergeCell ref="E73:G73"/>
    <mergeCell ref="H73:I73"/>
    <mergeCell ref="H45:I45"/>
    <mergeCell ref="Q54:R54"/>
    <mergeCell ref="Q55:R55"/>
    <mergeCell ref="E67:G67"/>
    <mergeCell ref="H67:I67"/>
    <mergeCell ref="E68:G68"/>
    <mergeCell ref="H68:I68"/>
    <mergeCell ref="E69:G69"/>
    <mergeCell ref="H69:I69"/>
    <mergeCell ref="E58:G58"/>
    <mergeCell ref="H58:I58"/>
    <mergeCell ref="H56:I56"/>
    <mergeCell ref="M59:O59"/>
    <mergeCell ref="Q56:R56"/>
    <mergeCell ref="N55:P55"/>
    <mergeCell ref="N54:P54"/>
    <mergeCell ref="N65:P65"/>
    <mergeCell ref="Q65:R65"/>
    <mergeCell ref="D64:F64"/>
    <mergeCell ref="N52:P52"/>
    <mergeCell ref="N70:P70"/>
    <mergeCell ref="N63:P63"/>
  </mergeCells>
  <phoneticPr fontId="10" type="noConversion"/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00"/>
  <sheetViews>
    <sheetView zoomScale="90" zoomScaleNormal="90" workbookViewId="0">
      <pane ySplit="1" topLeftCell="A2" activePane="bottomLeft" state="frozen"/>
      <selection pane="bottomLeft" activeCell="T21" sqref="T21"/>
    </sheetView>
  </sheetViews>
  <sheetFormatPr defaultRowHeight="15" x14ac:dyDescent="0.25"/>
  <cols>
    <col min="1" max="1" width="31.42578125" bestFit="1" customWidth="1"/>
    <col min="2" max="2" width="7" style="17" customWidth="1"/>
    <col min="3" max="3" width="6.7109375" style="17" customWidth="1"/>
    <col min="4" max="4" width="6.42578125" style="17" customWidth="1"/>
    <col min="5" max="6" width="5.85546875" style="17" customWidth="1"/>
    <col min="7" max="7" width="6" style="17" customWidth="1"/>
    <col min="8" max="8" width="5.5703125" style="17" customWidth="1"/>
    <col min="9" max="9" width="6.42578125" style="17" customWidth="1"/>
    <col min="10" max="10" width="7" style="39" customWidth="1"/>
    <col min="11" max="11" width="6.85546875" style="17" customWidth="1"/>
    <col min="12" max="12" width="33.28515625" style="6" bestFit="1" customWidth="1"/>
  </cols>
  <sheetData>
    <row r="1" spans="1:12" x14ac:dyDescent="0.25">
      <c r="A1" s="11" t="s">
        <v>165</v>
      </c>
      <c r="B1" s="18" t="s">
        <v>1</v>
      </c>
      <c r="C1" s="18" t="s">
        <v>53</v>
      </c>
      <c r="D1" s="18" t="s">
        <v>287</v>
      </c>
      <c r="E1" s="18" t="s">
        <v>54</v>
      </c>
      <c r="F1" s="18" t="s">
        <v>288</v>
      </c>
      <c r="G1" s="18" t="s">
        <v>55</v>
      </c>
      <c r="H1" s="18" t="s">
        <v>4</v>
      </c>
      <c r="I1" s="18" t="s">
        <v>56</v>
      </c>
      <c r="J1" s="43" t="s">
        <v>57</v>
      </c>
      <c r="K1" s="18" t="s">
        <v>101</v>
      </c>
      <c r="L1" s="13" t="s">
        <v>102</v>
      </c>
    </row>
    <row r="2" spans="1:12" x14ac:dyDescent="0.25">
      <c r="A2" t="s">
        <v>270</v>
      </c>
      <c r="B2" s="17">
        <v>4</v>
      </c>
      <c r="C2" s="17">
        <v>3</v>
      </c>
      <c r="D2" s="17">
        <v>0</v>
      </c>
      <c r="E2" s="17">
        <v>0</v>
      </c>
      <c r="F2" s="17">
        <v>0</v>
      </c>
      <c r="G2" s="17">
        <v>1</v>
      </c>
      <c r="H2" s="17">
        <f t="shared" ref="H2:H43" si="0">C2*3+D2*2+E2+F2</f>
        <v>9</v>
      </c>
      <c r="I2" s="17">
        <v>26</v>
      </c>
      <c r="J2" s="39">
        <v>17</v>
      </c>
      <c r="K2" s="17">
        <f t="shared" ref="K2:K43" si="1">I2-J2</f>
        <v>9</v>
      </c>
      <c r="L2" s="15" t="s">
        <v>1152</v>
      </c>
    </row>
    <row r="3" spans="1:12" x14ac:dyDescent="0.25">
      <c r="A3" t="s">
        <v>103</v>
      </c>
      <c r="B3" s="17">
        <v>2</v>
      </c>
      <c r="C3" s="17">
        <v>1</v>
      </c>
      <c r="D3" s="17">
        <v>0</v>
      </c>
      <c r="E3" s="17">
        <v>0</v>
      </c>
      <c r="F3" s="17">
        <v>0</v>
      </c>
      <c r="G3" s="17">
        <v>1</v>
      </c>
      <c r="H3" s="17">
        <f t="shared" si="0"/>
        <v>3</v>
      </c>
      <c r="I3" s="17">
        <v>9</v>
      </c>
      <c r="J3" s="39">
        <v>12</v>
      </c>
      <c r="K3" s="17">
        <f t="shared" si="1"/>
        <v>-3</v>
      </c>
      <c r="L3" s="15" t="s">
        <v>104</v>
      </c>
    </row>
    <row r="4" spans="1:12" x14ac:dyDescent="0.25">
      <c r="A4" t="s">
        <v>1393</v>
      </c>
      <c r="B4" s="17">
        <v>2</v>
      </c>
      <c r="C4" s="17">
        <v>1</v>
      </c>
      <c r="D4" s="17">
        <v>1</v>
      </c>
      <c r="E4" s="17">
        <v>0</v>
      </c>
      <c r="F4" s="17">
        <v>0</v>
      </c>
      <c r="G4" s="17">
        <v>0</v>
      </c>
      <c r="H4" s="17">
        <f t="shared" si="0"/>
        <v>5</v>
      </c>
      <c r="I4" s="17">
        <v>18</v>
      </c>
      <c r="J4" s="39">
        <v>7</v>
      </c>
      <c r="K4" s="17">
        <f t="shared" si="1"/>
        <v>11</v>
      </c>
      <c r="L4" s="15" t="s">
        <v>1531</v>
      </c>
    </row>
    <row r="5" spans="1:12" x14ac:dyDescent="0.25">
      <c r="A5" t="s">
        <v>1170</v>
      </c>
      <c r="B5" s="17">
        <v>2</v>
      </c>
      <c r="C5" s="17">
        <v>2</v>
      </c>
      <c r="D5" s="17">
        <v>0</v>
      </c>
      <c r="E5" s="17">
        <v>0</v>
      </c>
      <c r="F5" s="17">
        <v>0</v>
      </c>
      <c r="G5" s="17">
        <v>0</v>
      </c>
      <c r="H5" s="17">
        <f t="shared" si="0"/>
        <v>6</v>
      </c>
      <c r="I5" s="17">
        <v>14</v>
      </c>
      <c r="J5" s="39">
        <v>7</v>
      </c>
      <c r="K5" s="17">
        <f t="shared" si="1"/>
        <v>7</v>
      </c>
      <c r="L5" s="6" t="s">
        <v>1307</v>
      </c>
    </row>
    <row r="6" spans="1:12" x14ac:dyDescent="0.25">
      <c r="A6" t="s">
        <v>475</v>
      </c>
      <c r="B6" s="17">
        <v>2</v>
      </c>
      <c r="C6" s="17">
        <v>0</v>
      </c>
      <c r="D6" s="17">
        <v>1</v>
      </c>
      <c r="E6" s="17">
        <v>0</v>
      </c>
      <c r="F6" s="17">
        <v>0</v>
      </c>
      <c r="G6" s="17">
        <v>1</v>
      </c>
      <c r="H6" s="17">
        <f t="shared" si="0"/>
        <v>2</v>
      </c>
      <c r="I6" s="17">
        <v>7</v>
      </c>
      <c r="J6" s="39">
        <v>11</v>
      </c>
      <c r="K6" s="17">
        <f t="shared" si="1"/>
        <v>-4</v>
      </c>
      <c r="L6" s="6" t="s">
        <v>1089</v>
      </c>
    </row>
    <row r="7" spans="1:12" x14ac:dyDescent="0.25">
      <c r="A7" t="s">
        <v>209</v>
      </c>
      <c r="B7" s="17">
        <v>2</v>
      </c>
      <c r="C7" s="17">
        <v>2</v>
      </c>
      <c r="D7" s="17">
        <v>0</v>
      </c>
      <c r="E7" s="17">
        <v>0</v>
      </c>
      <c r="F7" s="17">
        <v>0</v>
      </c>
      <c r="G7" s="17">
        <v>0</v>
      </c>
      <c r="H7" s="17">
        <f t="shared" si="0"/>
        <v>6</v>
      </c>
      <c r="I7" s="17">
        <v>16</v>
      </c>
      <c r="J7" s="39">
        <v>8</v>
      </c>
      <c r="K7" s="17">
        <f t="shared" si="1"/>
        <v>8</v>
      </c>
      <c r="L7" s="15" t="s">
        <v>219</v>
      </c>
    </row>
    <row r="8" spans="1:12" x14ac:dyDescent="0.25">
      <c r="A8" t="s">
        <v>105</v>
      </c>
      <c r="B8" s="17">
        <v>2</v>
      </c>
      <c r="C8" s="17">
        <v>2</v>
      </c>
      <c r="D8" s="17">
        <v>0</v>
      </c>
      <c r="E8" s="17">
        <v>0</v>
      </c>
      <c r="F8" s="17">
        <v>0</v>
      </c>
      <c r="G8" s="17">
        <v>0</v>
      </c>
      <c r="H8" s="17">
        <f t="shared" si="0"/>
        <v>6</v>
      </c>
      <c r="I8" s="17">
        <v>13</v>
      </c>
      <c r="J8" s="39">
        <v>2</v>
      </c>
      <c r="K8" s="17">
        <f t="shared" si="1"/>
        <v>11</v>
      </c>
      <c r="L8" s="15" t="s">
        <v>215</v>
      </c>
    </row>
    <row r="9" spans="1:12" x14ac:dyDescent="0.25">
      <c r="A9" t="s">
        <v>1394</v>
      </c>
      <c r="B9" s="17">
        <v>2</v>
      </c>
      <c r="C9" s="17">
        <v>0</v>
      </c>
      <c r="D9" s="17">
        <v>0</v>
      </c>
      <c r="E9" s="17">
        <v>0</v>
      </c>
      <c r="F9" s="17">
        <v>0</v>
      </c>
      <c r="G9" s="17">
        <v>2</v>
      </c>
      <c r="H9" s="17">
        <f t="shared" si="0"/>
        <v>0</v>
      </c>
      <c r="I9" s="17">
        <v>6</v>
      </c>
      <c r="J9" s="39">
        <v>18</v>
      </c>
      <c r="K9" s="17">
        <f t="shared" si="1"/>
        <v>-12</v>
      </c>
      <c r="L9" s="6" t="s">
        <v>1516</v>
      </c>
    </row>
    <row r="10" spans="1:12" x14ac:dyDescent="0.25">
      <c r="A10" t="s">
        <v>1402</v>
      </c>
      <c r="B10" s="17">
        <v>4</v>
      </c>
      <c r="C10" s="17">
        <v>0</v>
      </c>
      <c r="D10" s="17">
        <v>0</v>
      </c>
      <c r="E10" s="17">
        <v>1</v>
      </c>
      <c r="F10" s="17">
        <v>0</v>
      </c>
      <c r="G10" s="17">
        <v>3</v>
      </c>
      <c r="H10" s="17">
        <f t="shared" si="0"/>
        <v>1</v>
      </c>
      <c r="I10" s="17">
        <v>20</v>
      </c>
      <c r="J10" s="39">
        <v>31</v>
      </c>
      <c r="K10" s="17">
        <f t="shared" si="1"/>
        <v>-11</v>
      </c>
      <c r="L10" s="15" t="s">
        <v>377</v>
      </c>
    </row>
    <row r="11" spans="1:12" x14ac:dyDescent="0.25">
      <c r="A11" t="s">
        <v>106</v>
      </c>
      <c r="B11" s="17">
        <v>6</v>
      </c>
      <c r="C11" s="17">
        <v>3</v>
      </c>
      <c r="D11" s="17">
        <v>0</v>
      </c>
      <c r="E11" s="17">
        <v>1</v>
      </c>
      <c r="F11" s="17">
        <v>0</v>
      </c>
      <c r="G11" s="17">
        <v>2</v>
      </c>
      <c r="H11" s="17">
        <f t="shared" si="0"/>
        <v>10</v>
      </c>
      <c r="I11" s="17">
        <v>29</v>
      </c>
      <c r="J11" s="39">
        <v>25</v>
      </c>
      <c r="K11" s="17">
        <f t="shared" si="1"/>
        <v>4</v>
      </c>
      <c r="L11" s="15" t="s">
        <v>292</v>
      </c>
    </row>
    <row r="12" spans="1:12" x14ac:dyDescent="0.25">
      <c r="A12" t="s">
        <v>1171</v>
      </c>
      <c r="B12" s="17">
        <v>2</v>
      </c>
      <c r="C12" s="17">
        <v>1</v>
      </c>
      <c r="D12" s="17">
        <v>0</v>
      </c>
      <c r="E12" s="17">
        <v>0</v>
      </c>
      <c r="F12" s="17">
        <v>0</v>
      </c>
      <c r="G12" s="17">
        <v>1</v>
      </c>
      <c r="H12" s="17">
        <f t="shared" si="0"/>
        <v>3</v>
      </c>
      <c r="I12" s="17">
        <v>9</v>
      </c>
      <c r="J12" s="39">
        <v>9</v>
      </c>
      <c r="K12" s="17">
        <f t="shared" si="1"/>
        <v>0</v>
      </c>
      <c r="L12" s="6" t="s">
        <v>1252</v>
      </c>
    </row>
    <row r="13" spans="1:12" x14ac:dyDescent="0.25">
      <c r="A13" t="s">
        <v>107</v>
      </c>
      <c r="B13" s="17">
        <v>6</v>
      </c>
      <c r="C13" s="17">
        <v>6</v>
      </c>
      <c r="D13" s="17">
        <v>0</v>
      </c>
      <c r="E13" s="17">
        <v>0</v>
      </c>
      <c r="F13" s="17">
        <v>0</v>
      </c>
      <c r="G13" s="17">
        <v>0</v>
      </c>
      <c r="H13" s="17">
        <f t="shared" si="0"/>
        <v>18</v>
      </c>
      <c r="I13" s="17">
        <v>48</v>
      </c>
      <c r="J13" s="39">
        <v>11</v>
      </c>
      <c r="K13" s="17">
        <f t="shared" si="1"/>
        <v>37</v>
      </c>
      <c r="L13" s="15" t="s">
        <v>1308</v>
      </c>
    </row>
    <row r="14" spans="1:12" x14ac:dyDescent="0.25">
      <c r="A14" t="s">
        <v>108</v>
      </c>
      <c r="B14" s="17">
        <v>4</v>
      </c>
      <c r="C14" s="17">
        <v>4</v>
      </c>
      <c r="D14" s="17">
        <v>0</v>
      </c>
      <c r="E14" s="17">
        <v>0</v>
      </c>
      <c r="F14" s="17">
        <v>0</v>
      </c>
      <c r="G14" s="17">
        <v>0</v>
      </c>
      <c r="H14" s="17">
        <f t="shared" si="0"/>
        <v>12</v>
      </c>
      <c r="I14" s="17">
        <v>31</v>
      </c>
      <c r="J14" s="39">
        <v>13</v>
      </c>
      <c r="K14" s="17">
        <f t="shared" si="1"/>
        <v>18</v>
      </c>
      <c r="L14" s="15" t="s">
        <v>368</v>
      </c>
    </row>
    <row r="15" spans="1:12" x14ac:dyDescent="0.25">
      <c r="A15" t="s">
        <v>109</v>
      </c>
      <c r="B15" s="17">
        <v>2</v>
      </c>
      <c r="C15" s="17">
        <v>0</v>
      </c>
      <c r="D15" s="17">
        <v>0</v>
      </c>
      <c r="E15" s="17">
        <v>1</v>
      </c>
      <c r="F15" s="17">
        <v>0</v>
      </c>
      <c r="G15" s="17">
        <v>1</v>
      </c>
      <c r="H15" s="17">
        <f t="shared" si="0"/>
        <v>1</v>
      </c>
      <c r="I15" s="17">
        <v>7</v>
      </c>
      <c r="J15" s="39">
        <v>8</v>
      </c>
      <c r="K15" s="17">
        <f t="shared" si="1"/>
        <v>-1</v>
      </c>
      <c r="L15" s="15" t="s">
        <v>110</v>
      </c>
    </row>
    <row r="16" spans="1:12" x14ac:dyDescent="0.25">
      <c r="A16" t="s">
        <v>111</v>
      </c>
      <c r="B16" s="17">
        <v>4</v>
      </c>
      <c r="C16" s="17">
        <v>4</v>
      </c>
      <c r="D16" s="17">
        <v>0</v>
      </c>
      <c r="E16" s="17">
        <v>0</v>
      </c>
      <c r="F16" s="17">
        <v>0</v>
      </c>
      <c r="G16" s="17">
        <v>0</v>
      </c>
      <c r="H16" s="17">
        <f t="shared" si="0"/>
        <v>12</v>
      </c>
      <c r="I16" s="17">
        <v>26</v>
      </c>
      <c r="J16" s="39">
        <v>11</v>
      </c>
      <c r="K16" s="17">
        <f t="shared" si="1"/>
        <v>15</v>
      </c>
      <c r="L16" s="15" t="s">
        <v>449</v>
      </c>
    </row>
    <row r="17" spans="1:12" x14ac:dyDescent="0.25">
      <c r="A17" t="s">
        <v>350</v>
      </c>
      <c r="B17" s="17">
        <v>4</v>
      </c>
      <c r="C17" s="17">
        <v>4</v>
      </c>
      <c r="D17" s="17">
        <v>0</v>
      </c>
      <c r="E17" s="17">
        <v>0</v>
      </c>
      <c r="F17" s="17">
        <v>0</v>
      </c>
      <c r="G17" s="17">
        <v>0</v>
      </c>
      <c r="H17" s="17">
        <f t="shared" si="0"/>
        <v>12</v>
      </c>
      <c r="I17" s="17">
        <v>28</v>
      </c>
      <c r="J17" s="39">
        <v>5</v>
      </c>
      <c r="K17" s="17">
        <f t="shared" si="1"/>
        <v>23</v>
      </c>
      <c r="L17" s="15" t="s">
        <v>445</v>
      </c>
    </row>
    <row r="18" spans="1:12" x14ac:dyDescent="0.25">
      <c r="A18" t="s">
        <v>112</v>
      </c>
      <c r="B18" s="17">
        <v>2</v>
      </c>
      <c r="C18" s="17">
        <v>1</v>
      </c>
      <c r="D18" s="17">
        <v>0</v>
      </c>
      <c r="E18" s="17">
        <v>1</v>
      </c>
      <c r="F18" s="17">
        <v>0</v>
      </c>
      <c r="G18" s="17">
        <v>0</v>
      </c>
      <c r="H18" s="17">
        <f t="shared" si="0"/>
        <v>4</v>
      </c>
      <c r="I18" s="17">
        <v>7</v>
      </c>
      <c r="J18" s="39">
        <v>5</v>
      </c>
      <c r="K18" s="17">
        <f t="shared" si="1"/>
        <v>2</v>
      </c>
      <c r="L18" s="15" t="s">
        <v>113</v>
      </c>
    </row>
    <row r="19" spans="1:12" x14ac:dyDescent="0.25">
      <c r="A19" t="s">
        <v>262</v>
      </c>
      <c r="B19" s="17">
        <v>2</v>
      </c>
      <c r="C19" s="17">
        <v>1</v>
      </c>
      <c r="D19" s="17">
        <v>0</v>
      </c>
      <c r="E19" s="17">
        <v>0</v>
      </c>
      <c r="F19" s="17">
        <v>0</v>
      </c>
      <c r="G19" s="17">
        <v>1</v>
      </c>
      <c r="H19" s="17">
        <f t="shared" si="0"/>
        <v>3</v>
      </c>
      <c r="I19" s="17">
        <v>14</v>
      </c>
      <c r="J19" s="39">
        <v>11</v>
      </c>
      <c r="K19" s="17">
        <f t="shared" si="1"/>
        <v>3</v>
      </c>
      <c r="L19" s="15" t="s">
        <v>298</v>
      </c>
    </row>
    <row r="20" spans="1:12" x14ac:dyDescent="0.25">
      <c r="A20" t="s">
        <v>404</v>
      </c>
      <c r="B20" s="17">
        <v>2</v>
      </c>
      <c r="C20" s="17">
        <v>2</v>
      </c>
      <c r="D20" s="17">
        <v>0</v>
      </c>
      <c r="E20" s="17">
        <v>0</v>
      </c>
      <c r="F20" s="17">
        <v>0</v>
      </c>
      <c r="G20" s="17">
        <v>0</v>
      </c>
      <c r="H20" s="17">
        <f t="shared" si="0"/>
        <v>6</v>
      </c>
      <c r="I20" s="17">
        <v>17</v>
      </c>
      <c r="J20" s="39">
        <v>4</v>
      </c>
      <c r="K20" s="17">
        <f t="shared" si="1"/>
        <v>13</v>
      </c>
      <c r="L20" s="6" t="s">
        <v>441</v>
      </c>
    </row>
    <row r="21" spans="1:12" x14ac:dyDescent="0.25">
      <c r="A21" t="s">
        <v>115</v>
      </c>
      <c r="B21" s="17">
        <v>2</v>
      </c>
      <c r="C21" s="17">
        <v>0</v>
      </c>
      <c r="D21" s="17">
        <v>0</v>
      </c>
      <c r="E21" s="17">
        <v>0</v>
      </c>
      <c r="F21" s="17">
        <v>0</v>
      </c>
      <c r="G21" s="17">
        <v>2</v>
      </c>
      <c r="H21" s="17">
        <f t="shared" si="0"/>
        <v>0</v>
      </c>
      <c r="I21" s="17">
        <v>9</v>
      </c>
      <c r="J21" s="39">
        <v>12</v>
      </c>
      <c r="K21" s="17">
        <f t="shared" si="1"/>
        <v>-3</v>
      </c>
      <c r="L21" s="15" t="s">
        <v>116</v>
      </c>
    </row>
    <row r="22" spans="1:12" x14ac:dyDescent="0.25">
      <c r="A22" t="s">
        <v>478</v>
      </c>
      <c r="B22" s="17">
        <v>4</v>
      </c>
      <c r="C22" s="17">
        <v>1</v>
      </c>
      <c r="D22" s="17">
        <v>1</v>
      </c>
      <c r="E22" s="17">
        <v>0</v>
      </c>
      <c r="F22" s="17">
        <v>1</v>
      </c>
      <c r="G22" s="17">
        <v>1</v>
      </c>
      <c r="H22" s="17">
        <f t="shared" si="0"/>
        <v>6</v>
      </c>
      <c r="I22" s="17">
        <v>20</v>
      </c>
      <c r="J22" s="39">
        <v>16</v>
      </c>
      <c r="K22" s="17">
        <f t="shared" si="1"/>
        <v>4</v>
      </c>
      <c r="L22" s="6" t="s">
        <v>1543</v>
      </c>
    </row>
    <row r="23" spans="1:12" x14ac:dyDescent="0.25">
      <c r="A23" t="s">
        <v>117</v>
      </c>
      <c r="B23" s="17">
        <v>2</v>
      </c>
      <c r="C23" s="17">
        <v>2</v>
      </c>
      <c r="D23" s="17">
        <v>0</v>
      </c>
      <c r="E23" s="17">
        <v>0</v>
      </c>
      <c r="F23" s="17">
        <v>0</v>
      </c>
      <c r="G23" s="17">
        <v>0</v>
      </c>
      <c r="H23" s="17">
        <f t="shared" si="0"/>
        <v>6</v>
      </c>
      <c r="I23" s="17">
        <v>14</v>
      </c>
      <c r="J23" s="39">
        <v>2</v>
      </c>
      <c r="K23" s="17">
        <f t="shared" si="1"/>
        <v>12</v>
      </c>
      <c r="L23" s="15" t="s">
        <v>118</v>
      </c>
    </row>
    <row r="24" spans="1:12" x14ac:dyDescent="0.25">
      <c r="A24" t="s">
        <v>241</v>
      </c>
      <c r="B24" s="17">
        <v>2</v>
      </c>
      <c r="C24" s="17">
        <v>2</v>
      </c>
      <c r="D24" s="17">
        <v>0</v>
      </c>
      <c r="E24" s="17">
        <v>0</v>
      </c>
      <c r="F24" s="17">
        <v>0</v>
      </c>
      <c r="G24" s="17">
        <v>0</v>
      </c>
      <c r="H24" s="17">
        <f t="shared" si="0"/>
        <v>6</v>
      </c>
      <c r="I24" s="17">
        <v>16</v>
      </c>
      <c r="J24" s="39">
        <v>7</v>
      </c>
      <c r="K24" s="17">
        <f t="shared" si="1"/>
        <v>9</v>
      </c>
      <c r="L24" s="6" t="s">
        <v>1060</v>
      </c>
    </row>
    <row r="25" spans="1:12" x14ac:dyDescent="0.25">
      <c r="A25" t="s">
        <v>119</v>
      </c>
      <c r="B25" s="17">
        <v>2</v>
      </c>
      <c r="C25" s="17">
        <v>2</v>
      </c>
      <c r="D25" s="17">
        <v>0</v>
      </c>
      <c r="E25" s="17">
        <v>0</v>
      </c>
      <c r="F25" s="17">
        <v>0</v>
      </c>
      <c r="G25" s="17">
        <v>0</v>
      </c>
      <c r="H25" s="17">
        <f t="shared" si="0"/>
        <v>6</v>
      </c>
      <c r="I25" s="17">
        <v>20</v>
      </c>
      <c r="J25" s="39">
        <v>6</v>
      </c>
      <c r="K25" s="17">
        <f t="shared" si="1"/>
        <v>14</v>
      </c>
      <c r="L25" s="15" t="s">
        <v>120</v>
      </c>
    </row>
    <row r="26" spans="1:12" x14ac:dyDescent="0.25">
      <c r="A26" t="s">
        <v>275</v>
      </c>
      <c r="B26" s="17">
        <v>2</v>
      </c>
      <c r="C26" s="17">
        <v>1</v>
      </c>
      <c r="D26" s="17">
        <v>0</v>
      </c>
      <c r="E26" s="17">
        <v>0</v>
      </c>
      <c r="F26" s="17">
        <v>0</v>
      </c>
      <c r="G26" s="17">
        <v>1</v>
      </c>
      <c r="H26" s="17">
        <f t="shared" si="0"/>
        <v>3</v>
      </c>
      <c r="I26" s="17">
        <v>7</v>
      </c>
      <c r="J26" s="39">
        <v>16</v>
      </c>
      <c r="K26" s="17">
        <f t="shared" si="1"/>
        <v>-9</v>
      </c>
      <c r="L26" s="15" t="s">
        <v>299</v>
      </c>
    </row>
    <row r="27" spans="1:12" x14ac:dyDescent="0.25">
      <c r="A27" t="s">
        <v>301</v>
      </c>
      <c r="B27" s="17">
        <v>2</v>
      </c>
      <c r="C27" s="17">
        <v>1</v>
      </c>
      <c r="D27" s="17">
        <v>0</v>
      </c>
      <c r="E27" s="17">
        <v>0</v>
      </c>
      <c r="F27" s="17">
        <v>0</v>
      </c>
      <c r="G27" s="17">
        <v>1</v>
      </c>
      <c r="H27" s="17">
        <f t="shared" si="0"/>
        <v>3</v>
      </c>
      <c r="I27" s="17">
        <v>10</v>
      </c>
      <c r="J27" s="39">
        <v>6</v>
      </c>
      <c r="K27" s="17">
        <f t="shared" si="1"/>
        <v>4</v>
      </c>
      <c r="L27" s="15" t="s">
        <v>343</v>
      </c>
    </row>
    <row r="28" spans="1:12" x14ac:dyDescent="0.25">
      <c r="A28" t="s">
        <v>1172</v>
      </c>
      <c r="B28" s="17">
        <v>3</v>
      </c>
      <c r="C28" s="17">
        <v>2</v>
      </c>
      <c r="D28" s="17">
        <v>0</v>
      </c>
      <c r="E28" s="17">
        <v>0</v>
      </c>
      <c r="F28" s="17">
        <v>0</v>
      </c>
      <c r="G28" s="17">
        <v>1</v>
      </c>
      <c r="H28" s="17">
        <f t="shared" si="0"/>
        <v>6</v>
      </c>
      <c r="I28" s="17">
        <v>16</v>
      </c>
      <c r="J28" s="39">
        <v>20</v>
      </c>
      <c r="K28" s="17">
        <f t="shared" si="1"/>
        <v>-4</v>
      </c>
      <c r="L28" s="6" t="s">
        <v>1762</v>
      </c>
    </row>
    <row r="29" spans="1:12" x14ac:dyDescent="0.25">
      <c r="A29" t="s">
        <v>121</v>
      </c>
      <c r="B29" s="17">
        <v>2</v>
      </c>
      <c r="C29" s="17">
        <v>2</v>
      </c>
      <c r="D29" s="17">
        <v>0</v>
      </c>
      <c r="E29" s="17">
        <v>0</v>
      </c>
      <c r="F29" s="17">
        <v>0</v>
      </c>
      <c r="G29" s="17">
        <v>0</v>
      </c>
      <c r="H29" s="17">
        <f t="shared" si="0"/>
        <v>6</v>
      </c>
      <c r="I29" s="17">
        <v>10</v>
      </c>
      <c r="J29" s="39">
        <v>4</v>
      </c>
      <c r="K29" s="17">
        <f t="shared" si="1"/>
        <v>6</v>
      </c>
      <c r="L29" s="15" t="s">
        <v>122</v>
      </c>
    </row>
    <row r="30" spans="1:12" x14ac:dyDescent="0.25">
      <c r="A30" t="s">
        <v>269</v>
      </c>
      <c r="B30" s="17">
        <v>5</v>
      </c>
      <c r="C30" s="17">
        <v>4</v>
      </c>
      <c r="D30" s="17">
        <v>0</v>
      </c>
      <c r="E30" s="17">
        <v>0</v>
      </c>
      <c r="F30" s="17">
        <v>0</v>
      </c>
      <c r="G30" s="17">
        <v>1</v>
      </c>
      <c r="H30" s="17">
        <f t="shared" si="0"/>
        <v>12</v>
      </c>
      <c r="I30" s="17">
        <v>30</v>
      </c>
      <c r="J30" s="39">
        <v>24</v>
      </c>
      <c r="K30" s="17">
        <f t="shared" si="1"/>
        <v>6</v>
      </c>
      <c r="L30" s="15" t="s">
        <v>1701</v>
      </c>
    </row>
    <row r="31" spans="1:12" x14ac:dyDescent="0.25">
      <c r="A31" t="s">
        <v>123</v>
      </c>
      <c r="B31" s="17">
        <v>2</v>
      </c>
      <c r="C31" s="17">
        <v>0</v>
      </c>
      <c r="D31" s="17">
        <v>0</v>
      </c>
      <c r="E31" s="17">
        <v>0</v>
      </c>
      <c r="F31" s="17">
        <v>0</v>
      </c>
      <c r="G31" s="17">
        <v>2</v>
      </c>
      <c r="H31" s="17">
        <f t="shared" si="0"/>
        <v>0</v>
      </c>
      <c r="I31" s="17">
        <v>8</v>
      </c>
      <c r="J31" s="39">
        <v>16</v>
      </c>
      <c r="K31" s="17">
        <f t="shared" si="1"/>
        <v>-8</v>
      </c>
      <c r="L31" s="15" t="s">
        <v>124</v>
      </c>
    </row>
    <row r="32" spans="1:12" x14ac:dyDescent="0.25">
      <c r="A32" t="s">
        <v>221</v>
      </c>
      <c r="B32" s="17">
        <v>4</v>
      </c>
      <c r="C32" s="17">
        <v>1</v>
      </c>
      <c r="D32" s="17">
        <v>0</v>
      </c>
      <c r="E32" s="17">
        <v>0</v>
      </c>
      <c r="F32" s="17">
        <v>1</v>
      </c>
      <c r="G32" s="17">
        <v>2</v>
      </c>
      <c r="H32" s="17">
        <f t="shared" si="0"/>
        <v>4</v>
      </c>
      <c r="I32" s="17">
        <v>23</v>
      </c>
      <c r="J32" s="39">
        <v>25</v>
      </c>
      <c r="K32" s="17">
        <f t="shared" si="1"/>
        <v>-2</v>
      </c>
      <c r="L32" s="15" t="s">
        <v>364</v>
      </c>
    </row>
    <row r="33" spans="1:12" x14ac:dyDescent="0.25">
      <c r="A33" t="s">
        <v>125</v>
      </c>
      <c r="B33" s="17">
        <v>2</v>
      </c>
      <c r="C33" s="17">
        <v>0</v>
      </c>
      <c r="D33" s="17">
        <v>0</v>
      </c>
      <c r="E33" s="17">
        <v>0</v>
      </c>
      <c r="F33" s="17">
        <v>0</v>
      </c>
      <c r="G33" s="17">
        <v>2</v>
      </c>
      <c r="H33" s="17">
        <f t="shared" si="0"/>
        <v>0</v>
      </c>
      <c r="I33" s="17">
        <v>7</v>
      </c>
      <c r="J33" s="39">
        <v>21</v>
      </c>
      <c r="K33" s="17">
        <f t="shared" si="1"/>
        <v>-14</v>
      </c>
      <c r="L33" s="15" t="s">
        <v>126</v>
      </c>
    </row>
    <row r="34" spans="1:12" x14ac:dyDescent="0.25">
      <c r="A34" t="s">
        <v>127</v>
      </c>
      <c r="B34" s="17">
        <v>2</v>
      </c>
      <c r="C34" s="17">
        <v>0</v>
      </c>
      <c r="D34" s="17">
        <v>0</v>
      </c>
      <c r="E34" s="17">
        <v>1</v>
      </c>
      <c r="F34" s="17">
        <v>0</v>
      </c>
      <c r="G34" s="17">
        <v>1</v>
      </c>
      <c r="H34" s="17">
        <f t="shared" si="0"/>
        <v>1</v>
      </c>
      <c r="I34" s="17">
        <v>7</v>
      </c>
      <c r="J34" s="39">
        <v>12</v>
      </c>
      <c r="K34" s="17">
        <f t="shared" si="1"/>
        <v>-5</v>
      </c>
      <c r="L34" s="15" t="s">
        <v>128</v>
      </c>
    </row>
    <row r="35" spans="1:12" x14ac:dyDescent="0.25">
      <c r="A35" t="s">
        <v>129</v>
      </c>
      <c r="B35" s="17">
        <v>2</v>
      </c>
      <c r="C35" s="17">
        <v>2</v>
      </c>
      <c r="D35" s="17">
        <v>0</v>
      </c>
      <c r="E35" s="17">
        <v>0</v>
      </c>
      <c r="F35" s="17">
        <v>0</v>
      </c>
      <c r="G35" s="17">
        <v>0</v>
      </c>
      <c r="H35" s="17">
        <f t="shared" si="0"/>
        <v>6</v>
      </c>
      <c r="I35" s="17">
        <v>17</v>
      </c>
      <c r="J35" s="39">
        <v>4</v>
      </c>
      <c r="K35" s="17">
        <f t="shared" si="1"/>
        <v>13</v>
      </c>
      <c r="L35" s="15" t="s">
        <v>130</v>
      </c>
    </row>
    <row r="36" spans="1:12" x14ac:dyDescent="0.25">
      <c r="A36" t="s">
        <v>405</v>
      </c>
      <c r="B36" s="17">
        <v>2</v>
      </c>
      <c r="C36" s="17">
        <v>2</v>
      </c>
      <c r="D36" s="17">
        <v>0</v>
      </c>
      <c r="E36" s="17">
        <v>0</v>
      </c>
      <c r="F36" s="17">
        <v>0</v>
      </c>
      <c r="G36" s="17">
        <v>0</v>
      </c>
      <c r="H36" s="17">
        <f t="shared" si="0"/>
        <v>6</v>
      </c>
      <c r="I36" s="17">
        <v>11</v>
      </c>
      <c r="J36" s="39">
        <v>0</v>
      </c>
      <c r="K36" s="17">
        <f t="shared" si="1"/>
        <v>11</v>
      </c>
      <c r="L36" s="6" t="s">
        <v>453</v>
      </c>
    </row>
    <row r="37" spans="1:12" x14ac:dyDescent="0.25">
      <c r="A37" t="s">
        <v>1395</v>
      </c>
      <c r="B37" s="17">
        <v>2</v>
      </c>
      <c r="C37" s="17">
        <v>0</v>
      </c>
      <c r="D37" s="17">
        <v>0</v>
      </c>
      <c r="E37" s="17">
        <v>0</v>
      </c>
      <c r="F37" s="17">
        <v>0</v>
      </c>
      <c r="G37" s="17">
        <v>2</v>
      </c>
      <c r="H37" s="17">
        <f t="shared" si="0"/>
        <v>0</v>
      </c>
      <c r="I37" s="17">
        <v>10</v>
      </c>
      <c r="J37" s="39">
        <v>45</v>
      </c>
      <c r="K37" s="17">
        <f t="shared" si="1"/>
        <v>-35</v>
      </c>
      <c r="L37" s="6" t="s">
        <v>1569</v>
      </c>
    </row>
    <row r="38" spans="1:12" x14ac:dyDescent="0.25">
      <c r="A38" t="s">
        <v>274</v>
      </c>
      <c r="B38" s="17">
        <v>2</v>
      </c>
      <c r="C38" s="17">
        <v>0</v>
      </c>
      <c r="D38" s="17">
        <v>0</v>
      </c>
      <c r="E38" s="17">
        <v>0</v>
      </c>
      <c r="F38" s="17">
        <v>0</v>
      </c>
      <c r="G38" s="17">
        <v>2</v>
      </c>
      <c r="H38" s="17">
        <f t="shared" si="0"/>
        <v>0</v>
      </c>
      <c r="I38" s="17">
        <v>9</v>
      </c>
      <c r="J38" s="39">
        <v>15</v>
      </c>
      <c r="K38" s="17">
        <f t="shared" si="1"/>
        <v>-6</v>
      </c>
      <c r="L38" s="15" t="s">
        <v>276</v>
      </c>
    </row>
    <row r="39" spans="1:12" x14ac:dyDescent="0.25">
      <c r="A39" t="s">
        <v>131</v>
      </c>
      <c r="B39" s="17">
        <v>4</v>
      </c>
      <c r="C39" s="17">
        <v>2</v>
      </c>
      <c r="D39" s="17">
        <v>0</v>
      </c>
      <c r="E39" s="17">
        <v>0</v>
      </c>
      <c r="F39" s="17">
        <v>0</v>
      </c>
      <c r="G39" s="17">
        <v>2</v>
      </c>
      <c r="H39" s="17">
        <f t="shared" si="0"/>
        <v>6</v>
      </c>
      <c r="I39" s="17">
        <v>15</v>
      </c>
      <c r="J39" s="39">
        <v>19</v>
      </c>
      <c r="K39" s="17">
        <f t="shared" si="1"/>
        <v>-4</v>
      </c>
      <c r="L39" s="15" t="s">
        <v>132</v>
      </c>
    </row>
    <row r="40" spans="1:12" x14ac:dyDescent="0.25">
      <c r="A40" t="s">
        <v>476</v>
      </c>
      <c r="B40" s="17">
        <v>4</v>
      </c>
      <c r="C40" s="17">
        <v>2</v>
      </c>
      <c r="D40" s="17">
        <v>1</v>
      </c>
      <c r="E40" s="17">
        <v>0</v>
      </c>
      <c r="F40" s="17">
        <v>1</v>
      </c>
      <c r="G40" s="17">
        <v>0</v>
      </c>
      <c r="H40" s="17">
        <f t="shared" si="0"/>
        <v>9</v>
      </c>
      <c r="I40" s="17">
        <v>27</v>
      </c>
      <c r="J40" s="39">
        <v>20</v>
      </c>
      <c r="K40" s="17">
        <f t="shared" si="1"/>
        <v>7</v>
      </c>
      <c r="L40" s="6" t="s">
        <v>1284</v>
      </c>
    </row>
    <row r="41" spans="1:12" x14ac:dyDescent="0.25">
      <c r="A41" t="s">
        <v>133</v>
      </c>
      <c r="B41" s="17">
        <v>2</v>
      </c>
      <c r="C41" s="17">
        <v>0</v>
      </c>
      <c r="D41" s="17">
        <v>0</v>
      </c>
      <c r="E41" s="17">
        <v>0</v>
      </c>
      <c r="F41" s="17">
        <v>0</v>
      </c>
      <c r="G41" s="17">
        <v>2</v>
      </c>
      <c r="H41" s="17">
        <f t="shared" si="0"/>
        <v>0</v>
      </c>
      <c r="I41" s="17">
        <v>3</v>
      </c>
      <c r="J41" s="39">
        <v>11</v>
      </c>
      <c r="K41" s="17">
        <f t="shared" si="1"/>
        <v>-8</v>
      </c>
      <c r="L41" s="15" t="s">
        <v>134</v>
      </c>
    </row>
    <row r="42" spans="1:12" x14ac:dyDescent="0.25">
      <c r="A42" t="s">
        <v>222</v>
      </c>
      <c r="B42" s="17">
        <v>2</v>
      </c>
      <c r="C42" s="17">
        <v>1</v>
      </c>
      <c r="D42" s="17">
        <v>0</v>
      </c>
      <c r="E42" s="17">
        <v>0</v>
      </c>
      <c r="F42" s="17">
        <v>0</v>
      </c>
      <c r="G42" s="17">
        <v>1</v>
      </c>
      <c r="H42" s="17">
        <f t="shared" si="0"/>
        <v>3</v>
      </c>
      <c r="I42" s="17">
        <v>12</v>
      </c>
      <c r="J42" s="39">
        <v>17</v>
      </c>
      <c r="K42" s="17">
        <f t="shared" si="1"/>
        <v>-5</v>
      </c>
      <c r="L42" s="15" t="s">
        <v>363</v>
      </c>
    </row>
    <row r="43" spans="1:12" x14ac:dyDescent="0.25">
      <c r="A43" t="s">
        <v>1667</v>
      </c>
      <c r="B43" s="17">
        <v>1</v>
      </c>
      <c r="C43" s="17">
        <v>1</v>
      </c>
      <c r="D43" s="17">
        <v>0</v>
      </c>
      <c r="E43" s="17">
        <v>0</v>
      </c>
      <c r="F43" s="17">
        <v>0</v>
      </c>
      <c r="G43" s="17">
        <v>0</v>
      </c>
      <c r="H43" s="17">
        <f t="shared" si="0"/>
        <v>3</v>
      </c>
      <c r="I43" s="17">
        <v>8</v>
      </c>
      <c r="J43" s="39">
        <v>6</v>
      </c>
      <c r="K43" s="17">
        <f t="shared" si="1"/>
        <v>2</v>
      </c>
      <c r="L43" s="6" t="s">
        <v>1763</v>
      </c>
    </row>
    <row r="44" spans="1:12" x14ac:dyDescent="0.25">
      <c r="A44" t="s">
        <v>479</v>
      </c>
      <c r="B44" s="17">
        <v>2</v>
      </c>
      <c r="C44" s="17">
        <v>0</v>
      </c>
      <c r="D44" s="17">
        <v>0</v>
      </c>
      <c r="E44" s="17">
        <v>0</v>
      </c>
      <c r="F44" s="17">
        <v>0</v>
      </c>
      <c r="G44" s="17">
        <v>2</v>
      </c>
      <c r="H44" s="17">
        <f t="shared" ref="H44:H60" si="2">C44*3+D44*2+E44+F44</f>
        <v>0</v>
      </c>
      <c r="I44" s="17">
        <v>5</v>
      </c>
      <c r="J44" s="39">
        <v>17</v>
      </c>
      <c r="K44" s="17">
        <f t="shared" ref="K44:K60" si="3">I44-J44</f>
        <v>-12</v>
      </c>
      <c r="L44" s="6" t="s">
        <v>1140</v>
      </c>
    </row>
    <row r="45" spans="1:12" x14ac:dyDescent="0.25">
      <c r="A45" t="s">
        <v>135</v>
      </c>
      <c r="B45" s="17">
        <v>3</v>
      </c>
      <c r="C45" s="17">
        <v>2</v>
      </c>
      <c r="D45" s="17">
        <v>0</v>
      </c>
      <c r="E45" s="17">
        <v>1</v>
      </c>
      <c r="F45" s="17">
        <v>0</v>
      </c>
      <c r="G45" s="17">
        <v>0</v>
      </c>
      <c r="H45" s="17">
        <f t="shared" si="2"/>
        <v>7</v>
      </c>
      <c r="I45" s="17">
        <v>23</v>
      </c>
      <c r="J45" s="39">
        <v>9</v>
      </c>
      <c r="K45" s="17">
        <f t="shared" si="3"/>
        <v>14</v>
      </c>
      <c r="L45" s="15" t="s">
        <v>366</v>
      </c>
    </row>
    <row r="46" spans="1:12" x14ac:dyDescent="0.25">
      <c r="A46" t="s">
        <v>1173</v>
      </c>
      <c r="B46" s="17">
        <v>6</v>
      </c>
      <c r="C46" s="17">
        <v>3</v>
      </c>
      <c r="D46" s="17">
        <v>0</v>
      </c>
      <c r="E46" s="17">
        <v>0</v>
      </c>
      <c r="F46" s="17">
        <v>0</v>
      </c>
      <c r="G46" s="17">
        <v>3</v>
      </c>
      <c r="H46" s="17">
        <f t="shared" si="2"/>
        <v>9</v>
      </c>
      <c r="I46" s="17">
        <v>28</v>
      </c>
      <c r="J46" s="39">
        <v>26</v>
      </c>
      <c r="K46" s="17">
        <f t="shared" si="3"/>
        <v>2</v>
      </c>
      <c r="L46" s="15" t="s">
        <v>1250</v>
      </c>
    </row>
    <row r="47" spans="1:12" x14ac:dyDescent="0.25">
      <c r="A47" t="s">
        <v>352</v>
      </c>
      <c r="B47" s="17">
        <v>2</v>
      </c>
      <c r="C47" s="17">
        <v>0</v>
      </c>
      <c r="D47" s="17">
        <v>0</v>
      </c>
      <c r="E47" s="17">
        <v>0</v>
      </c>
      <c r="F47" s="17">
        <v>0</v>
      </c>
      <c r="G47" s="17">
        <v>2</v>
      </c>
      <c r="H47" s="17">
        <f t="shared" si="2"/>
        <v>0</v>
      </c>
      <c r="I47" s="17">
        <v>10</v>
      </c>
      <c r="J47" s="39">
        <v>13</v>
      </c>
      <c r="K47" s="17">
        <f t="shared" si="3"/>
        <v>-3</v>
      </c>
      <c r="L47" s="15" t="s">
        <v>247</v>
      </c>
    </row>
    <row r="48" spans="1:12" x14ac:dyDescent="0.25">
      <c r="A48" t="s">
        <v>351</v>
      </c>
      <c r="B48" s="17">
        <v>2</v>
      </c>
      <c r="C48" s="17">
        <v>0</v>
      </c>
      <c r="D48" s="17">
        <v>0</v>
      </c>
      <c r="E48" s="17">
        <v>0</v>
      </c>
      <c r="F48" s="17">
        <v>0</v>
      </c>
      <c r="G48" s="17">
        <v>2</v>
      </c>
      <c r="H48" s="17">
        <f t="shared" si="2"/>
        <v>0</v>
      </c>
      <c r="I48" s="17">
        <v>5</v>
      </c>
      <c r="J48" s="39">
        <v>8</v>
      </c>
      <c r="K48" s="17">
        <f t="shared" si="3"/>
        <v>-3</v>
      </c>
      <c r="L48" s="15" t="s">
        <v>376</v>
      </c>
    </row>
    <row r="49" spans="1:12" x14ac:dyDescent="0.25">
      <c r="A49" t="s">
        <v>277</v>
      </c>
      <c r="B49" s="17">
        <v>2</v>
      </c>
      <c r="C49" s="17">
        <v>1</v>
      </c>
      <c r="D49" s="17">
        <v>0</v>
      </c>
      <c r="E49" s="17">
        <v>0</v>
      </c>
      <c r="F49" s="17">
        <v>0</v>
      </c>
      <c r="G49" s="17">
        <v>1</v>
      </c>
      <c r="H49" s="17">
        <f t="shared" si="2"/>
        <v>3</v>
      </c>
      <c r="I49" s="17">
        <v>10</v>
      </c>
      <c r="J49" s="39">
        <v>8</v>
      </c>
      <c r="K49" s="17">
        <f t="shared" si="3"/>
        <v>2</v>
      </c>
      <c r="L49" s="15" t="s">
        <v>296</v>
      </c>
    </row>
    <row r="50" spans="1:12" x14ac:dyDescent="0.25">
      <c r="A50" t="s">
        <v>136</v>
      </c>
      <c r="B50" s="17">
        <v>2</v>
      </c>
      <c r="C50" s="17">
        <v>0</v>
      </c>
      <c r="D50" s="17">
        <v>0</v>
      </c>
      <c r="E50" s="17">
        <v>0</v>
      </c>
      <c r="F50" s="17">
        <v>0</v>
      </c>
      <c r="G50" s="17">
        <v>2</v>
      </c>
      <c r="H50" s="17">
        <f t="shared" si="2"/>
        <v>0</v>
      </c>
      <c r="I50" s="17">
        <v>5</v>
      </c>
      <c r="J50" s="39">
        <v>27</v>
      </c>
      <c r="K50" s="17">
        <f t="shared" si="3"/>
        <v>-22</v>
      </c>
      <c r="L50" s="15" t="s">
        <v>137</v>
      </c>
    </row>
    <row r="51" spans="1:12" x14ac:dyDescent="0.25">
      <c r="A51" t="s">
        <v>279</v>
      </c>
      <c r="B51" s="17">
        <v>2</v>
      </c>
      <c r="C51" s="17">
        <v>2</v>
      </c>
      <c r="D51" s="17">
        <v>0</v>
      </c>
      <c r="E51" s="17">
        <v>0</v>
      </c>
      <c r="F51" s="17">
        <v>0</v>
      </c>
      <c r="G51" s="17">
        <v>0</v>
      </c>
      <c r="H51" s="17">
        <f t="shared" si="2"/>
        <v>6</v>
      </c>
      <c r="I51" s="17">
        <v>16</v>
      </c>
      <c r="J51" s="39">
        <v>4</v>
      </c>
      <c r="K51" s="17">
        <f t="shared" si="3"/>
        <v>12</v>
      </c>
      <c r="L51" s="6" t="s">
        <v>458</v>
      </c>
    </row>
    <row r="52" spans="1:12" x14ac:dyDescent="0.25">
      <c r="A52" t="s">
        <v>480</v>
      </c>
      <c r="B52" s="17">
        <v>4</v>
      </c>
      <c r="C52" s="17">
        <v>4</v>
      </c>
      <c r="D52" s="17">
        <v>0</v>
      </c>
      <c r="E52" s="17">
        <v>0</v>
      </c>
      <c r="F52" s="17">
        <v>0</v>
      </c>
      <c r="G52" s="17">
        <v>0</v>
      </c>
      <c r="H52" s="17">
        <f t="shared" si="2"/>
        <v>12</v>
      </c>
      <c r="I52" s="17">
        <v>34</v>
      </c>
      <c r="J52" s="39">
        <v>25</v>
      </c>
      <c r="K52" s="17">
        <f t="shared" si="3"/>
        <v>9</v>
      </c>
      <c r="L52" s="6" t="s">
        <v>1217</v>
      </c>
    </row>
    <row r="53" spans="1:12" x14ac:dyDescent="0.25">
      <c r="A53" t="s">
        <v>138</v>
      </c>
      <c r="B53" s="17">
        <v>8</v>
      </c>
      <c r="C53" s="17">
        <v>7</v>
      </c>
      <c r="D53" s="17">
        <v>0</v>
      </c>
      <c r="E53" s="17">
        <v>0</v>
      </c>
      <c r="F53" s="17">
        <v>0</v>
      </c>
      <c r="G53" s="17">
        <v>1</v>
      </c>
      <c r="H53" s="17">
        <f t="shared" si="2"/>
        <v>21</v>
      </c>
      <c r="I53" s="17">
        <v>66</v>
      </c>
      <c r="J53" s="39">
        <v>31</v>
      </c>
      <c r="K53" s="17">
        <f t="shared" si="3"/>
        <v>35</v>
      </c>
      <c r="L53" s="15" t="s">
        <v>448</v>
      </c>
    </row>
    <row r="54" spans="1:12" x14ac:dyDescent="0.25">
      <c r="A54" t="s">
        <v>139</v>
      </c>
      <c r="B54" s="17">
        <v>4</v>
      </c>
      <c r="C54" s="17">
        <v>1</v>
      </c>
      <c r="D54" s="17">
        <v>0</v>
      </c>
      <c r="E54" s="17">
        <v>0</v>
      </c>
      <c r="F54" s="17">
        <v>0</v>
      </c>
      <c r="G54" s="17">
        <v>3</v>
      </c>
      <c r="H54" s="17">
        <f t="shared" si="2"/>
        <v>3</v>
      </c>
      <c r="I54" s="17">
        <v>20</v>
      </c>
      <c r="J54" s="39">
        <v>32</v>
      </c>
      <c r="K54" s="17">
        <f t="shared" si="3"/>
        <v>-12</v>
      </c>
      <c r="L54" s="15" t="s">
        <v>140</v>
      </c>
    </row>
    <row r="55" spans="1:12" x14ac:dyDescent="0.25">
      <c r="A55" t="s">
        <v>362</v>
      </c>
      <c r="B55" s="17">
        <v>5</v>
      </c>
      <c r="C55" s="17">
        <v>5</v>
      </c>
      <c r="D55" s="17">
        <v>0</v>
      </c>
      <c r="E55" s="17">
        <v>0</v>
      </c>
      <c r="F55" s="17">
        <v>0</v>
      </c>
      <c r="G55" s="17">
        <v>0</v>
      </c>
      <c r="H55" s="17">
        <f t="shared" si="2"/>
        <v>15</v>
      </c>
      <c r="I55" s="17">
        <v>35</v>
      </c>
      <c r="J55" s="39">
        <v>17</v>
      </c>
      <c r="K55" s="17">
        <f t="shared" si="3"/>
        <v>18</v>
      </c>
      <c r="L55" s="15" t="s">
        <v>456</v>
      </c>
    </row>
    <row r="56" spans="1:12" x14ac:dyDescent="0.25">
      <c r="A56" t="s">
        <v>302</v>
      </c>
      <c r="B56" s="17">
        <v>3</v>
      </c>
      <c r="C56" s="17">
        <v>2</v>
      </c>
      <c r="D56" s="17">
        <v>0</v>
      </c>
      <c r="E56" s="17">
        <v>0</v>
      </c>
      <c r="F56" s="17">
        <v>0</v>
      </c>
      <c r="G56" s="17">
        <v>1</v>
      </c>
      <c r="H56" s="17">
        <f t="shared" si="2"/>
        <v>6</v>
      </c>
      <c r="I56" s="17">
        <v>28</v>
      </c>
      <c r="J56" s="39">
        <v>11</v>
      </c>
      <c r="K56" s="17">
        <f t="shared" si="3"/>
        <v>17</v>
      </c>
      <c r="L56" s="15" t="s">
        <v>360</v>
      </c>
    </row>
    <row r="57" spans="1:12" x14ac:dyDescent="0.25">
      <c r="A57" t="s">
        <v>398</v>
      </c>
      <c r="B57" s="17">
        <v>3</v>
      </c>
      <c r="C57" s="17">
        <v>2</v>
      </c>
      <c r="D57" s="17">
        <v>0</v>
      </c>
      <c r="E57" s="17">
        <v>0</v>
      </c>
      <c r="F57" s="17">
        <v>0</v>
      </c>
      <c r="G57" s="17">
        <v>1</v>
      </c>
      <c r="H57" s="17">
        <f t="shared" si="2"/>
        <v>6</v>
      </c>
      <c r="I57" s="17">
        <v>17</v>
      </c>
      <c r="J57" s="39">
        <v>16</v>
      </c>
      <c r="K57" s="17">
        <f t="shared" si="3"/>
        <v>1</v>
      </c>
      <c r="L57" s="6" t="s">
        <v>454</v>
      </c>
    </row>
    <row r="58" spans="1:12" x14ac:dyDescent="0.25">
      <c r="A58" t="s">
        <v>303</v>
      </c>
      <c r="B58" s="17">
        <v>4</v>
      </c>
      <c r="C58" s="17">
        <v>1</v>
      </c>
      <c r="D58" s="17">
        <v>0</v>
      </c>
      <c r="E58" s="17">
        <v>1</v>
      </c>
      <c r="F58" s="17">
        <v>0</v>
      </c>
      <c r="G58" s="17">
        <v>2</v>
      </c>
      <c r="H58" s="17">
        <f t="shared" si="2"/>
        <v>4</v>
      </c>
      <c r="I58" s="17">
        <v>21</v>
      </c>
      <c r="J58" s="39">
        <v>18</v>
      </c>
      <c r="K58" s="17">
        <f t="shared" si="3"/>
        <v>3</v>
      </c>
      <c r="L58" s="15" t="s">
        <v>367</v>
      </c>
    </row>
    <row r="59" spans="1:12" x14ac:dyDescent="0.25">
      <c r="A59" t="s">
        <v>481</v>
      </c>
      <c r="B59" s="17">
        <v>1</v>
      </c>
      <c r="C59" s="17">
        <v>1</v>
      </c>
      <c r="D59" s="17">
        <v>0</v>
      </c>
      <c r="E59" s="17">
        <v>0</v>
      </c>
      <c r="F59" s="17">
        <v>0</v>
      </c>
      <c r="G59" s="17">
        <v>0</v>
      </c>
      <c r="H59" s="17">
        <f t="shared" si="2"/>
        <v>3</v>
      </c>
      <c r="I59" s="17">
        <v>15</v>
      </c>
      <c r="J59" s="39">
        <v>4</v>
      </c>
      <c r="K59" s="17">
        <f t="shared" si="3"/>
        <v>11</v>
      </c>
      <c r="L59" s="6" t="s">
        <v>1141</v>
      </c>
    </row>
    <row r="60" spans="1:12" x14ac:dyDescent="0.25">
      <c r="A60" t="s">
        <v>236</v>
      </c>
      <c r="B60" s="17">
        <v>6</v>
      </c>
      <c r="C60" s="17">
        <v>1</v>
      </c>
      <c r="D60" s="17">
        <v>1</v>
      </c>
      <c r="E60" s="17">
        <v>1</v>
      </c>
      <c r="F60" s="17">
        <v>0</v>
      </c>
      <c r="G60" s="17">
        <v>3</v>
      </c>
      <c r="H60" s="17">
        <f t="shared" si="2"/>
        <v>6</v>
      </c>
      <c r="I60" s="17">
        <v>40</v>
      </c>
      <c r="J60" s="39">
        <v>46</v>
      </c>
      <c r="K60" s="17">
        <f t="shared" si="3"/>
        <v>-6</v>
      </c>
      <c r="L60" s="15" t="s">
        <v>1153</v>
      </c>
    </row>
    <row r="61" spans="1:12" x14ac:dyDescent="0.25">
      <c r="A61" t="s">
        <v>1664</v>
      </c>
    </row>
    <row r="62" spans="1:12" x14ac:dyDescent="0.25">
      <c r="A62" t="s">
        <v>141</v>
      </c>
      <c r="B62" s="17">
        <v>2</v>
      </c>
      <c r="C62" s="17">
        <v>2</v>
      </c>
      <c r="D62" s="17">
        <v>0</v>
      </c>
      <c r="E62" s="17">
        <v>0</v>
      </c>
      <c r="F62" s="17">
        <v>0</v>
      </c>
      <c r="G62" s="17">
        <v>0</v>
      </c>
      <c r="H62" s="17">
        <f t="shared" ref="H62:H84" si="4">C62*3+D62*2+E62+F62</f>
        <v>6</v>
      </c>
      <c r="I62" s="17">
        <v>15</v>
      </c>
      <c r="J62" s="39">
        <v>5</v>
      </c>
      <c r="K62" s="17">
        <f t="shared" ref="K62:K84" si="5">I62-J62</f>
        <v>10</v>
      </c>
      <c r="L62" s="15" t="s">
        <v>142</v>
      </c>
    </row>
    <row r="63" spans="1:12" x14ac:dyDescent="0.25">
      <c r="A63" t="s">
        <v>143</v>
      </c>
      <c r="B63" s="17">
        <v>2</v>
      </c>
      <c r="C63" s="17">
        <v>1</v>
      </c>
      <c r="D63" s="17">
        <v>0</v>
      </c>
      <c r="E63" s="17">
        <v>0</v>
      </c>
      <c r="F63" s="17">
        <v>0</v>
      </c>
      <c r="G63" s="17">
        <v>1</v>
      </c>
      <c r="H63" s="17">
        <f t="shared" si="4"/>
        <v>3</v>
      </c>
      <c r="I63" s="17">
        <v>8</v>
      </c>
      <c r="J63" s="39">
        <v>9</v>
      </c>
      <c r="K63" s="17">
        <f t="shared" si="5"/>
        <v>-1</v>
      </c>
      <c r="L63" s="15" t="s">
        <v>144</v>
      </c>
    </row>
    <row r="64" spans="1:12" x14ac:dyDescent="0.25">
      <c r="A64" t="s">
        <v>1396</v>
      </c>
      <c r="B64" s="17">
        <v>2</v>
      </c>
      <c r="C64" s="17">
        <v>0</v>
      </c>
      <c r="D64" s="17">
        <v>0</v>
      </c>
      <c r="E64" s="17">
        <v>0</v>
      </c>
      <c r="F64" s="17">
        <v>0</v>
      </c>
      <c r="G64" s="17">
        <v>2</v>
      </c>
      <c r="H64" s="17">
        <f t="shared" si="4"/>
        <v>0</v>
      </c>
      <c r="I64" s="17">
        <v>7</v>
      </c>
      <c r="J64" s="39">
        <v>13</v>
      </c>
      <c r="K64" s="17">
        <f t="shared" si="5"/>
        <v>-6</v>
      </c>
      <c r="L64" s="6" t="s">
        <v>1532</v>
      </c>
    </row>
    <row r="65" spans="1:12" x14ac:dyDescent="0.25">
      <c r="A65" t="s">
        <v>1174</v>
      </c>
      <c r="B65" s="17">
        <v>2</v>
      </c>
      <c r="C65" s="17">
        <v>2</v>
      </c>
      <c r="D65" s="17">
        <v>0</v>
      </c>
      <c r="E65" s="17">
        <v>0</v>
      </c>
      <c r="F65" s="17">
        <v>0</v>
      </c>
      <c r="G65" s="17">
        <v>0</v>
      </c>
      <c r="H65" s="17">
        <f t="shared" si="4"/>
        <v>6</v>
      </c>
      <c r="I65" s="17">
        <v>18</v>
      </c>
      <c r="J65" s="39">
        <v>9</v>
      </c>
      <c r="K65" s="17">
        <f t="shared" si="5"/>
        <v>9</v>
      </c>
      <c r="L65" s="6" t="s">
        <v>1388</v>
      </c>
    </row>
    <row r="66" spans="1:12" x14ac:dyDescent="0.25">
      <c r="A66" t="s">
        <v>395</v>
      </c>
      <c r="B66" s="17">
        <v>2</v>
      </c>
      <c r="C66" s="17">
        <v>1</v>
      </c>
      <c r="D66" s="17">
        <v>0</v>
      </c>
      <c r="E66" s="17">
        <v>0</v>
      </c>
      <c r="F66" s="17">
        <v>0</v>
      </c>
      <c r="G66" s="17">
        <v>1</v>
      </c>
      <c r="H66" s="17">
        <f t="shared" si="4"/>
        <v>3</v>
      </c>
      <c r="I66" s="17">
        <v>9</v>
      </c>
      <c r="J66" s="39">
        <v>14</v>
      </c>
      <c r="K66" s="17">
        <f t="shared" si="5"/>
        <v>-5</v>
      </c>
      <c r="L66" s="15" t="s">
        <v>246</v>
      </c>
    </row>
    <row r="67" spans="1:12" x14ac:dyDescent="0.25">
      <c r="A67" t="s">
        <v>396</v>
      </c>
      <c r="B67" s="17">
        <v>7</v>
      </c>
      <c r="C67" s="17">
        <v>2</v>
      </c>
      <c r="D67" s="17">
        <v>1</v>
      </c>
      <c r="E67" s="17">
        <v>0</v>
      </c>
      <c r="F67" s="17">
        <v>0</v>
      </c>
      <c r="G67" s="17">
        <v>4</v>
      </c>
      <c r="H67" s="17">
        <f t="shared" si="4"/>
        <v>8</v>
      </c>
      <c r="I67" s="17">
        <v>26</v>
      </c>
      <c r="J67" s="39">
        <v>40</v>
      </c>
      <c r="K67" s="17">
        <f t="shared" si="5"/>
        <v>-14</v>
      </c>
      <c r="L67" s="15" t="s">
        <v>1676</v>
      </c>
    </row>
    <row r="68" spans="1:12" x14ac:dyDescent="0.25">
      <c r="A68" t="s">
        <v>317</v>
      </c>
      <c r="B68" s="17">
        <v>2</v>
      </c>
      <c r="C68" s="17">
        <v>0</v>
      </c>
      <c r="D68" s="17">
        <v>0</v>
      </c>
      <c r="E68" s="17">
        <v>0</v>
      </c>
      <c r="F68" s="17">
        <v>1</v>
      </c>
      <c r="G68" s="17">
        <v>1</v>
      </c>
      <c r="H68" s="17">
        <f t="shared" si="4"/>
        <v>1</v>
      </c>
      <c r="I68" s="17">
        <v>10</v>
      </c>
      <c r="J68" s="39">
        <v>10</v>
      </c>
      <c r="K68" s="17">
        <f t="shared" si="5"/>
        <v>0</v>
      </c>
      <c r="L68" s="6" t="s">
        <v>1251</v>
      </c>
    </row>
    <row r="69" spans="1:12" x14ac:dyDescent="0.25">
      <c r="A69" t="s">
        <v>397</v>
      </c>
      <c r="B69" s="17">
        <v>2</v>
      </c>
      <c r="C69" s="17">
        <v>1</v>
      </c>
      <c r="D69" s="17">
        <v>0</v>
      </c>
      <c r="E69" s="17">
        <v>0</v>
      </c>
      <c r="F69" s="17">
        <v>0</v>
      </c>
      <c r="G69" s="17">
        <v>1</v>
      </c>
      <c r="H69" s="17">
        <f t="shared" si="4"/>
        <v>3</v>
      </c>
      <c r="I69" s="17">
        <v>9</v>
      </c>
      <c r="J69" s="39">
        <v>8</v>
      </c>
      <c r="K69" s="17">
        <f t="shared" si="5"/>
        <v>1</v>
      </c>
      <c r="L69" s="15" t="s">
        <v>114</v>
      </c>
    </row>
    <row r="70" spans="1:12" x14ac:dyDescent="0.25">
      <c r="A70" t="s">
        <v>304</v>
      </c>
      <c r="B70" s="17">
        <v>2</v>
      </c>
      <c r="C70" s="17">
        <v>2</v>
      </c>
      <c r="D70" s="17">
        <v>0</v>
      </c>
      <c r="E70" s="17">
        <v>0</v>
      </c>
      <c r="F70" s="17">
        <v>0</v>
      </c>
      <c r="G70" s="17">
        <v>0</v>
      </c>
      <c r="H70" s="17">
        <f t="shared" si="4"/>
        <v>6</v>
      </c>
      <c r="I70" s="17">
        <v>13</v>
      </c>
      <c r="J70" s="17">
        <v>5</v>
      </c>
      <c r="K70" s="17">
        <f t="shared" si="5"/>
        <v>8</v>
      </c>
      <c r="L70" s="15" t="s">
        <v>321</v>
      </c>
    </row>
    <row r="71" spans="1:12" x14ac:dyDescent="0.25">
      <c r="A71" t="s">
        <v>1397</v>
      </c>
      <c r="B71" s="17">
        <v>2</v>
      </c>
      <c r="C71" s="17">
        <v>1</v>
      </c>
      <c r="D71" s="17">
        <v>0</v>
      </c>
      <c r="E71" s="17">
        <v>0</v>
      </c>
      <c r="F71" s="17">
        <v>0</v>
      </c>
      <c r="G71" s="17">
        <v>1</v>
      </c>
      <c r="H71" s="17">
        <f t="shared" si="4"/>
        <v>3</v>
      </c>
      <c r="I71" s="17">
        <v>10</v>
      </c>
      <c r="J71" s="39">
        <v>8</v>
      </c>
      <c r="K71" s="17">
        <f t="shared" si="5"/>
        <v>2</v>
      </c>
      <c r="L71" s="6" t="s">
        <v>1546</v>
      </c>
    </row>
    <row r="72" spans="1:12" x14ac:dyDescent="0.25">
      <c r="A72" t="s">
        <v>482</v>
      </c>
      <c r="B72" s="17">
        <v>2</v>
      </c>
      <c r="C72" s="17">
        <v>1</v>
      </c>
      <c r="D72" s="17">
        <v>0</v>
      </c>
      <c r="E72" s="17">
        <v>0</v>
      </c>
      <c r="F72" s="17">
        <v>0</v>
      </c>
      <c r="G72" s="17">
        <v>1</v>
      </c>
      <c r="H72" s="17">
        <f t="shared" si="4"/>
        <v>3</v>
      </c>
      <c r="I72" s="17">
        <v>18</v>
      </c>
      <c r="J72" s="39">
        <v>12</v>
      </c>
      <c r="K72" s="17">
        <f t="shared" si="5"/>
        <v>6</v>
      </c>
      <c r="L72" s="6" t="s">
        <v>1090</v>
      </c>
    </row>
    <row r="73" spans="1:12" x14ac:dyDescent="0.25">
      <c r="A73" t="s">
        <v>234</v>
      </c>
      <c r="B73" s="17">
        <v>4</v>
      </c>
      <c r="C73" s="17">
        <v>1</v>
      </c>
      <c r="D73" s="17">
        <v>0</v>
      </c>
      <c r="E73" s="17">
        <v>0</v>
      </c>
      <c r="F73" s="17">
        <v>0</v>
      </c>
      <c r="G73" s="17">
        <v>3</v>
      </c>
      <c r="H73" s="17">
        <f t="shared" si="4"/>
        <v>3</v>
      </c>
      <c r="I73" s="17">
        <v>20</v>
      </c>
      <c r="J73" s="39">
        <v>30</v>
      </c>
      <c r="K73" s="17">
        <f t="shared" si="5"/>
        <v>-10</v>
      </c>
      <c r="L73" s="6" t="s">
        <v>1535</v>
      </c>
    </row>
    <row r="74" spans="1:12" x14ac:dyDescent="0.25">
      <c r="A74" t="s">
        <v>145</v>
      </c>
      <c r="B74" s="17">
        <v>4</v>
      </c>
      <c r="C74" s="17">
        <v>1</v>
      </c>
      <c r="D74" s="17">
        <v>1</v>
      </c>
      <c r="E74" s="17">
        <v>0</v>
      </c>
      <c r="F74" s="17">
        <v>0</v>
      </c>
      <c r="G74" s="17">
        <v>2</v>
      </c>
      <c r="H74" s="17">
        <f t="shared" si="4"/>
        <v>5</v>
      </c>
      <c r="I74" s="17">
        <v>23</v>
      </c>
      <c r="J74" s="39">
        <v>25</v>
      </c>
      <c r="K74" s="17">
        <f t="shared" si="5"/>
        <v>-2</v>
      </c>
      <c r="L74" s="15" t="s">
        <v>291</v>
      </c>
    </row>
    <row r="75" spans="1:12" x14ac:dyDescent="0.25">
      <c r="A75" t="s">
        <v>146</v>
      </c>
      <c r="B75" s="17">
        <v>2</v>
      </c>
      <c r="C75" s="17">
        <v>2</v>
      </c>
      <c r="D75" s="17">
        <v>0</v>
      </c>
      <c r="E75" s="17">
        <v>0</v>
      </c>
      <c r="F75" s="17">
        <v>0</v>
      </c>
      <c r="G75" s="17">
        <v>0</v>
      </c>
      <c r="H75" s="17">
        <f t="shared" si="4"/>
        <v>6</v>
      </c>
      <c r="I75" s="17">
        <v>17</v>
      </c>
      <c r="J75" s="39">
        <v>6</v>
      </c>
      <c r="K75" s="17">
        <f t="shared" si="5"/>
        <v>11</v>
      </c>
      <c r="L75" s="15" t="s">
        <v>147</v>
      </c>
    </row>
    <row r="76" spans="1:12" x14ac:dyDescent="0.25">
      <c r="A76" t="s">
        <v>148</v>
      </c>
      <c r="B76" s="17">
        <v>4</v>
      </c>
      <c r="C76" s="17">
        <v>4</v>
      </c>
      <c r="D76" s="17">
        <v>0</v>
      </c>
      <c r="E76" s="17">
        <v>0</v>
      </c>
      <c r="F76" s="17">
        <v>0</v>
      </c>
      <c r="G76" s="17">
        <v>0</v>
      </c>
      <c r="H76" s="17">
        <f t="shared" si="4"/>
        <v>12</v>
      </c>
      <c r="I76" s="17">
        <v>24</v>
      </c>
      <c r="J76" s="39">
        <v>6</v>
      </c>
      <c r="K76" s="17">
        <f t="shared" si="5"/>
        <v>18</v>
      </c>
      <c r="L76" s="15" t="s">
        <v>210</v>
      </c>
    </row>
    <row r="77" spans="1:12" x14ac:dyDescent="0.25">
      <c r="A77" t="s">
        <v>260</v>
      </c>
      <c r="B77" s="17">
        <v>4</v>
      </c>
      <c r="C77" s="17">
        <v>1</v>
      </c>
      <c r="D77" s="17">
        <v>0</v>
      </c>
      <c r="E77" s="17">
        <v>0</v>
      </c>
      <c r="F77" s="17">
        <v>0</v>
      </c>
      <c r="G77" s="17">
        <v>3</v>
      </c>
      <c r="H77" s="17">
        <f t="shared" si="4"/>
        <v>3</v>
      </c>
      <c r="I77" s="17">
        <v>23</v>
      </c>
      <c r="J77" s="39">
        <v>24</v>
      </c>
      <c r="K77" s="17">
        <f t="shared" si="5"/>
        <v>-1</v>
      </c>
      <c r="L77" s="15" t="s">
        <v>295</v>
      </c>
    </row>
    <row r="78" spans="1:12" x14ac:dyDescent="0.25">
      <c r="A78" t="s">
        <v>149</v>
      </c>
      <c r="B78" s="17">
        <v>7</v>
      </c>
      <c r="C78" s="17">
        <v>4</v>
      </c>
      <c r="D78" s="17">
        <v>0</v>
      </c>
      <c r="E78" s="17">
        <v>0</v>
      </c>
      <c r="F78" s="17">
        <v>0</v>
      </c>
      <c r="G78" s="17">
        <v>3</v>
      </c>
      <c r="H78" s="17">
        <f t="shared" si="4"/>
        <v>12</v>
      </c>
      <c r="I78" s="17">
        <v>34</v>
      </c>
      <c r="J78" s="39">
        <v>19</v>
      </c>
      <c r="K78" s="17">
        <f t="shared" si="5"/>
        <v>15</v>
      </c>
      <c r="L78" s="15" t="s">
        <v>457</v>
      </c>
    </row>
    <row r="79" spans="1:12" x14ac:dyDescent="0.25">
      <c r="A79" t="s">
        <v>150</v>
      </c>
      <c r="B79" s="17">
        <v>2</v>
      </c>
      <c r="C79" s="17">
        <v>2</v>
      </c>
      <c r="D79" s="17">
        <v>0</v>
      </c>
      <c r="E79" s="17">
        <v>0</v>
      </c>
      <c r="F79" s="17">
        <v>0</v>
      </c>
      <c r="G79" s="17">
        <v>0</v>
      </c>
      <c r="H79" s="17">
        <f t="shared" si="4"/>
        <v>6</v>
      </c>
      <c r="I79" s="17">
        <v>18</v>
      </c>
      <c r="J79" s="39">
        <v>2</v>
      </c>
      <c r="K79" s="17">
        <f t="shared" si="5"/>
        <v>16</v>
      </c>
      <c r="L79" s="15" t="s">
        <v>151</v>
      </c>
    </row>
    <row r="80" spans="1:12" x14ac:dyDescent="0.25">
      <c r="A80" t="s">
        <v>152</v>
      </c>
      <c r="B80" s="17">
        <v>2</v>
      </c>
      <c r="C80" s="17">
        <v>2</v>
      </c>
      <c r="D80" s="17">
        <v>0</v>
      </c>
      <c r="E80" s="17">
        <v>0</v>
      </c>
      <c r="F80" s="17">
        <v>0</v>
      </c>
      <c r="G80" s="17">
        <v>0</v>
      </c>
      <c r="H80" s="17">
        <f t="shared" si="4"/>
        <v>6</v>
      </c>
      <c r="I80" s="17">
        <v>13</v>
      </c>
      <c r="J80" s="39">
        <v>1</v>
      </c>
      <c r="K80" s="17">
        <f t="shared" si="5"/>
        <v>12</v>
      </c>
      <c r="L80" s="15" t="s">
        <v>153</v>
      </c>
    </row>
    <row r="81" spans="1:12" x14ac:dyDescent="0.25">
      <c r="A81" t="s">
        <v>154</v>
      </c>
      <c r="B81" s="17">
        <v>2</v>
      </c>
      <c r="C81" s="17">
        <v>2</v>
      </c>
      <c r="D81" s="17">
        <v>0</v>
      </c>
      <c r="E81" s="17">
        <v>0</v>
      </c>
      <c r="F81" s="17">
        <v>0</v>
      </c>
      <c r="G81" s="17">
        <v>0</v>
      </c>
      <c r="H81" s="17">
        <f t="shared" si="4"/>
        <v>6</v>
      </c>
      <c r="I81" s="17">
        <v>18</v>
      </c>
      <c r="J81" s="39">
        <v>4</v>
      </c>
      <c r="K81" s="17">
        <f t="shared" si="5"/>
        <v>14</v>
      </c>
      <c r="L81" s="15" t="s">
        <v>155</v>
      </c>
    </row>
    <row r="82" spans="1:12" x14ac:dyDescent="0.25">
      <c r="A82" t="s">
        <v>156</v>
      </c>
      <c r="B82" s="17">
        <v>2</v>
      </c>
      <c r="C82" s="17">
        <v>1</v>
      </c>
      <c r="D82" s="17">
        <v>0</v>
      </c>
      <c r="E82" s="17">
        <v>0</v>
      </c>
      <c r="F82" s="17">
        <v>0</v>
      </c>
      <c r="G82" s="17">
        <v>1</v>
      </c>
      <c r="H82" s="17">
        <f t="shared" si="4"/>
        <v>3</v>
      </c>
      <c r="I82" s="17">
        <v>11</v>
      </c>
      <c r="J82" s="39">
        <v>10</v>
      </c>
      <c r="K82" s="17">
        <f t="shared" si="5"/>
        <v>1</v>
      </c>
      <c r="L82" s="15" t="s">
        <v>157</v>
      </c>
    </row>
    <row r="83" spans="1:12" x14ac:dyDescent="0.25">
      <c r="A83" t="s">
        <v>160</v>
      </c>
      <c r="B83" s="17">
        <v>2</v>
      </c>
      <c r="C83" s="17">
        <v>2</v>
      </c>
      <c r="D83" s="17">
        <v>0</v>
      </c>
      <c r="E83" s="17">
        <v>0</v>
      </c>
      <c r="F83" s="17">
        <v>0</v>
      </c>
      <c r="G83" s="17">
        <v>0</v>
      </c>
      <c r="H83" s="17">
        <f t="shared" si="4"/>
        <v>6</v>
      </c>
      <c r="I83" s="17">
        <v>20</v>
      </c>
      <c r="J83" s="39">
        <v>7</v>
      </c>
      <c r="K83" s="17">
        <f t="shared" si="5"/>
        <v>13</v>
      </c>
      <c r="L83" s="15" t="s">
        <v>214</v>
      </c>
    </row>
    <row r="84" spans="1:12" x14ac:dyDescent="0.25">
      <c r="A84" t="s">
        <v>1663</v>
      </c>
      <c r="B84" s="17">
        <v>1</v>
      </c>
      <c r="C84" s="17">
        <v>1</v>
      </c>
      <c r="D84" s="17">
        <v>0</v>
      </c>
      <c r="E84" s="17">
        <v>0</v>
      </c>
      <c r="F84" s="17">
        <v>0</v>
      </c>
      <c r="G84" s="17">
        <v>0</v>
      </c>
      <c r="H84" s="17">
        <f t="shared" si="4"/>
        <v>3</v>
      </c>
      <c r="I84" s="17">
        <v>6</v>
      </c>
      <c r="J84" s="39">
        <v>4</v>
      </c>
      <c r="K84" s="17">
        <f t="shared" si="5"/>
        <v>2</v>
      </c>
      <c r="L84" s="6" t="s">
        <v>1675</v>
      </c>
    </row>
    <row r="85" spans="1:12" x14ac:dyDescent="0.25">
      <c r="A85" t="s">
        <v>230</v>
      </c>
      <c r="B85" s="17">
        <v>2</v>
      </c>
      <c r="C85" s="17">
        <v>2</v>
      </c>
      <c r="D85" s="17">
        <v>0</v>
      </c>
      <c r="E85" s="17">
        <v>0</v>
      </c>
      <c r="F85" s="17">
        <v>0</v>
      </c>
      <c r="G85" s="17">
        <v>0</v>
      </c>
      <c r="H85" s="17">
        <f t="shared" ref="H85:H100" si="6">C85*3+D85*2+E85+F85</f>
        <v>6</v>
      </c>
      <c r="I85" s="17">
        <v>15</v>
      </c>
      <c r="J85" s="39">
        <v>11</v>
      </c>
      <c r="K85" s="17">
        <f t="shared" ref="K85:K100" si="7">I85-J85</f>
        <v>4</v>
      </c>
      <c r="L85" s="15" t="s">
        <v>300</v>
      </c>
    </row>
    <row r="86" spans="1:12" x14ac:dyDescent="0.25">
      <c r="A86" t="s">
        <v>235</v>
      </c>
      <c r="B86" s="17">
        <v>3</v>
      </c>
      <c r="C86" s="17">
        <v>3</v>
      </c>
      <c r="D86" s="17">
        <v>0</v>
      </c>
      <c r="E86" s="17">
        <v>0</v>
      </c>
      <c r="F86" s="17">
        <v>0</v>
      </c>
      <c r="G86" s="17">
        <v>0</v>
      </c>
      <c r="H86" s="17">
        <f t="shared" si="6"/>
        <v>9</v>
      </c>
      <c r="I86" s="17">
        <v>31</v>
      </c>
      <c r="J86" s="39">
        <v>9</v>
      </c>
      <c r="K86" s="17">
        <f t="shared" si="7"/>
        <v>22</v>
      </c>
      <c r="L86" s="15" t="s">
        <v>370</v>
      </c>
    </row>
    <row r="87" spans="1:12" x14ac:dyDescent="0.25">
      <c r="A87" t="s">
        <v>1398</v>
      </c>
      <c r="B87" s="17">
        <v>2</v>
      </c>
      <c r="C87" s="17">
        <v>0</v>
      </c>
      <c r="D87" s="17">
        <v>0</v>
      </c>
      <c r="E87" s="17">
        <v>0</v>
      </c>
      <c r="F87" s="17">
        <v>0</v>
      </c>
      <c r="G87" s="17">
        <v>2</v>
      </c>
      <c r="H87" s="17">
        <f t="shared" si="6"/>
        <v>0</v>
      </c>
      <c r="I87" s="17">
        <v>7</v>
      </c>
      <c r="J87" s="39">
        <v>15</v>
      </c>
      <c r="K87" s="17">
        <f t="shared" si="7"/>
        <v>-8</v>
      </c>
      <c r="L87" s="6" t="s">
        <v>1542</v>
      </c>
    </row>
    <row r="88" spans="1:12" x14ac:dyDescent="0.25">
      <c r="A88" t="s">
        <v>158</v>
      </c>
      <c r="B88" s="17">
        <v>2</v>
      </c>
      <c r="C88" s="17">
        <v>0</v>
      </c>
      <c r="D88" s="17">
        <v>0</v>
      </c>
      <c r="E88" s="17">
        <v>0</v>
      </c>
      <c r="F88" s="17">
        <v>0</v>
      </c>
      <c r="G88" s="17">
        <v>2</v>
      </c>
      <c r="H88" s="17">
        <f t="shared" si="6"/>
        <v>0</v>
      </c>
      <c r="I88" s="17">
        <v>5</v>
      </c>
      <c r="J88" s="39">
        <v>15</v>
      </c>
      <c r="K88" s="17">
        <f t="shared" si="7"/>
        <v>-10</v>
      </c>
      <c r="L88" s="15" t="s">
        <v>159</v>
      </c>
    </row>
    <row r="89" spans="1:12" x14ac:dyDescent="0.25">
      <c r="A89" t="s">
        <v>578</v>
      </c>
      <c r="B89" s="17">
        <v>2</v>
      </c>
      <c r="C89" s="17">
        <v>0</v>
      </c>
      <c r="D89" s="17">
        <v>0</v>
      </c>
      <c r="E89" s="17">
        <v>0</v>
      </c>
      <c r="F89" s="17">
        <v>0</v>
      </c>
      <c r="G89" s="17">
        <v>2</v>
      </c>
      <c r="H89" s="17">
        <f t="shared" si="6"/>
        <v>0</v>
      </c>
      <c r="I89" s="17">
        <v>6</v>
      </c>
      <c r="J89" s="39">
        <v>22</v>
      </c>
      <c r="K89" s="17">
        <f t="shared" si="7"/>
        <v>-16</v>
      </c>
      <c r="L89" s="15" t="s">
        <v>245</v>
      </c>
    </row>
    <row r="90" spans="1:12" x14ac:dyDescent="0.25">
      <c r="A90" t="s">
        <v>1668</v>
      </c>
      <c r="B90" s="17">
        <v>2</v>
      </c>
      <c r="C90" s="17">
        <v>2</v>
      </c>
      <c r="D90" s="17">
        <v>0</v>
      </c>
      <c r="E90" s="17">
        <v>0</v>
      </c>
      <c r="F90" s="17">
        <v>0</v>
      </c>
      <c r="G90" s="17">
        <v>0</v>
      </c>
      <c r="H90" s="17">
        <f t="shared" si="6"/>
        <v>6</v>
      </c>
      <c r="I90" s="17">
        <v>15</v>
      </c>
      <c r="J90" s="39">
        <v>6</v>
      </c>
      <c r="K90" s="17">
        <f t="shared" si="7"/>
        <v>9</v>
      </c>
      <c r="L90" s="15" t="s">
        <v>369</v>
      </c>
    </row>
    <row r="91" spans="1:12" x14ac:dyDescent="0.25">
      <c r="A91" t="s">
        <v>268</v>
      </c>
      <c r="B91" s="17">
        <v>4</v>
      </c>
      <c r="C91" s="17">
        <v>1</v>
      </c>
      <c r="D91" s="17">
        <v>0</v>
      </c>
      <c r="E91" s="17">
        <v>0</v>
      </c>
      <c r="F91" s="17">
        <v>0</v>
      </c>
      <c r="G91" s="17">
        <v>3</v>
      </c>
      <c r="H91" s="17">
        <f t="shared" si="6"/>
        <v>3</v>
      </c>
      <c r="I91" s="17">
        <v>22</v>
      </c>
      <c r="J91" s="39">
        <v>37</v>
      </c>
      <c r="K91" s="17">
        <f t="shared" si="7"/>
        <v>-15</v>
      </c>
      <c r="L91" s="15" t="s">
        <v>1511</v>
      </c>
    </row>
    <row r="92" spans="1:12" x14ac:dyDescent="0.25">
      <c r="A92" t="s">
        <v>1665</v>
      </c>
      <c r="B92" s="17">
        <v>2</v>
      </c>
      <c r="C92" s="17">
        <v>1</v>
      </c>
      <c r="D92" s="17">
        <v>0</v>
      </c>
      <c r="E92" s="17">
        <v>0</v>
      </c>
      <c r="F92" s="17">
        <v>0</v>
      </c>
      <c r="G92" s="17">
        <v>1</v>
      </c>
      <c r="H92" s="17">
        <f t="shared" si="6"/>
        <v>3</v>
      </c>
      <c r="I92" s="17">
        <v>8</v>
      </c>
      <c r="J92" s="39">
        <v>7</v>
      </c>
      <c r="K92" s="17">
        <f t="shared" si="7"/>
        <v>1</v>
      </c>
      <c r="L92" s="6" t="s">
        <v>1061</v>
      </c>
    </row>
    <row r="93" spans="1:12" x14ac:dyDescent="0.25">
      <c r="A93" t="s">
        <v>1666</v>
      </c>
      <c r="B93" s="17">
        <v>2</v>
      </c>
      <c r="C93" s="17">
        <v>2</v>
      </c>
      <c r="D93" s="17">
        <v>0</v>
      </c>
      <c r="E93" s="17">
        <v>0</v>
      </c>
      <c r="F93" s="17">
        <v>0</v>
      </c>
      <c r="G93" s="17">
        <v>0</v>
      </c>
      <c r="H93" s="17">
        <f t="shared" si="6"/>
        <v>6</v>
      </c>
      <c r="I93" s="17">
        <v>17</v>
      </c>
      <c r="J93" s="39">
        <v>6</v>
      </c>
      <c r="K93" s="17">
        <f t="shared" si="7"/>
        <v>11</v>
      </c>
      <c r="L93" s="15" t="s">
        <v>162</v>
      </c>
    </row>
    <row r="94" spans="1:12" x14ac:dyDescent="0.25">
      <c r="A94" t="s">
        <v>163</v>
      </c>
      <c r="B94" s="17">
        <v>2</v>
      </c>
      <c r="C94" s="17">
        <v>0</v>
      </c>
      <c r="D94" s="17">
        <v>0</v>
      </c>
      <c r="E94" s="17">
        <v>0</v>
      </c>
      <c r="F94" s="17">
        <v>0</v>
      </c>
      <c r="G94" s="17">
        <v>2</v>
      </c>
      <c r="H94" s="17">
        <f t="shared" si="6"/>
        <v>0</v>
      </c>
      <c r="I94" s="17">
        <v>4</v>
      </c>
      <c r="J94" s="39">
        <v>7</v>
      </c>
      <c r="K94" s="17">
        <f t="shared" si="7"/>
        <v>-3</v>
      </c>
      <c r="L94" s="15" t="s">
        <v>164</v>
      </c>
    </row>
    <row r="95" spans="1:12" x14ac:dyDescent="0.25">
      <c r="A95" t="s">
        <v>305</v>
      </c>
      <c r="B95" s="17">
        <v>2</v>
      </c>
      <c r="C95" s="17">
        <v>1</v>
      </c>
      <c r="D95" s="17">
        <v>0</v>
      </c>
      <c r="E95" s="17">
        <v>0</v>
      </c>
      <c r="F95" s="17">
        <v>0</v>
      </c>
      <c r="G95" s="17">
        <v>1</v>
      </c>
      <c r="H95" s="17">
        <f t="shared" si="6"/>
        <v>3</v>
      </c>
      <c r="I95" s="17">
        <v>8</v>
      </c>
      <c r="J95" s="39">
        <v>10</v>
      </c>
      <c r="K95" s="17">
        <f t="shared" si="7"/>
        <v>-2</v>
      </c>
      <c r="L95" s="15" t="s">
        <v>344</v>
      </c>
    </row>
    <row r="96" spans="1:12" x14ac:dyDescent="0.25">
      <c r="A96" t="s">
        <v>1399</v>
      </c>
      <c r="B96" s="17">
        <v>2</v>
      </c>
      <c r="C96" s="17">
        <v>1</v>
      </c>
      <c r="D96" s="17">
        <v>0</v>
      </c>
      <c r="E96" s="17">
        <v>0</v>
      </c>
      <c r="F96" s="17">
        <v>0</v>
      </c>
      <c r="G96" s="17">
        <v>1</v>
      </c>
      <c r="H96" s="17">
        <f t="shared" si="6"/>
        <v>3</v>
      </c>
      <c r="I96" s="17">
        <v>11</v>
      </c>
      <c r="J96" s="39">
        <v>10</v>
      </c>
      <c r="K96" s="17">
        <f t="shared" si="7"/>
        <v>1</v>
      </c>
      <c r="L96" s="6" t="s">
        <v>1536</v>
      </c>
    </row>
    <row r="97" spans="1:12" x14ac:dyDescent="0.25">
      <c r="A97" t="s">
        <v>406</v>
      </c>
      <c r="B97" s="17">
        <v>6</v>
      </c>
      <c r="C97" s="17">
        <v>3</v>
      </c>
      <c r="D97" s="17">
        <v>0</v>
      </c>
      <c r="E97" s="17">
        <v>0</v>
      </c>
      <c r="F97" s="17">
        <v>0</v>
      </c>
      <c r="G97" s="17">
        <v>3</v>
      </c>
      <c r="H97" s="17">
        <f t="shared" si="6"/>
        <v>9</v>
      </c>
      <c r="I97" s="17">
        <v>32</v>
      </c>
      <c r="J97" s="39">
        <v>25</v>
      </c>
      <c r="K97" s="17">
        <f t="shared" si="7"/>
        <v>7</v>
      </c>
      <c r="L97" s="15" t="s">
        <v>459</v>
      </c>
    </row>
    <row r="98" spans="1:12" x14ac:dyDescent="0.25">
      <c r="A98" t="s">
        <v>306</v>
      </c>
      <c r="B98" s="17">
        <v>4</v>
      </c>
      <c r="C98" s="17">
        <v>1</v>
      </c>
      <c r="D98" s="17">
        <v>0</v>
      </c>
      <c r="E98" s="17">
        <v>0</v>
      </c>
      <c r="F98" s="17">
        <v>1</v>
      </c>
      <c r="G98" s="17">
        <v>2</v>
      </c>
      <c r="H98" s="17">
        <f t="shared" si="6"/>
        <v>4</v>
      </c>
      <c r="I98" s="17">
        <v>15</v>
      </c>
      <c r="J98" s="39">
        <v>17</v>
      </c>
      <c r="K98" s="17">
        <f t="shared" si="7"/>
        <v>-2</v>
      </c>
      <c r="L98" s="15" t="s">
        <v>1299</v>
      </c>
    </row>
    <row r="99" spans="1:12" x14ac:dyDescent="0.25">
      <c r="A99" t="s">
        <v>1401</v>
      </c>
      <c r="B99" s="17">
        <v>2</v>
      </c>
      <c r="C99" s="17">
        <v>0</v>
      </c>
      <c r="D99" s="17">
        <v>0</v>
      </c>
      <c r="E99" s="17">
        <v>0</v>
      </c>
      <c r="F99" s="17">
        <v>0</v>
      </c>
      <c r="G99" s="17">
        <v>2</v>
      </c>
      <c r="H99" s="17">
        <f t="shared" si="6"/>
        <v>0</v>
      </c>
      <c r="I99" s="17">
        <v>4</v>
      </c>
      <c r="J99" s="39">
        <v>10</v>
      </c>
      <c r="K99" s="17">
        <f t="shared" si="7"/>
        <v>-6</v>
      </c>
      <c r="L99" s="6" t="s">
        <v>1570</v>
      </c>
    </row>
    <row r="100" spans="1:12" x14ac:dyDescent="0.25">
      <c r="A100" t="s">
        <v>1400</v>
      </c>
      <c r="B100" s="17">
        <v>5</v>
      </c>
      <c r="C100" s="17">
        <v>2</v>
      </c>
      <c r="D100" s="17">
        <v>0</v>
      </c>
      <c r="E100" s="17">
        <v>0</v>
      </c>
      <c r="F100" s="17">
        <v>0</v>
      </c>
      <c r="G100" s="17">
        <v>3</v>
      </c>
      <c r="H100" s="17">
        <f t="shared" si="6"/>
        <v>6</v>
      </c>
      <c r="I100" s="17">
        <v>31</v>
      </c>
      <c r="J100" s="39">
        <v>32</v>
      </c>
      <c r="K100" s="17">
        <f t="shared" si="7"/>
        <v>-1</v>
      </c>
      <c r="L100" s="15" t="s">
        <v>1700</v>
      </c>
    </row>
  </sheetData>
  <sortState xmlns:xlrd2="http://schemas.microsoft.com/office/spreadsheetml/2017/richdata2" ref="A2:L100">
    <sortCondition ref="A2:A100"/>
  </sortState>
  <pageMargins left="0.7" right="0.7" top="0.78740157499999996" bottom="0.78740157499999996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14D74-2EA4-4E13-859B-382640DD0DCC}">
  <dimension ref="A1:Q48"/>
  <sheetViews>
    <sheetView zoomScale="80" zoomScaleNormal="80" workbookViewId="0">
      <pane xSplit="1" topLeftCell="B1" activePane="topRight" state="frozen"/>
      <selection pane="topRight" activeCell="AB10" sqref="AB10"/>
    </sheetView>
  </sheetViews>
  <sheetFormatPr defaultRowHeight="15" x14ac:dyDescent="0.25"/>
  <cols>
    <col min="1" max="1" width="30.140625" style="17" bestFit="1" customWidth="1"/>
    <col min="2" max="8" width="9.140625" style="17"/>
    <col min="9" max="9" width="9.140625" style="79"/>
    <col min="10" max="12" width="9.140625" style="17"/>
    <col min="13" max="13" width="39.85546875" style="58" bestFit="1" customWidth="1"/>
    <col min="14" max="14" width="46.42578125" style="38" bestFit="1" customWidth="1"/>
    <col min="15" max="15" width="43.85546875" style="38" bestFit="1" customWidth="1"/>
  </cols>
  <sheetData>
    <row r="1" spans="1:17" x14ac:dyDescent="0.25">
      <c r="A1" s="18" t="s">
        <v>1309</v>
      </c>
      <c r="B1" s="18" t="s">
        <v>1</v>
      </c>
      <c r="C1" s="18" t="s">
        <v>53</v>
      </c>
      <c r="D1" s="18" t="s">
        <v>287</v>
      </c>
      <c r="E1" s="18" t="s">
        <v>54</v>
      </c>
      <c r="F1" s="18" t="s">
        <v>288</v>
      </c>
      <c r="G1" s="18" t="s">
        <v>55</v>
      </c>
      <c r="H1" s="18" t="s">
        <v>4</v>
      </c>
      <c r="I1" s="78" t="s">
        <v>1344</v>
      </c>
      <c r="J1" s="21" t="s">
        <v>56</v>
      </c>
      <c r="K1" s="21" t="s">
        <v>57</v>
      </c>
      <c r="L1" s="18" t="s">
        <v>101</v>
      </c>
      <c r="M1" s="57" t="s">
        <v>102</v>
      </c>
      <c r="N1" s="21" t="s">
        <v>616</v>
      </c>
      <c r="O1" s="21" t="s">
        <v>617</v>
      </c>
      <c r="P1" s="21" t="s">
        <v>1471</v>
      </c>
      <c r="Q1" s="21" t="s">
        <v>1472</v>
      </c>
    </row>
    <row r="2" spans="1:17" x14ac:dyDescent="0.25">
      <c r="A2" s="17" t="s">
        <v>1437</v>
      </c>
      <c r="B2" s="17">
        <v>2</v>
      </c>
      <c r="C2" s="17">
        <v>2</v>
      </c>
      <c r="D2" s="17">
        <v>0</v>
      </c>
      <c r="E2" s="17">
        <v>0</v>
      </c>
      <c r="F2" s="17">
        <v>0</v>
      </c>
      <c r="G2" s="17">
        <v>0</v>
      </c>
      <c r="H2" s="17">
        <f t="shared" ref="H2:H31" si="0">C2*3+D2*2+E2+F2</f>
        <v>6</v>
      </c>
      <c r="I2" s="79">
        <f t="shared" ref="I2:I31" si="1">H2*100/(B2*3)</f>
        <v>100</v>
      </c>
      <c r="J2" s="17">
        <v>11</v>
      </c>
      <c r="K2" s="17">
        <v>3</v>
      </c>
      <c r="L2" s="17">
        <f t="shared" ref="L2:L31" si="2">J2-K2</f>
        <v>8</v>
      </c>
      <c r="M2" s="58" t="s">
        <v>1438</v>
      </c>
      <c r="N2" s="38" t="s">
        <v>1439</v>
      </c>
      <c r="P2" s="25">
        <f t="shared" ref="P2:P31" si="3">J2/B2</f>
        <v>5.5</v>
      </c>
      <c r="Q2" s="25">
        <f t="shared" ref="Q2:Q31" si="4">K2/B2</f>
        <v>1.5</v>
      </c>
    </row>
    <row r="3" spans="1:17" x14ac:dyDescent="0.25">
      <c r="A3" s="17" t="s">
        <v>1764</v>
      </c>
      <c r="B3" s="17">
        <v>2</v>
      </c>
      <c r="C3" s="17">
        <v>2</v>
      </c>
      <c r="D3" s="17">
        <v>0</v>
      </c>
      <c r="E3" s="17">
        <v>0</v>
      </c>
      <c r="F3" s="17">
        <v>0</v>
      </c>
      <c r="G3" s="17">
        <v>0</v>
      </c>
      <c r="H3" s="17">
        <f t="shared" si="0"/>
        <v>6</v>
      </c>
      <c r="I3" s="79">
        <f t="shared" si="1"/>
        <v>100</v>
      </c>
      <c r="J3" s="17">
        <v>17</v>
      </c>
      <c r="K3" s="17">
        <v>11</v>
      </c>
      <c r="L3" s="17">
        <f t="shared" si="2"/>
        <v>6</v>
      </c>
      <c r="M3" s="58" t="s">
        <v>1765</v>
      </c>
      <c r="N3" s="38" t="s">
        <v>1766</v>
      </c>
      <c r="P3" s="25">
        <f t="shared" si="3"/>
        <v>8.5</v>
      </c>
      <c r="Q3" s="25">
        <f t="shared" si="4"/>
        <v>5.5</v>
      </c>
    </row>
    <row r="4" spans="1:17" ht="30" x14ac:dyDescent="0.25">
      <c r="A4" s="17" t="s">
        <v>1322</v>
      </c>
      <c r="B4" s="17">
        <v>11</v>
      </c>
      <c r="C4" s="17">
        <v>10</v>
      </c>
      <c r="D4" s="17">
        <v>0</v>
      </c>
      <c r="E4" s="17">
        <v>0</v>
      </c>
      <c r="F4" s="17">
        <v>0</v>
      </c>
      <c r="G4" s="17">
        <v>1</v>
      </c>
      <c r="H4" s="17">
        <f t="shared" si="0"/>
        <v>30</v>
      </c>
      <c r="I4" s="79">
        <f t="shared" si="1"/>
        <v>90.909090909090907</v>
      </c>
      <c r="J4" s="17">
        <v>78</v>
      </c>
      <c r="K4" s="17">
        <v>31</v>
      </c>
      <c r="L4" s="17">
        <f t="shared" si="2"/>
        <v>47</v>
      </c>
      <c r="M4" s="77" t="s">
        <v>1442</v>
      </c>
      <c r="N4" s="38" t="s">
        <v>1443</v>
      </c>
      <c r="O4" s="76" t="s">
        <v>1412</v>
      </c>
      <c r="P4" s="25">
        <f t="shared" si="3"/>
        <v>7.0909090909090908</v>
      </c>
      <c r="Q4" s="25">
        <f t="shared" si="4"/>
        <v>2.8181818181818183</v>
      </c>
    </row>
    <row r="5" spans="1:17" x14ac:dyDescent="0.25">
      <c r="A5" s="17" t="s">
        <v>1453</v>
      </c>
      <c r="B5" s="17">
        <v>2</v>
      </c>
      <c r="C5" s="17">
        <v>1</v>
      </c>
      <c r="D5" s="17">
        <v>1</v>
      </c>
      <c r="E5" s="17">
        <v>0</v>
      </c>
      <c r="F5" s="17">
        <v>0</v>
      </c>
      <c r="G5" s="17">
        <v>0</v>
      </c>
      <c r="H5" s="17">
        <f t="shared" si="0"/>
        <v>5</v>
      </c>
      <c r="I5" s="79">
        <f t="shared" si="1"/>
        <v>83.333333333333329</v>
      </c>
      <c r="J5" s="17">
        <v>18</v>
      </c>
      <c r="K5" s="17">
        <v>15</v>
      </c>
      <c r="L5" s="17">
        <f t="shared" si="2"/>
        <v>3</v>
      </c>
      <c r="M5" s="58" t="s">
        <v>1454</v>
      </c>
      <c r="N5" s="38" t="s">
        <v>1455</v>
      </c>
      <c r="P5" s="25">
        <f t="shared" si="3"/>
        <v>9</v>
      </c>
      <c r="Q5" s="25">
        <f t="shared" si="4"/>
        <v>7.5</v>
      </c>
    </row>
    <row r="6" spans="1:17" ht="66" customHeight="1" x14ac:dyDescent="0.25">
      <c r="A6" s="17" t="s">
        <v>1357</v>
      </c>
      <c r="B6" s="17">
        <v>5</v>
      </c>
      <c r="C6" s="17">
        <v>4</v>
      </c>
      <c r="D6" s="17">
        <v>0</v>
      </c>
      <c r="E6" s="17">
        <v>0</v>
      </c>
      <c r="F6" s="17">
        <v>0</v>
      </c>
      <c r="G6" s="17">
        <v>1</v>
      </c>
      <c r="H6" s="17">
        <f t="shared" si="0"/>
        <v>12</v>
      </c>
      <c r="I6" s="79">
        <f t="shared" si="1"/>
        <v>80</v>
      </c>
      <c r="J6" s="17">
        <v>29</v>
      </c>
      <c r="K6" s="17">
        <v>9</v>
      </c>
      <c r="L6" s="17">
        <f t="shared" si="2"/>
        <v>20</v>
      </c>
      <c r="M6" s="58" t="s">
        <v>1364</v>
      </c>
      <c r="N6" s="38" t="s">
        <v>1358</v>
      </c>
      <c r="O6" s="38" t="s">
        <v>1360</v>
      </c>
      <c r="P6" s="25">
        <f t="shared" si="3"/>
        <v>5.8</v>
      </c>
      <c r="Q6" s="25">
        <f t="shared" si="4"/>
        <v>1.8</v>
      </c>
    </row>
    <row r="7" spans="1:17" ht="30" x14ac:dyDescent="0.25">
      <c r="A7" s="17" t="s">
        <v>1314</v>
      </c>
      <c r="B7" s="17">
        <v>16</v>
      </c>
      <c r="C7" s="17">
        <v>12</v>
      </c>
      <c r="D7" s="17">
        <v>0</v>
      </c>
      <c r="E7" s="17">
        <v>0</v>
      </c>
      <c r="F7" s="17">
        <v>1</v>
      </c>
      <c r="G7" s="17">
        <v>3</v>
      </c>
      <c r="H7" s="17">
        <f t="shared" si="0"/>
        <v>37</v>
      </c>
      <c r="I7" s="79">
        <f t="shared" si="1"/>
        <v>77.083333333333329</v>
      </c>
      <c r="J7" s="17">
        <v>102</v>
      </c>
      <c r="K7" s="17">
        <v>57</v>
      </c>
      <c r="L7" s="17">
        <f t="shared" si="2"/>
        <v>45</v>
      </c>
      <c r="M7" s="77" t="s">
        <v>1445</v>
      </c>
      <c r="N7" s="74" t="s">
        <v>1469</v>
      </c>
      <c r="O7" s="74" t="s">
        <v>1446</v>
      </c>
      <c r="P7" s="25">
        <f t="shared" si="3"/>
        <v>6.375</v>
      </c>
      <c r="Q7" s="25">
        <f t="shared" si="4"/>
        <v>3.5625</v>
      </c>
    </row>
    <row r="8" spans="1:17" x14ac:dyDescent="0.25">
      <c r="A8" s="17" t="s">
        <v>1361</v>
      </c>
      <c r="B8" s="17">
        <v>6</v>
      </c>
      <c r="C8" s="17">
        <v>4</v>
      </c>
      <c r="D8" s="17">
        <v>0</v>
      </c>
      <c r="E8" s="17">
        <v>0</v>
      </c>
      <c r="F8" s="17">
        <v>0</v>
      </c>
      <c r="G8" s="17">
        <v>2</v>
      </c>
      <c r="H8" s="17">
        <f t="shared" si="0"/>
        <v>12</v>
      </c>
      <c r="I8" s="79">
        <f t="shared" si="1"/>
        <v>66.666666666666671</v>
      </c>
      <c r="J8" s="17">
        <v>37</v>
      </c>
      <c r="K8" s="17">
        <v>24</v>
      </c>
      <c r="L8" s="17">
        <f t="shared" si="2"/>
        <v>13</v>
      </c>
      <c r="M8" s="58" t="s">
        <v>1702</v>
      </c>
      <c r="N8" s="38" t="s">
        <v>1362</v>
      </c>
      <c r="O8" s="38" t="s">
        <v>1703</v>
      </c>
      <c r="P8" s="25">
        <f t="shared" si="3"/>
        <v>6.166666666666667</v>
      </c>
      <c r="Q8" s="25">
        <f t="shared" si="4"/>
        <v>4</v>
      </c>
    </row>
    <row r="9" spans="1:17" ht="59.25" customHeight="1" x14ac:dyDescent="0.25">
      <c r="A9" s="17" t="s">
        <v>1462</v>
      </c>
      <c r="B9" s="17">
        <v>2</v>
      </c>
      <c r="C9" s="17">
        <v>1</v>
      </c>
      <c r="D9" s="17">
        <v>0</v>
      </c>
      <c r="E9" s="17">
        <v>0</v>
      </c>
      <c r="F9" s="17">
        <v>1</v>
      </c>
      <c r="G9" s="17">
        <v>0</v>
      </c>
      <c r="H9" s="17">
        <f t="shared" si="0"/>
        <v>4</v>
      </c>
      <c r="I9" s="79">
        <f t="shared" si="1"/>
        <v>66.666666666666671</v>
      </c>
      <c r="J9" s="17">
        <v>10</v>
      </c>
      <c r="K9" s="17">
        <v>8</v>
      </c>
      <c r="L9" s="17">
        <f t="shared" si="2"/>
        <v>2</v>
      </c>
      <c r="M9" s="58" t="s">
        <v>1463</v>
      </c>
      <c r="N9" s="38" t="s">
        <v>1464</v>
      </c>
      <c r="O9" s="38" t="s">
        <v>1465</v>
      </c>
      <c r="P9" s="25">
        <f t="shared" si="3"/>
        <v>5</v>
      </c>
      <c r="Q9" s="25">
        <f t="shared" si="4"/>
        <v>4</v>
      </c>
    </row>
    <row r="10" spans="1:17" ht="60" x14ac:dyDescent="0.25">
      <c r="A10" s="17" t="s">
        <v>1335</v>
      </c>
      <c r="B10" s="17">
        <v>36</v>
      </c>
      <c r="C10" s="17">
        <v>23</v>
      </c>
      <c r="D10" s="17">
        <v>0</v>
      </c>
      <c r="E10" s="17">
        <v>2</v>
      </c>
      <c r="F10" s="17">
        <v>0</v>
      </c>
      <c r="G10" s="17">
        <v>11</v>
      </c>
      <c r="H10" s="17">
        <f t="shared" si="0"/>
        <v>71</v>
      </c>
      <c r="I10" s="79">
        <f t="shared" si="1"/>
        <v>65.740740740740748</v>
      </c>
      <c r="J10" s="17">
        <v>228</v>
      </c>
      <c r="K10" s="17">
        <v>146</v>
      </c>
      <c r="L10" s="17">
        <f t="shared" si="2"/>
        <v>82</v>
      </c>
      <c r="M10" s="77" t="s">
        <v>1466</v>
      </c>
      <c r="N10" s="74" t="s">
        <v>1467</v>
      </c>
      <c r="O10" s="38" t="s">
        <v>1424</v>
      </c>
      <c r="P10" s="25">
        <f t="shared" si="3"/>
        <v>6.333333333333333</v>
      </c>
      <c r="Q10" s="25">
        <f t="shared" si="4"/>
        <v>4.0555555555555554</v>
      </c>
    </row>
    <row r="11" spans="1:17" ht="75" x14ac:dyDescent="0.25">
      <c r="A11" s="17" t="s">
        <v>235</v>
      </c>
      <c r="B11" s="17">
        <v>41</v>
      </c>
      <c r="C11" s="17">
        <v>24</v>
      </c>
      <c r="D11" s="17">
        <v>0</v>
      </c>
      <c r="E11" s="17">
        <v>2</v>
      </c>
      <c r="F11" s="17">
        <v>0</v>
      </c>
      <c r="G11" s="17">
        <v>15</v>
      </c>
      <c r="H11" s="17">
        <f t="shared" si="0"/>
        <v>74</v>
      </c>
      <c r="I11" s="79">
        <f t="shared" si="1"/>
        <v>60.162601626016261</v>
      </c>
      <c r="J11" s="17">
        <v>251</v>
      </c>
      <c r="K11" s="17">
        <v>192</v>
      </c>
      <c r="L11" s="17">
        <f t="shared" si="2"/>
        <v>59</v>
      </c>
      <c r="M11" s="77" t="s">
        <v>1477</v>
      </c>
      <c r="N11" s="38" t="s">
        <v>1363</v>
      </c>
      <c r="O11" s="38" t="s">
        <v>1470</v>
      </c>
      <c r="P11" s="25">
        <f t="shared" si="3"/>
        <v>6.1219512195121952</v>
      </c>
      <c r="Q11" s="25">
        <f t="shared" si="4"/>
        <v>4.6829268292682924</v>
      </c>
    </row>
    <row r="12" spans="1:17" ht="76.5" customHeight="1" x14ac:dyDescent="0.25">
      <c r="A12" s="17" t="s">
        <v>1366</v>
      </c>
      <c r="B12" s="17">
        <v>4</v>
      </c>
      <c r="C12" s="17">
        <v>2</v>
      </c>
      <c r="D12" s="17">
        <v>0</v>
      </c>
      <c r="E12" s="17">
        <v>0</v>
      </c>
      <c r="F12" s="17">
        <v>1</v>
      </c>
      <c r="G12" s="17">
        <v>1</v>
      </c>
      <c r="H12" s="17">
        <f t="shared" si="0"/>
        <v>7</v>
      </c>
      <c r="I12" s="79">
        <f t="shared" si="1"/>
        <v>58.333333333333336</v>
      </c>
      <c r="J12" s="17">
        <v>21</v>
      </c>
      <c r="K12" s="17">
        <v>22</v>
      </c>
      <c r="L12" s="17">
        <f t="shared" si="2"/>
        <v>-1</v>
      </c>
      <c r="M12" s="58" t="s">
        <v>1459</v>
      </c>
      <c r="N12" s="38" t="s">
        <v>1460</v>
      </c>
      <c r="O12" s="38" t="s">
        <v>1448</v>
      </c>
      <c r="P12" s="25">
        <f t="shared" si="3"/>
        <v>5.25</v>
      </c>
      <c r="Q12" s="25">
        <f t="shared" si="4"/>
        <v>5.5</v>
      </c>
    </row>
    <row r="13" spans="1:17" ht="75" x14ac:dyDescent="0.25">
      <c r="A13" s="17" t="s">
        <v>1310</v>
      </c>
      <c r="B13" s="17">
        <v>42</v>
      </c>
      <c r="C13" s="17">
        <v>21</v>
      </c>
      <c r="D13" s="17">
        <v>2</v>
      </c>
      <c r="E13" s="17">
        <v>2</v>
      </c>
      <c r="F13" s="17">
        <v>1</v>
      </c>
      <c r="G13" s="17">
        <v>16</v>
      </c>
      <c r="H13" s="17">
        <f t="shared" si="0"/>
        <v>70</v>
      </c>
      <c r="I13" s="79">
        <f t="shared" si="1"/>
        <v>55.555555555555557</v>
      </c>
      <c r="J13" s="17">
        <v>209</v>
      </c>
      <c r="K13" s="17">
        <v>200</v>
      </c>
      <c r="L13" s="17">
        <f t="shared" si="2"/>
        <v>9</v>
      </c>
      <c r="M13" s="77" t="s">
        <v>1677</v>
      </c>
      <c r="N13" s="38" t="s">
        <v>1418</v>
      </c>
      <c r="O13" s="74" t="s">
        <v>1571</v>
      </c>
      <c r="P13" s="25">
        <f t="shared" si="3"/>
        <v>4.9761904761904763</v>
      </c>
      <c r="Q13" s="25">
        <f t="shared" si="4"/>
        <v>4.7619047619047619</v>
      </c>
    </row>
    <row r="14" spans="1:17" x14ac:dyDescent="0.25">
      <c r="A14" s="17" t="s">
        <v>1415</v>
      </c>
      <c r="B14" s="17">
        <v>11</v>
      </c>
      <c r="C14" s="17">
        <v>5</v>
      </c>
      <c r="D14" s="17">
        <v>1</v>
      </c>
      <c r="E14" s="17">
        <v>0</v>
      </c>
      <c r="F14" s="17">
        <v>1</v>
      </c>
      <c r="G14" s="17">
        <v>4</v>
      </c>
      <c r="H14" s="17">
        <f t="shared" si="0"/>
        <v>18</v>
      </c>
      <c r="I14" s="79">
        <f t="shared" si="1"/>
        <v>54.545454545454547</v>
      </c>
      <c r="J14" s="17">
        <v>64</v>
      </c>
      <c r="K14" s="17">
        <v>56</v>
      </c>
      <c r="L14" s="17">
        <f t="shared" si="2"/>
        <v>8</v>
      </c>
      <c r="M14" s="58" t="s">
        <v>1447</v>
      </c>
      <c r="N14" s="38" t="s">
        <v>1436</v>
      </c>
      <c r="O14" s="38" t="s">
        <v>1433</v>
      </c>
      <c r="P14" s="25">
        <f t="shared" si="3"/>
        <v>5.8181818181818183</v>
      </c>
      <c r="Q14" s="25">
        <f t="shared" si="4"/>
        <v>5.0909090909090908</v>
      </c>
    </row>
    <row r="15" spans="1:17" ht="45" x14ac:dyDescent="0.25">
      <c r="A15" s="17" t="s">
        <v>1352</v>
      </c>
      <c r="B15" s="17">
        <v>27</v>
      </c>
      <c r="C15" s="17">
        <v>14</v>
      </c>
      <c r="D15" s="17">
        <v>0</v>
      </c>
      <c r="E15" s="17">
        <v>1</v>
      </c>
      <c r="F15" s="17">
        <v>0</v>
      </c>
      <c r="G15" s="17">
        <v>12</v>
      </c>
      <c r="H15" s="17">
        <f t="shared" si="0"/>
        <v>43</v>
      </c>
      <c r="I15" s="79">
        <f t="shared" si="1"/>
        <v>53.086419753086417</v>
      </c>
      <c r="J15" s="17">
        <v>167</v>
      </c>
      <c r="K15" s="17">
        <v>123</v>
      </c>
      <c r="L15" s="17">
        <f t="shared" si="2"/>
        <v>44</v>
      </c>
      <c r="M15" s="77" t="s">
        <v>1547</v>
      </c>
      <c r="N15" s="38" t="s">
        <v>1411</v>
      </c>
      <c r="O15" s="38" t="s">
        <v>1353</v>
      </c>
      <c r="P15" s="25">
        <f t="shared" si="3"/>
        <v>6.1851851851851851</v>
      </c>
      <c r="Q15" s="25">
        <f t="shared" si="4"/>
        <v>4.5555555555555554</v>
      </c>
    </row>
    <row r="16" spans="1:17" ht="30" x14ac:dyDescent="0.25">
      <c r="A16" s="17" t="s">
        <v>1414</v>
      </c>
      <c r="B16" s="17">
        <v>6</v>
      </c>
      <c r="C16" s="17">
        <v>3</v>
      </c>
      <c r="D16" s="17">
        <v>0</v>
      </c>
      <c r="E16" s="17">
        <v>0</v>
      </c>
      <c r="F16" s="17">
        <v>0</v>
      </c>
      <c r="G16" s="17">
        <v>3</v>
      </c>
      <c r="H16" s="17">
        <f t="shared" si="0"/>
        <v>9</v>
      </c>
      <c r="I16" s="79">
        <f t="shared" si="1"/>
        <v>50</v>
      </c>
      <c r="J16" s="17">
        <v>33</v>
      </c>
      <c r="K16" s="17">
        <v>25</v>
      </c>
      <c r="L16" s="17">
        <f t="shared" si="2"/>
        <v>8</v>
      </c>
      <c r="M16" s="58" t="s">
        <v>1544</v>
      </c>
      <c r="N16" s="38" t="s">
        <v>1444</v>
      </c>
      <c r="O16" s="74" t="s">
        <v>1545</v>
      </c>
      <c r="P16" s="25">
        <f t="shared" si="3"/>
        <v>5.5</v>
      </c>
      <c r="Q16" s="25">
        <f t="shared" si="4"/>
        <v>4.166666666666667</v>
      </c>
    </row>
    <row r="17" spans="1:17" x14ac:dyDescent="0.25">
      <c r="A17" s="17" t="s">
        <v>1425</v>
      </c>
      <c r="B17" s="17">
        <v>2</v>
      </c>
      <c r="C17" s="17">
        <v>1</v>
      </c>
      <c r="D17" s="17">
        <v>0</v>
      </c>
      <c r="E17" s="17">
        <v>0</v>
      </c>
      <c r="F17" s="17">
        <v>0</v>
      </c>
      <c r="G17" s="17">
        <v>1</v>
      </c>
      <c r="H17" s="17">
        <f t="shared" si="0"/>
        <v>3</v>
      </c>
      <c r="I17" s="79">
        <f t="shared" si="1"/>
        <v>50</v>
      </c>
      <c r="J17" s="17">
        <v>16</v>
      </c>
      <c r="K17" s="17">
        <v>12</v>
      </c>
      <c r="L17" s="17">
        <f t="shared" si="2"/>
        <v>4</v>
      </c>
      <c r="M17" s="58" t="s">
        <v>1426</v>
      </c>
      <c r="N17" s="38" t="s">
        <v>1427</v>
      </c>
      <c r="O17" s="38" t="s">
        <v>1428</v>
      </c>
      <c r="P17" s="25">
        <f t="shared" si="3"/>
        <v>8</v>
      </c>
      <c r="Q17" s="25">
        <f t="shared" si="4"/>
        <v>6</v>
      </c>
    </row>
    <row r="18" spans="1:17" x14ac:dyDescent="0.25">
      <c r="A18" s="17" t="s">
        <v>1419</v>
      </c>
      <c r="B18" s="17">
        <v>2</v>
      </c>
      <c r="C18" s="17">
        <v>1</v>
      </c>
      <c r="D18" s="17">
        <v>0</v>
      </c>
      <c r="E18" s="17">
        <v>0</v>
      </c>
      <c r="F18" s="17">
        <v>0</v>
      </c>
      <c r="G18" s="17">
        <v>1</v>
      </c>
      <c r="H18" s="17">
        <f t="shared" si="0"/>
        <v>3</v>
      </c>
      <c r="I18" s="79">
        <f t="shared" si="1"/>
        <v>50</v>
      </c>
      <c r="J18" s="17">
        <v>14</v>
      </c>
      <c r="K18" s="17">
        <v>18</v>
      </c>
      <c r="L18" s="17">
        <f t="shared" si="2"/>
        <v>-4</v>
      </c>
      <c r="M18" s="58" t="s">
        <v>1420</v>
      </c>
      <c r="N18" s="38" t="s">
        <v>1421</v>
      </c>
      <c r="O18" s="38" t="s">
        <v>1422</v>
      </c>
      <c r="P18" s="25">
        <f t="shared" si="3"/>
        <v>7</v>
      </c>
      <c r="Q18" s="25">
        <f t="shared" si="4"/>
        <v>9</v>
      </c>
    </row>
    <row r="19" spans="1:17" x14ac:dyDescent="0.25">
      <c r="A19" s="17" t="s">
        <v>1456</v>
      </c>
      <c r="B19" s="17">
        <v>2</v>
      </c>
      <c r="C19" s="17">
        <v>1</v>
      </c>
      <c r="D19" s="17">
        <v>0</v>
      </c>
      <c r="E19" s="17">
        <v>0</v>
      </c>
      <c r="F19" s="17">
        <v>0</v>
      </c>
      <c r="G19" s="17">
        <v>1</v>
      </c>
      <c r="H19" s="17">
        <f t="shared" si="0"/>
        <v>3</v>
      </c>
      <c r="I19" s="79">
        <f t="shared" si="1"/>
        <v>50</v>
      </c>
      <c r="J19" s="17">
        <v>14</v>
      </c>
      <c r="K19" s="17">
        <v>9</v>
      </c>
      <c r="L19" s="17">
        <f t="shared" si="2"/>
        <v>5</v>
      </c>
      <c r="M19" s="58" t="s">
        <v>340</v>
      </c>
      <c r="N19" s="38" t="s">
        <v>1457</v>
      </c>
      <c r="O19" s="38" t="s">
        <v>1458</v>
      </c>
      <c r="P19" s="25">
        <f t="shared" si="3"/>
        <v>7</v>
      </c>
      <c r="Q19" s="25">
        <f t="shared" si="4"/>
        <v>4.5</v>
      </c>
    </row>
    <row r="20" spans="1:17" x14ac:dyDescent="0.25">
      <c r="A20" s="17" t="s">
        <v>1449</v>
      </c>
      <c r="B20" s="17">
        <v>2</v>
      </c>
      <c r="C20" s="17">
        <v>1</v>
      </c>
      <c r="D20" s="17">
        <v>0</v>
      </c>
      <c r="E20" s="17">
        <v>0</v>
      </c>
      <c r="F20" s="17">
        <v>0</v>
      </c>
      <c r="G20" s="17">
        <v>1</v>
      </c>
      <c r="H20" s="17">
        <f t="shared" si="0"/>
        <v>3</v>
      </c>
      <c r="I20" s="79">
        <f t="shared" si="1"/>
        <v>50</v>
      </c>
      <c r="J20" s="17">
        <v>13</v>
      </c>
      <c r="K20" s="17">
        <v>19</v>
      </c>
      <c r="L20" s="17">
        <f t="shared" si="2"/>
        <v>-6</v>
      </c>
      <c r="M20" s="58" t="s">
        <v>1450</v>
      </c>
      <c r="N20" s="38" t="s">
        <v>1451</v>
      </c>
      <c r="O20" s="38" t="s">
        <v>1452</v>
      </c>
      <c r="P20" s="25">
        <f t="shared" si="3"/>
        <v>6.5</v>
      </c>
      <c r="Q20" s="25">
        <f t="shared" si="4"/>
        <v>9.5</v>
      </c>
    </row>
    <row r="21" spans="1:17" ht="30" x14ac:dyDescent="0.25">
      <c r="A21" s="17" t="s">
        <v>1350</v>
      </c>
      <c r="B21" s="17">
        <v>6</v>
      </c>
      <c r="C21" s="17">
        <v>3</v>
      </c>
      <c r="D21" s="17">
        <v>0</v>
      </c>
      <c r="E21" s="17">
        <v>0</v>
      </c>
      <c r="F21" s="17">
        <v>0</v>
      </c>
      <c r="G21" s="17">
        <v>3</v>
      </c>
      <c r="H21" s="17">
        <f t="shared" si="0"/>
        <v>9</v>
      </c>
      <c r="I21" s="79">
        <f t="shared" si="1"/>
        <v>50</v>
      </c>
      <c r="J21" s="17">
        <v>30</v>
      </c>
      <c r="K21" s="17">
        <v>49</v>
      </c>
      <c r="L21" s="17">
        <f t="shared" si="2"/>
        <v>-19</v>
      </c>
      <c r="M21" s="58" t="s">
        <v>1417</v>
      </c>
      <c r="N21" s="74" t="s">
        <v>1468</v>
      </c>
      <c r="O21" s="38" t="s">
        <v>1351</v>
      </c>
      <c r="P21" s="25">
        <f t="shared" si="3"/>
        <v>5</v>
      </c>
      <c r="Q21" s="25">
        <f t="shared" si="4"/>
        <v>8.1666666666666661</v>
      </c>
    </row>
    <row r="22" spans="1:17" x14ac:dyDescent="0.25">
      <c r="A22" s="17" t="s">
        <v>1354</v>
      </c>
      <c r="B22" s="17">
        <v>4</v>
      </c>
      <c r="C22" s="17">
        <v>2</v>
      </c>
      <c r="D22" s="17">
        <v>0</v>
      </c>
      <c r="E22" s="17">
        <v>0</v>
      </c>
      <c r="F22" s="17">
        <v>0</v>
      </c>
      <c r="G22" s="17">
        <v>2</v>
      </c>
      <c r="H22" s="17">
        <f t="shared" si="0"/>
        <v>6</v>
      </c>
      <c r="I22" s="79">
        <f t="shared" si="1"/>
        <v>50</v>
      </c>
      <c r="J22" s="17">
        <v>19</v>
      </c>
      <c r="K22" s="17">
        <v>23</v>
      </c>
      <c r="L22" s="17">
        <f t="shared" si="2"/>
        <v>-4</v>
      </c>
      <c r="M22" s="58" t="s">
        <v>1429</v>
      </c>
      <c r="N22" s="38" t="s">
        <v>1355</v>
      </c>
      <c r="O22" s="38" t="s">
        <v>1356</v>
      </c>
      <c r="P22" s="25">
        <f t="shared" si="3"/>
        <v>4.75</v>
      </c>
      <c r="Q22" s="25">
        <f t="shared" si="4"/>
        <v>5.75</v>
      </c>
    </row>
    <row r="23" spans="1:17" x14ac:dyDescent="0.25">
      <c r="A23" s="17" t="s">
        <v>1406</v>
      </c>
      <c r="B23" s="17">
        <v>2</v>
      </c>
      <c r="C23" s="17">
        <v>1</v>
      </c>
      <c r="D23" s="17">
        <v>0</v>
      </c>
      <c r="E23" s="17">
        <v>0</v>
      </c>
      <c r="F23" s="17">
        <v>0</v>
      </c>
      <c r="G23" s="17">
        <v>1</v>
      </c>
      <c r="H23" s="17">
        <f t="shared" si="0"/>
        <v>3</v>
      </c>
      <c r="I23" s="79">
        <f t="shared" si="1"/>
        <v>50</v>
      </c>
      <c r="J23" s="17">
        <v>9</v>
      </c>
      <c r="K23" s="17">
        <v>4</v>
      </c>
      <c r="L23" s="17">
        <f t="shared" si="2"/>
        <v>5</v>
      </c>
      <c r="M23" s="58" t="s">
        <v>1407</v>
      </c>
      <c r="N23" s="38" t="s">
        <v>1408</v>
      </c>
      <c r="O23" s="38" t="s">
        <v>1409</v>
      </c>
      <c r="P23" s="25">
        <f t="shared" si="3"/>
        <v>4.5</v>
      </c>
      <c r="Q23" s="25">
        <f t="shared" si="4"/>
        <v>2</v>
      </c>
    </row>
    <row r="24" spans="1:17" x14ac:dyDescent="0.25">
      <c r="A24" s="17" t="s">
        <v>1348</v>
      </c>
      <c r="B24" s="17">
        <v>6</v>
      </c>
      <c r="C24" s="17">
        <v>2</v>
      </c>
      <c r="D24" s="17">
        <v>1</v>
      </c>
      <c r="E24" s="17">
        <v>1</v>
      </c>
      <c r="F24" s="17">
        <v>0</v>
      </c>
      <c r="G24" s="17">
        <v>2</v>
      </c>
      <c r="H24" s="17">
        <f t="shared" si="0"/>
        <v>9</v>
      </c>
      <c r="I24" s="79">
        <f t="shared" si="1"/>
        <v>50</v>
      </c>
      <c r="J24" s="17">
        <v>26</v>
      </c>
      <c r="K24" s="17">
        <v>25</v>
      </c>
      <c r="L24" s="17">
        <f t="shared" si="2"/>
        <v>1</v>
      </c>
      <c r="M24" s="58" t="s">
        <v>1432</v>
      </c>
      <c r="N24" s="38" t="s">
        <v>1416</v>
      </c>
      <c r="O24" s="38" t="s">
        <v>1349</v>
      </c>
      <c r="P24" s="25">
        <f t="shared" si="3"/>
        <v>4.333333333333333</v>
      </c>
      <c r="Q24" s="25">
        <f t="shared" si="4"/>
        <v>4.166666666666667</v>
      </c>
    </row>
    <row r="25" spans="1:17" x14ac:dyDescent="0.25">
      <c r="A25" s="17" t="s">
        <v>1341</v>
      </c>
      <c r="B25" s="17">
        <v>6</v>
      </c>
      <c r="C25" s="17">
        <v>2</v>
      </c>
      <c r="D25" s="17">
        <v>1</v>
      </c>
      <c r="E25" s="17">
        <v>0</v>
      </c>
      <c r="F25" s="17">
        <v>0</v>
      </c>
      <c r="G25" s="17">
        <v>3</v>
      </c>
      <c r="H25" s="17">
        <f t="shared" si="0"/>
        <v>8</v>
      </c>
      <c r="I25" s="79">
        <f t="shared" si="1"/>
        <v>44.444444444444443</v>
      </c>
      <c r="J25" s="17">
        <v>31</v>
      </c>
      <c r="K25" s="17">
        <v>39</v>
      </c>
      <c r="L25" s="17">
        <f t="shared" si="2"/>
        <v>-8</v>
      </c>
      <c r="M25" s="58" t="s">
        <v>1498</v>
      </c>
      <c r="N25" s="38" t="s">
        <v>1410</v>
      </c>
      <c r="O25" s="38" t="s">
        <v>1499</v>
      </c>
      <c r="P25" s="25">
        <f t="shared" si="3"/>
        <v>5.166666666666667</v>
      </c>
      <c r="Q25" s="25">
        <f t="shared" si="4"/>
        <v>6.5</v>
      </c>
    </row>
    <row r="26" spans="1:17" ht="30" x14ac:dyDescent="0.25">
      <c r="A26" s="17" t="s">
        <v>1413</v>
      </c>
      <c r="B26" s="17">
        <v>12</v>
      </c>
      <c r="C26" s="17">
        <v>5</v>
      </c>
      <c r="D26" s="17">
        <v>0</v>
      </c>
      <c r="E26" s="17">
        <v>0</v>
      </c>
      <c r="F26" s="17">
        <v>0</v>
      </c>
      <c r="G26" s="17">
        <v>7</v>
      </c>
      <c r="H26" s="17">
        <f t="shared" si="0"/>
        <v>15</v>
      </c>
      <c r="I26" s="79">
        <f t="shared" si="1"/>
        <v>41.666666666666664</v>
      </c>
      <c r="J26" s="17">
        <v>72</v>
      </c>
      <c r="K26" s="17">
        <v>70</v>
      </c>
      <c r="L26" s="17">
        <f t="shared" si="2"/>
        <v>2</v>
      </c>
      <c r="M26" s="77" t="s">
        <v>1533</v>
      </c>
      <c r="N26" s="74" t="s">
        <v>1534</v>
      </c>
      <c r="O26" s="38" t="s">
        <v>1423</v>
      </c>
      <c r="P26" s="25">
        <f t="shared" si="3"/>
        <v>6</v>
      </c>
      <c r="Q26" s="25">
        <f t="shared" si="4"/>
        <v>5.833333333333333</v>
      </c>
    </row>
    <row r="27" spans="1:17" x14ac:dyDescent="0.25">
      <c r="A27" s="17" t="s">
        <v>1440</v>
      </c>
      <c r="B27" s="17">
        <v>3</v>
      </c>
      <c r="C27" s="17">
        <v>1</v>
      </c>
      <c r="D27" s="17">
        <v>0</v>
      </c>
      <c r="E27" s="17">
        <v>0</v>
      </c>
      <c r="F27" s="17">
        <v>0</v>
      </c>
      <c r="G27" s="17">
        <v>2</v>
      </c>
      <c r="H27" s="17">
        <f t="shared" si="0"/>
        <v>3</v>
      </c>
      <c r="I27" s="79">
        <f t="shared" si="1"/>
        <v>33.333333333333336</v>
      </c>
      <c r="J27" s="17">
        <v>16</v>
      </c>
      <c r="K27" s="17">
        <v>17</v>
      </c>
      <c r="L27" s="17">
        <f t="shared" si="2"/>
        <v>-1</v>
      </c>
      <c r="M27" s="58" t="s">
        <v>1487</v>
      </c>
      <c r="N27" s="38" t="s">
        <v>1441</v>
      </c>
      <c r="O27" s="38" t="s">
        <v>1488</v>
      </c>
      <c r="P27" s="25">
        <f t="shared" si="3"/>
        <v>5.333333333333333</v>
      </c>
      <c r="Q27" s="25">
        <f t="shared" si="4"/>
        <v>5.666666666666667</v>
      </c>
    </row>
    <row r="28" spans="1:17" x14ac:dyDescent="0.25">
      <c r="A28" s="17" t="s">
        <v>1311</v>
      </c>
      <c r="B28" s="17">
        <v>6</v>
      </c>
      <c r="C28" s="17">
        <v>1</v>
      </c>
      <c r="D28" s="17">
        <v>1</v>
      </c>
      <c r="E28" s="17">
        <v>0</v>
      </c>
      <c r="F28" s="17">
        <v>0</v>
      </c>
      <c r="G28" s="17">
        <v>4</v>
      </c>
      <c r="H28" s="17">
        <f t="shared" si="0"/>
        <v>5</v>
      </c>
      <c r="I28" s="79">
        <f t="shared" si="1"/>
        <v>27.777777777777779</v>
      </c>
      <c r="J28" s="17">
        <v>32</v>
      </c>
      <c r="K28" s="17">
        <v>48</v>
      </c>
      <c r="L28" s="17">
        <f t="shared" si="2"/>
        <v>-16</v>
      </c>
      <c r="M28" s="58" t="s">
        <v>1512</v>
      </c>
      <c r="N28" s="38" t="s">
        <v>1461</v>
      </c>
      <c r="O28" s="38" t="s">
        <v>1513</v>
      </c>
      <c r="P28" s="25">
        <f t="shared" si="3"/>
        <v>5.333333333333333</v>
      </c>
      <c r="Q28" s="25">
        <f t="shared" si="4"/>
        <v>8</v>
      </c>
    </row>
    <row r="29" spans="1:17" x14ac:dyDescent="0.25">
      <c r="A29" s="17" t="s">
        <v>1430</v>
      </c>
      <c r="B29" s="17">
        <v>4</v>
      </c>
      <c r="C29" s="17">
        <v>1</v>
      </c>
      <c r="D29" s="17">
        <v>0</v>
      </c>
      <c r="E29" s="17">
        <v>0</v>
      </c>
      <c r="F29" s="17">
        <v>0</v>
      </c>
      <c r="G29" s="17">
        <v>3</v>
      </c>
      <c r="H29" s="17">
        <f t="shared" si="0"/>
        <v>3</v>
      </c>
      <c r="I29" s="79">
        <f t="shared" si="1"/>
        <v>25</v>
      </c>
      <c r="J29" s="17">
        <v>20</v>
      </c>
      <c r="K29" s="17">
        <v>31</v>
      </c>
      <c r="L29" s="17">
        <f t="shared" si="2"/>
        <v>-11</v>
      </c>
      <c r="M29" s="58" t="s">
        <v>1434</v>
      </c>
      <c r="N29" s="38" t="s">
        <v>1431</v>
      </c>
      <c r="O29" s="38" t="s">
        <v>1435</v>
      </c>
      <c r="P29" s="25">
        <f t="shared" si="3"/>
        <v>5</v>
      </c>
      <c r="Q29" s="25">
        <f t="shared" si="4"/>
        <v>7.75</v>
      </c>
    </row>
    <row r="30" spans="1:17" x14ac:dyDescent="0.25">
      <c r="A30" s="17" t="s">
        <v>1359</v>
      </c>
      <c r="B30" s="17">
        <v>4</v>
      </c>
      <c r="C30" s="17">
        <v>1</v>
      </c>
      <c r="D30" s="17">
        <v>0</v>
      </c>
      <c r="E30" s="17">
        <v>0</v>
      </c>
      <c r="F30" s="17">
        <v>0</v>
      </c>
      <c r="G30" s="17">
        <v>3</v>
      </c>
      <c r="H30" s="17">
        <f t="shared" si="0"/>
        <v>3</v>
      </c>
      <c r="I30" s="79">
        <f t="shared" si="1"/>
        <v>25</v>
      </c>
      <c r="J30" s="17">
        <v>18</v>
      </c>
      <c r="K30" s="17">
        <v>23</v>
      </c>
      <c r="L30" s="17">
        <f t="shared" si="2"/>
        <v>-5</v>
      </c>
      <c r="M30" s="58" t="s">
        <v>1537</v>
      </c>
      <c r="N30" s="38" t="s">
        <v>1538</v>
      </c>
      <c r="O30" s="38" t="s">
        <v>1539</v>
      </c>
      <c r="P30" s="25">
        <f t="shared" si="3"/>
        <v>4.5</v>
      </c>
      <c r="Q30" s="25">
        <f t="shared" si="4"/>
        <v>5.75</v>
      </c>
    </row>
    <row r="31" spans="1:17" x14ac:dyDescent="0.25">
      <c r="A31" s="17" t="s">
        <v>1313</v>
      </c>
      <c r="B31" s="17">
        <v>4</v>
      </c>
      <c r="C31" s="17">
        <v>0</v>
      </c>
      <c r="D31" s="17">
        <v>0</v>
      </c>
      <c r="E31" s="17">
        <v>0</v>
      </c>
      <c r="F31" s="17">
        <v>0</v>
      </c>
      <c r="G31" s="17">
        <v>4</v>
      </c>
      <c r="H31" s="17">
        <f t="shared" si="0"/>
        <v>0</v>
      </c>
      <c r="I31" s="79">
        <f t="shared" si="1"/>
        <v>0</v>
      </c>
      <c r="J31" s="17">
        <v>12</v>
      </c>
      <c r="K31" s="17">
        <v>48</v>
      </c>
      <c r="L31" s="17">
        <f t="shared" si="2"/>
        <v>-36</v>
      </c>
      <c r="M31" s="58" t="s">
        <v>1517</v>
      </c>
      <c r="O31" s="38" t="s">
        <v>1486</v>
      </c>
      <c r="P31" s="25">
        <f t="shared" si="3"/>
        <v>3</v>
      </c>
      <c r="Q31" s="25">
        <f t="shared" si="4"/>
        <v>12</v>
      </c>
    </row>
    <row r="32" spans="1:17" x14ac:dyDescent="0.25">
      <c r="P32" s="25"/>
    </row>
    <row r="33" spans="16:16" x14ac:dyDescent="0.25">
      <c r="P33" s="25"/>
    </row>
    <row r="34" spans="16:16" x14ac:dyDescent="0.25">
      <c r="P34" s="25"/>
    </row>
    <row r="35" spans="16:16" x14ac:dyDescent="0.25">
      <c r="P35" s="25"/>
    </row>
    <row r="36" spans="16:16" x14ac:dyDescent="0.25">
      <c r="P36" s="25"/>
    </row>
    <row r="37" spans="16:16" x14ac:dyDescent="0.25">
      <c r="P37" s="25"/>
    </row>
    <row r="38" spans="16:16" x14ac:dyDescent="0.25">
      <c r="P38" s="25"/>
    </row>
    <row r="39" spans="16:16" x14ac:dyDescent="0.25">
      <c r="P39" s="25"/>
    </row>
    <row r="40" spans="16:16" x14ac:dyDescent="0.25">
      <c r="P40" s="25"/>
    </row>
    <row r="41" spans="16:16" x14ac:dyDescent="0.25">
      <c r="P41" s="25"/>
    </row>
    <row r="42" spans="16:16" x14ac:dyDescent="0.25">
      <c r="P42" s="25"/>
    </row>
    <row r="43" spans="16:16" x14ac:dyDescent="0.25">
      <c r="P43" s="25"/>
    </row>
    <row r="44" spans="16:16" x14ac:dyDescent="0.25">
      <c r="P44" s="25"/>
    </row>
    <row r="45" spans="16:16" x14ac:dyDescent="0.25">
      <c r="P45" s="25"/>
    </row>
    <row r="46" spans="16:16" x14ac:dyDescent="0.25">
      <c r="P46" s="25"/>
    </row>
    <row r="47" spans="16:16" x14ac:dyDescent="0.25">
      <c r="P47" s="25"/>
    </row>
    <row r="48" spans="16:16" x14ac:dyDescent="0.25">
      <c r="P48" s="25"/>
    </row>
  </sheetData>
  <sortState xmlns:xlrd2="http://schemas.microsoft.com/office/spreadsheetml/2017/richdata2" ref="A2:Q31">
    <sortCondition descending="1" ref="I2:I31"/>
  </sortState>
  <pageMargins left="0.7" right="0.7" top="0.78740157499999996" bottom="0.78740157499999996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27"/>
  <sheetViews>
    <sheetView zoomScale="80" zoomScaleNormal="80" workbookViewId="0">
      <pane ySplit="1" topLeftCell="A35" activePane="bottomLeft" state="frozen"/>
      <selection pane="bottomLeft" activeCell="R59" sqref="R59"/>
    </sheetView>
  </sheetViews>
  <sheetFormatPr defaultRowHeight="15" x14ac:dyDescent="0.25"/>
  <cols>
    <col min="1" max="1" width="28.85546875" customWidth="1"/>
    <col min="2" max="2" width="6.42578125" customWidth="1"/>
    <col min="3" max="3" width="5.7109375" customWidth="1"/>
    <col min="4" max="4" width="6.5703125" customWidth="1"/>
    <col min="5" max="5" width="5.85546875" customWidth="1"/>
    <col min="6" max="6" width="5.7109375" customWidth="1"/>
    <col min="7" max="7" width="6.140625" customWidth="1"/>
    <col min="8" max="8" width="6.42578125" customWidth="1"/>
    <col min="9" max="9" width="5.85546875" style="7" customWidth="1"/>
    <col min="10" max="10" width="6.140625" style="20" customWidth="1"/>
    <col min="11" max="11" width="6.5703125" style="17" customWidth="1"/>
    <col min="12" max="12" width="37.5703125" style="6" bestFit="1" customWidth="1"/>
  </cols>
  <sheetData>
    <row r="1" spans="1:12" x14ac:dyDescent="0.25">
      <c r="A1" s="11" t="s">
        <v>165</v>
      </c>
      <c r="B1" s="18" t="s">
        <v>1</v>
      </c>
      <c r="C1" s="18" t="s">
        <v>53</v>
      </c>
      <c r="D1" s="45" t="s">
        <v>287</v>
      </c>
      <c r="E1" s="18" t="s">
        <v>54</v>
      </c>
      <c r="F1" s="45" t="s">
        <v>288</v>
      </c>
      <c r="G1" s="18" t="s">
        <v>55</v>
      </c>
      <c r="H1" s="46" t="s">
        <v>4</v>
      </c>
      <c r="I1" s="21" t="s">
        <v>56</v>
      </c>
      <c r="J1" s="21" t="s">
        <v>57</v>
      </c>
      <c r="K1" s="18" t="s">
        <v>101</v>
      </c>
      <c r="L1" s="16" t="s">
        <v>102</v>
      </c>
    </row>
    <row r="2" spans="1:12" x14ac:dyDescent="0.25">
      <c r="A2" s="38" t="s">
        <v>270</v>
      </c>
      <c r="B2" s="39">
        <v>4</v>
      </c>
      <c r="C2" s="39">
        <v>0</v>
      </c>
      <c r="D2" s="39">
        <v>0</v>
      </c>
      <c r="E2" s="39">
        <v>0</v>
      </c>
      <c r="F2" s="39">
        <v>0</v>
      </c>
      <c r="G2" s="39">
        <v>4</v>
      </c>
      <c r="H2" s="39">
        <f t="shared" ref="H2:H33" si="0">C2*3+D2*2+E2+F2</f>
        <v>0</v>
      </c>
      <c r="I2" s="39">
        <v>7</v>
      </c>
      <c r="J2" s="39">
        <v>47</v>
      </c>
      <c r="K2" s="39">
        <f t="shared" ref="K2:K33" si="1">I2-J2</f>
        <v>-40</v>
      </c>
      <c r="L2" s="67" t="s">
        <v>1525</v>
      </c>
    </row>
    <row r="3" spans="1:12" x14ac:dyDescent="0.25">
      <c r="A3" s="38" t="s">
        <v>390</v>
      </c>
      <c r="B3" s="39">
        <v>4</v>
      </c>
      <c r="C3" s="39">
        <v>1</v>
      </c>
      <c r="D3" s="39">
        <v>0</v>
      </c>
      <c r="E3" s="39">
        <v>0</v>
      </c>
      <c r="F3" s="39">
        <v>1</v>
      </c>
      <c r="G3" s="39">
        <v>2</v>
      </c>
      <c r="H3" s="39">
        <f t="shared" si="0"/>
        <v>4</v>
      </c>
      <c r="I3" s="17">
        <v>14</v>
      </c>
      <c r="J3" s="66">
        <v>28</v>
      </c>
      <c r="K3" s="39">
        <f t="shared" si="1"/>
        <v>-14</v>
      </c>
      <c r="L3" s="58" t="s">
        <v>1147</v>
      </c>
    </row>
    <row r="4" spans="1:12" x14ac:dyDescent="0.25">
      <c r="A4" s="38" t="s">
        <v>184</v>
      </c>
      <c r="B4" s="39">
        <v>2</v>
      </c>
      <c r="C4" s="39">
        <v>1</v>
      </c>
      <c r="D4" s="39">
        <v>0</v>
      </c>
      <c r="E4" s="39">
        <v>0</v>
      </c>
      <c r="F4" s="39">
        <v>0</v>
      </c>
      <c r="G4" s="39">
        <v>1</v>
      </c>
      <c r="H4" s="39">
        <f t="shared" si="0"/>
        <v>3</v>
      </c>
      <c r="I4" s="39">
        <v>9</v>
      </c>
      <c r="J4" s="39">
        <v>12</v>
      </c>
      <c r="K4" s="39">
        <f t="shared" si="1"/>
        <v>-3</v>
      </c>
      <c r="L4" s="67" t="s">
        <v>185</v>
      </c>
    </row>
    <row r="5" spans="1:12" x14ac:dyDescent="0.25">
      <c r="A5" s="38" t="s">
        <v>175</v>
      </c>
      <c r="B5" s="39">
        <v>6</v>
      </c>
      <c r="C5" s="39">
        <v>3</v>
      </c>
      <c r="D5" s="39">
        <v>0</v>
      </c>
      <c r="E5" s="39">
        <v>2</v>
      </c>
      <c r="F5" s="39">
        <v>0</v>
      </c>
      <c r="G5" s="39">
        <v>1</v>
      </c>
      <c r="H5" s="39">
        <f t="shared" si="0"/>
        <v>11</v>
      </c>
      <c r="I5" s="39">
        <v>29</v>
      </c>
      <c r="J5" s="39">
        <v>18</v>
      </c>
      <c r="K5" s="39">
        <f t="shared" si="1"/>
        <v>11</v>
      </c>
      <c r="L5" s="67" t="s">
        <v>212</v>
      </c>
    </row>
    <row r="6" spans="1:12" x14ac:dyDescent="0.25">
      <c r="A6" s="38" t="s">
        <v>199</v>
      </c>
      <c r="B6" s="39">
        <v>2</v>
      </c>
      <c r="C6" s="39">
        <v>0</v>
      </c>
      <c r="D6" s="39">
        <v>0</v>
      </c>
      <c r="E6" s="39">
        <v>0</v>
      </c>
      <c r="F6" s="39">
        <v>0</v>
      </c>
      <c r="G6" s="39">
        <v>2</v>
      </c>
      <c r="H6" s="39">
        <f t="shared" si="0"/>
        <v>0</v>
      </c>
      <c r="I6" s="39">
        <v>8</v>
      </c>
      <c r="J6" s="39">
        <v>18</v>
      </c>
      <c r="K6" s="39">
        <f t="shared" si="1"/>
        <v>-10</v>
      </c>
      <c r="L6" s="67" t="s">
        <v>208</v>
      </c>
    </row>
    <row r="7" spans="1:12" x14ac:dyDescent="0.25">
      <c r="A7" s="38" t="s">
        <v>475</v>
      </c>
      <c r="B7" s="39">
        <v>2</v>
      </c>
      <c r="C7" s="39">
        <v>0</v>
      </c>
      <c r="D7" s="39">
        <v>0</v>
      </c>
      <c r="E7" s="39">
        <v>0</v>
      </c>
      <c r="F7" s="39">
        <v>0</v>
      </c>
      <c r="G7" s="39">
        <v>2</v>
      </c>
      <c r="H7" s="39">
        <f t="shared" si="0"/>
        <v>0</v>
      </c>
      <c r="I7" s="39">
        <v>3</v>
      </c>
      <c r="J7" s="39">
        <v>15</v>
      </c>
      <c r="K7" s="39">
        <f t="shared" si="1"/>
        <v>-12</v>
      </c>
      <c r="L7" s="67" t="s">
        <v>347</v>
      </c>
    </row>
    <row r="8" spans="1:12" x14ac:dyDescent="0.25">
      <c r="A8" s="38" t="s">
        <v>1404</v>
      </c>
      <c r="B8" s="39">
        <v>2</v>
      </c>
      <c r="C8" s="39">
        <v>0</v>
      </c>
      <c r="D8" s="39">
        <v>0</v>
      </c>
      <c r="E8" s="39">
        <v>0</v>
      </c>
      <c r="F8" s="39">
        <v>0</v>
      </c>
      <c r="G8" s="39">
        <v>2</v>
      </c>
      <c r="H8" s="39">
        <f t="shared" si="0"/>
        <v>0</v>
      </c>
      <c r="I8" s="39">
        <v>1</v>
      </c>
      <c r="J8" s="68">
        <v>10</v>
      </c>
      <c r="K8" s="39">
        <f t="shared" si="1"/>
        <v>-9</v>
      </c>
      <c r="L8" s="58" t="s">
        <v>1557</v>
      </c>
    </row>
    <row r="9" spans="1:12" x14ac:dyDescent="0.25">
      <c r="A9" s="38" t="s">
        <v>1403</v>
      </c>
      <c r="B9" s="39">
        <v>2</v>
      </c>
      <c r="C9" s="39">
        <v>0</v>
      </c>
      <c r="D9" s="39">
        <v>0</v>
      </c>
      <c r="E9" s="39">
        <v>0</v>
      </c>
      <c r="F9" s="39">
        <v>0</v>
      </c>
      <c r="G9" s="39">
        <v>2</v>
      </c>
      <c r="H9" s="39">
        <f t="shared" si="0"/>
        <v>0</v>
      </c>
      <c r="I9" s="39">
        <v>7</v>
      </c>
      <c r="J9" s="39">
        <v>11</v>
      </c>
      <c r="K9" s="39">
        <f t="shared" si="1"/>
        <v>-4</v>
      </c>
      <c r="L9" s="67" t="s">
        <v>371</v>
      </c>
    </row>
    <row r="10" spans="1:12" x14ac:dyDescent="0.25">
      <c r="A10" s="38" t="s">
        <v>182</v>
      </c>
      <c r="B10" s="39">
        <v>2</v>
      </c>
      <c r="C10" s="39">
        <v>2</v>
      </c>
      <c r="D10" s="39">
        <v>0</v>
      </c>
      <c r="E10" s="39">
        <v>0</v>
      </c>
      <c r="F10" s="39">
        <v>0</v>
      </c>
      <c r="G10" s="39">
        <v>0</v>
      </c>
      <c r="H10" s="39">
        <f t="shared" si="0"/>
        <v>6</v>
      </c>
      <c r="I10" s="39">
        <v>17</v>
      </c>
      <c r="J10" s="39">
        <v>5</v>
      </c>
      <c r="K10" s="39">
        <f t="shared" si="1"/>
        <v>12</v>
      </c>
      <c r="L10" s="67" t="s">
        <v>183</v>
      </c>
    </row>
    <row r="11" spans="1:12" x14ac:dyDescent="0.25">
      <c r="A11" s="38" t="s">
        <v>408</v>
      </c>
      <c r="B11" s="39">
        <v>6</v>
      </c>
      <c r="C11" s="39">
        <v>3</v>
      </c>
      <c r="D11" s="39">
        <v>0</v>
      </c>
      <c r="E11" s="39">
        <v>0</v>
      </c>
      <c r="F11" s="39">
        <v>0</v>
      </c>
      <c r="G11" s="39">
        <v>3</v>
      </c>
      <c r="H11" s="39">
        <f t="shared" si="0"/>
        <v>9</v>
      </c>
      <c r="I11" s="17">
        <v>30</v>
      </c>
      <c r="J11" s="66">
        <v>23</v>
      </c>
      <c r="K11" s="39">
        <f t="shared" si="1"/>
        <v>7</v>
      </c>
      <c r="L11" s="58" t="s">
        <v>1515</v>
      </c>
    </row>
    <row r="12" spans="1:12" x14ac:dyDescent="0.25">
      <c r="A12" s="38" t="s">
        <v>1167</v>
      </c>
      <c r="B12" s="39">
        <v>2</v>
      </c>
      <c r="C12" s="39">
        <v>2</v>
      </c>
      <c r="D12" s="39">
        <v>0</v>
      </c>
      <c r="E12" s="39">
        <v>0</v>
      </c>
      <c r="F12" s="39">
        <v>0</v>
      </c>
      <c r="G12" s="39">
        <v>0</v>
      </c>
      <c r="H12" s="39">
        <f t="shared" si="0"/>
        <v>6</v>
      </c>
      <c r="I12" s="39">
        <v>15</v>
      </c>
      <c r="J12" s="68">
        <v>9</v>
      </c>
      <c r="K12" s="39">
        <f t="shared" si="1"/>
        <v>6</v>
      </c>
      <c r="L12" s="58" t="s">
        <v>1371</v>
      </c>
    </row>
    <row r="13" spans="1:12" x14ac:dyDescent="0.25">
      <c r="A13" s="38" t="s">
        <v>171</v>
      </c>
      <c r="B13" s="39">
        <v>2</v>
      </c>
      <c r="C13" s="39">
        <v>2</v>
      </c>
      <c r="D13" s="39">
        <v>0</v>
      </c>
      <c r="E13" s="39">
        <v>0</v>
      </c>
      <c r="F13" s="39">
        <v>0</v>
      </c>
      <c r="G13" s="39">
        <v>0</v>
      </c>
      <c r="H13" s="39">
        <f t="shared" si="0"/>
        <v>6</v>
      </c>
      <c r="I13" s="39">
        <v>12</v>
      </c>
      <c r="J13" s="39">
        <v>8</v>
      </c>
      <c r="K13" s="39">
        <f t="shared" si="1"/>
        <v>4</v>
      </c>
      <c r="L13" s="67" t="s">
        <v>172</v>
      </c>
    </row>
    <row r="14" spans="1:12" x14ac:dyDescent="0.25">
      <c r="A14" s="38" t="s">
        <v>393</v>
      </c>
      <c r="B14" s="39">
        <v>2</v>
      </c>
      <c r="C14" s="39">
        <v>0</v>
      </c>
      <c r="D14" s="39">
        <v>0</v>
      </c>
      <c r="E14" s="39">
        <v>1</v>
      </c>
      <c r="F14" s="39">
        <v>0</v>
      </c>
      <c r="G14" s="39">
        <v>1</v>
      </c>
      <c r="H14" s="39">
        <f t="shared" si="0"/>
        <v>1</v>
      </c>
      <c r="I14" s="39">
        <v>7</v>
      </c>
      <c r="J14" s="39">
        <v>10</v>
      </c>
      <c r="K14" s="39">
        <f t="shared" si="1"/>
        <v>-3</v>
      </c>
      <c r="L14" s="67" t="s">
        <v>281</v>
      </c>
    </row>
    <row r="15" spans="1:12" x14ac:dyDescent="0.25">
      <c r="A15" s="38" t="s">
        <v>197</v>
      </c>
      <c r="B15" s="39">
        <v>2</v>
      </c>
      <c r="C15" s="39">
        <v>1</v>
      </c>
      <c r="D15" s="39">
        <v>0</v>
      </c>
      <c r="E15" s="39">
        <v>0</v>
      </c>
      <c r="F15" s="39">
        <v>0</v>
      </c>
      <c r="G15" s="39">
        <v>1</v>
      </c>
      <c r="H15" s="39">
        <f t="shared" si="0"/>
        <v>3</v>
      </c>
      <c r="I15" s="39">
        <v>5</v>
      </c>
      <c r="J15" s="39">
        <v>7</v>
      </c>
      <c r="K15" s="39">
        <f t="shared" si="1"/>
        <v>-2</v>
      </c>
      <c r="L15" s="67" t="s">
        <v>198</v>
      </c>
    </row>
    <row r="16" spans="1:12" x14ac:dyDescent="0.25">
      <c r="A16" s="38" t="s">
        <v>109</v>
      </c>
      <c r="B16" s="39">
        <v>2</v>
      </c>
      <c r="C16" s="39">
        <v>2</v>
      </c>
      <c r="D16" s="39">
        <v>0</v>
      </c>
      <c r="E16" s="39">
        <v>0</v>
      </c>
      <c r="F16" s="39">
        <v>0</v>
      </c>
      <c r="G16" s="39">
        <v>0</v>
      </c>
      <c r="H16" s="39">
        <f t="shared" si="0"/>
        <v>6</v>
      </c>
      <c r="I16" s="39">
        <v>15</v>
      </c>
      <c r="J16" s="39">
        <v>5</v>
      </c>
      <c r="K16" s="39">
        <f t="shared" si="1"/>
        <v>10</v>
      </c>
      <c r="L16" s="67" t="s">
        <v>166</v>
      </c>
    </row>
    <row r="17" spans="1:12" x14ac:dyDescent="0.25">
      <c r="A17" s="38" t="s">
        <v>194</v>
      </c>
      <c r="B17" s="39">
        <v>4</v>
      </c>
      <c r="C17" s="39">
        <v>1</v>
      </c>
      <c r="D17" s="39">
        <v>0</v>
      </c>
      <c r="E17" s="39">
        <v>1</v>
      </c>
      <c r="F17" s="39">
        <v>0</v>
      </c>
      <c r="G17" s="39">
        <v>2</v>
      </c>
      <c r="H17" s="39">
        <f t="shared" si="0"/>
        <v>4</v>
      </c>
      <c r="I17" s="39">
        <v>14</v>
      </c>
      <c r="J17" s="39">
        <v>22</v>
      </c>
      <c r="K17" s="39">
        <f t="shared" si="1"/>
        <v>-8</v>
      </c>
      <c r="L17" s="67" t="s">
        <v>218</v>
      </c>
    </row>
    <row r="18" spans="1:12" x14ac:dyDescent="0.25">
      <c r="A18" s="38" t="s">
        <v>192</v>
      </c>
      <c r="B18" s="39">
        <v>2</v>
      </c>
      <c r="C18" s="39">
        <v>1</v>
      </c>
      <c r="D18" s="39">
        <v>0</v>
      </c>
      <c r="E18" s="39">
        <v>1</v>
      </c>
      <c r="F18" s="39">
        <v>0</v>
      </c>
      <c r="G18" s="39">
        <v>0</v>
      </c>
      <c r="H18" s="39">
        <f t="shared" si="0"/>
        <v>4</v>
      </c>
      <c r="I18" s="39">
        <v>6</v>
      </c>
      <c r="J18" s="39">
        <v>4</v>
      </c>
      <c r="K18" s="39">
        <f t="shared" si="1"/>
        <v>2</v>
      </c>
      <c r="L18" s="67" t="s">
        <v>193</v>
      </c>
    </row>
    <row r="19" spans="1:12" x14ac:dyDescent="0.25">
      <c r="A19" s="38" t="s">
        <v>307</v>
      </c>
      <c r="B19" s="39">
        <v>2</v>
      </c>
      <c r="C19" s="39">
        <v>1</v>
      </c>
      <c r="D19" s="39">
        <v>0</v>
      </c>
      <c r="E19" s="39">
        <v>0</v>
      </c>
      <c r="F19" s="39">
        <v>0</v>
      </c>
      <c r="G19" s="39">
        <v>1</v>
      </c>
      <c r="H19" s="39">
        <f t="shared" si="0"/>
        <v>3</v>
      </c>
      <c r="I19" s="39">
        <v>8</v>
      </c>
      <c r="J19" s="39">
        <v>10</v>
      </c>
      <c r="K19" s="39">
        <f t="shared" si="1"/>
        <v>-2</v>
      </c>
      <c r="L19" s="67" t="s">
        <v>341</v>
      </c>
    </row>
    <row r="20" spans="1:12" x14ac:dyDescent="0.25">
      <c r="A20" s="38" t="s">
        <v>169</v>
      </c>
      <c r="B20" s="39">
        <v>4</v>
      </c>
      <c r="C20" s="39">
        <v>0</v>
      </c>
      <c r="D20" s="39">
        <v>0</v>
      </c>
      <c r="E20" s="39">
        <v>0</v>
      </c>
      <c r="F20" s="39">
        <v>0</v>
      </c>
      <c r="G20" s="39">
        <v>4</v>
      </c>
      <c r="H20" s="39">
        <f t="shared" si="0"/>
        <v>0</v>
      </c>
      <c r="I20" s="39">
        <v>8</v>
      </c>
      <c r="J20" s="39">
        <v>30</v>
      </c>
      <c r="K20" s="39">
        <f t="shared" si="1"/>
        <v>-22</v>
      </c>
      <c r="L20" s="67" t="s">
        <v>188</v>
      </c>
    </row>
    <row r="21" spans="1:12" x14ac:dyDescent="0.25">
      <c r="A21" s="38" t="s">
        <v>170</v>
      </c>
      <c r="B21" s="39">
        <v>4</v>
      </c>
      <c r="C21" s="39">
        <v>0</v>
      </c>
      <c r="D21" s="39">
        <v>0</v>
      </c>
      <c r="E21" s="39">
        <v>1</v>
      </c>
      <c r="F21" s="39">
        <v>0</v>
      </c>
      <c r="G21" s="39">
        <v>3</v>
      </c>
      <c r="H21" s="39">
        <f t="shared" si="0"/>
        <v>1</v>
      </c>
      <c r="I21" s="39">
        <v>6</v>
      </c>
      <c r="J21" s="39">
        <v>17</v>
      </c>
      <c r="K21" s="39">
        <f t="shared" si="1"/>
        <v>-11</v>
      </c>
      <c r="L21" s="67" t="s">
        <v>180</v>
      </c>
    </row>
    <row r="22" spans="1:12" x14ac:dyDescent="0.25">
      <c r="A22" s="38" t="s">
        <v>189</v>
      </c>
      <c r="B22" s="39">
        <v>2</v>
      </c>
      <c r="C22" s="39">
        <v>1</v>
      </c>
      <c r="D22" s="39">
        <v>0</v>
      </c>
      <c r="E22" s="39">
        <v>0</v>
      </c>
      <c r="F22" s="39">
        <v>0</v>
      </c>
      <c r="G22" s="39">
        <v>1</v>
      </c>
      <c r="H22" s="39">
        <f t="shared" si="0"/>
        <v>3</v>
      </c>
      <c r="I22" s="39">
        <v>5</v>
      </c>
      <c r="J22" s="39">
        <v>9</v>
      </c>
      <c r="K22" s="39">
        <f t="shared" si="1"/>
        <v>-4</v>
      </c>
      <c r="L22" s="67" t="s">
        <v>190</v>
      </c>
    </row>
    <row r="23" spans="1:12" x14ac:dyDescent="0.25">
      <c r="A23" s="38" t="s">
        <v>308</v>
      </c>
      <c r="B23" s="39">
        <v>2</v>
      </c>
      <c r="C23" s="39">
        <v>0</v>
      </c>
      <c r="D23" s="39">
        <v>0</v>
      </c>
      <c r="E23" s="39">
        <v>0</v>
      </c>
      <c r="F23" s="39">
        <v>0</v>
      </c>
      <c r="G23" s="39">
        <v>2</v>
      </c>
      <c r="H23" s="39">
        <f t="shared" si="0"/>
        <v>0</v>
      </c>
      <c r="I23" s="39">
        <v>5</v>
      </c>
      <c r="J23" s="39">
        <v>14</v>
      </c>
      <c r="K23" s="39">
        <f t="shared" si="1"/>
        <v>-9</v>
      </c>
      <c r="L23" s="67" t="s">
        <v>345</v>
      </c>
    </row>
    <row r="24" spans="1:12" x14ac:dyDescent="0.25">
      <c r="A24" s="38" t="s">
        <v>309</v>
      </c>
      <c r="B24" s="39">
        <v>3</v>
      </c>
      <c r="C24" s="39">
        <v>0</v>
      </c>
      <c r="D24" s="39">
        <v>0</v>
      </c>
      <c r="E24" s="39">
        <v>0</v>
      </c>
      <c r="F24" s="39">
        <v>0</v>
      </c>
      <c r="G24" s="39">
        <v>3</v>
      </c>
      <c r="H24" s="39">
        <f t="shared" si="0"/>
        <v>0</v>
      </c>
      <c r="I24" s="39">
        <v>12</v>
      </c>
      <c r="J24" s="39">
        <v>24</v>
      </c>
      <c r="K24" s="39">
        <f t="shared" si="1"/>
        <v>-12</v>
      </c>
      <c r="L24" s="67" t="s">
        <v>388</v>
      </c>
    </row>
    <row r="25" spans="1:12" x14ac:dyDescent="0.25">
      <c r="A25" s="38" t="s">
        <v>243</v>
      </c>
      <c r="B25" s="39">
        <v>2</v>
      </c>
      <c r="C25" s="39">
        <v>0</v>
      </c>
      <c r="D25" s="39">
        <v>0</v>
      </c>
      <c r="E25" s="39">
        <v>0</v>
      </c>
      <c r="F25" s="39">
        <v>0</v>
      </c>
      <c r="G25" s="39">
        <v>2</v>
      </c>
      <c r="H25" s="39">
        <f t="shared" si="0"/>
        <v>0</v>
      </c>
      <c r="I25" s="39">
        <v>5</v>
      </c>
      <c r="J25" s="39">
        <v>16</v>
      </c>
      <c r="K25" s="39">
        <f t="shared" si="1"/>
        <v>-11</v>
      </c>
      <c r="L25" s="67" t="s">
        <v>249</v>
      </c>
    </row>
    <row r="26" spans="1:12" x14ac:dyDescent="0.25">
      <c r="A26" s="38" t="s">
        <v>483</v>
      </c>
      <c r="B26" s="39">
        <v>8</v>
      </c>
      <c r="C26" s="39">
        <v>1</v>
      </c>
      <c r="D26" s="39">
        <v>2</v>
      </c>
      <c r="E26" s="39">
        <v>0</v>
      </c>
      <c r="F26" s="39">
        <v>1</v>
      </c>
      <c r="G26" s="39">
        <v>4</v>
      </c>
      <c r="H26" s="39">
        <f t="shared" si="0"/>
        <v>8</v>
      </c>
      <c r="I26" s="17">
        <v>36</v>
      </c>
      <c r="J26" s="17">
        <v>55</v>
      </c>
      <c r="K26" s="39">
        <f t="shared" si="1"/>
        <v>-19</v>
      </c>
      <c r="L26" s="67" t="s">
        <v>1565</v>
      </c>
    </row>
    <row r="27" spans="1:12" x14ac:dyDescent="0.25">
      <c r="A27" s="38" t="s">
        <v>484</v>
      </c>
      <c r="B27" s="39">
        <v>3</v>
      </c>
      <c r="C27" s="39">
        <v>2</v>
      </c>
      <c r="D27" s="39">
        <v>0</v>
      </c>
      <c r="E27" s="39">
        <v>0</v>
      </c>
      <c r="F27" s="39">
        <v>0</v>
      </c>
      <c r="G27" s="39">
        <v>1</v>
      </c>
      <c r="H27" s="39">
        <f t="shared" si="0"/>
        <v>6</v>
      </c>
      <c r="I27" s="39">
        <v>16</v>
      </c>
      <c r="J27" s="39">
        <v>11</v>
      </c>
      <c r="K27" s="39">
        <f t="shared" si="1"/>
        <v>5</v>
      </c>
      <c r="L27" s="67" t="s">
        <v>1698</v>
      </c>
    </row>
    <row r="28" spans="1:12" x14ac:dyDescent="0.25">
      <c r="A28" s="38" t="s">
        <v>477</v>
      </c>
      <c r="B28" s="39">
        <v>2</v>
      </c>
      <c r="C28" s="39">
        <v>0</v>
      </c>
      <c r="D28" s="39">
        <v>0</v>
      </c>
      <c r="E28" s="39">
        <v>1</v>
      </c>
      <c r="F28" s="39">
        <v>0</v>
      </c>
      <c r="G28" s="39">
        <v>1</v>
      </c>
      <c r="H28" s="39">
        <f t="shared" si="0"/>
        <v>1</v>
      </c>
      <c r="I28" s="39">
        <v>7</v>
      </c>
      <c r="J28" s="39">
        <v>11</v>
      </c>
      <c r="K28" s="39">
        <f t="shared" si="1"/>
        <v>-4</v>
      </c>
      <c r="L28" s="67" t="s">
        <v>191</v>
      </c>
    </row>
    <row r="29" spans="1:12" x14ac:dyDescent="0.25">
      <c r="A29" s="38" t="s">
        <v>117</v>
      </c>
      <c r="B29" s="39">
        <v>4</v>
      </c>
      <c r="C29" s="39">
        <v>2</v>
      </c>
      <c r="D29" s="39">
        <v>0</v>
      </c>
      <c r="E29" s="39">
        <v>1</v>
      </c>
      <c r="F29" s="39">
        <v>0</v>
      </c>
      <c r="G29" s="39">
        <v>1</v>
      </c>
      <c r="H29" s="39">
        <f t="shared" si="0"/>
        <v>7</v>
      </c>
      <c r="I29" s="39">
        <v>12</v>
      </c>
      <c r="J29" s="39">
        <v>13</v>
      </c>
      <c r="K29" s="39">
        <f t="shared" si="1"/>
        <v>-1</v>
      </c>
      <c r="L29" s="67" t="s">
        <v>283</v>
      </c>
    </row>
    <row r="30" spans="1:12" x14ac:dyDescent="0.25">
      <c r="A30" s="38" t="s">
        <v>241</v>
      </c>
      <c r="B30" s="39">
        <v>4</v>
      </c>
      <c r="C30" s="39">
        <v>2</v>
      </c>
      <c r="D30" s="39">
        <v>0</v>
      </c>
      <c r="E30" s="39">
        <v>2</v>
      </c>
      <c r="F30" s="39">
        <v>0</v>
      </c>
      <c r="G30" s="39">
        <v>0</v>
      </c>
      <c r="H30" s="39">
        <f t="shared" si="0"/>
        <v>8</v>
      </c>
      <c r="I30" s="39">
        <v>25</v>
      </c>
      <c r="J30" s="39">
        <v>19</v>
      </c>
      <c r="K30" s="39">
        <f t="shared" si="1"/>
        <v>6</v>
      </c>
      <c r="L30" s="67" t="s">
        <v>1246</v>
      </c>
    </row>
    <row r="31" spans="1:12" x14ac:dyDescent="0.25">
      <c r="A31" s="38" t="s">
        <v>310</v>
      </c>
      <c r="B31" s="39">
        <v>2</v>
      </c>
      <c r="C31" s="39">
        <v>1</v>
      </c>
      <c r="D31" s="39">
        <v>0</v>
      </c>
      <c r="E31" s="39">
        <v>0</v>
      </c>
      <c r="F31" s="39">
        <v>0</v>
      </c>
      <c r="G31" s="39">
        <v>1</v>
      </c>
      <c r="H31" s="39">
        <f t="shared" si="0"/>
        <v>3</v>
      </c>
      <c r="I31" s="39">
        <v>14</v>
      </c>
      <c r="J31" s="39">
        <v>9</v>
      </c>
      <c r="K31" s="39">
        <f t="shared" si="1"/>
        <v>5</v>
      </c>
      <c r="L31" s="67" t="s">
        <v>340</v>
      </c>
    </row>
    <row r="32" spans="1:12" x14ac:dyDescent="0.25">
      <c r="A32" s="38" t="s">
        <v>394</v>
      </c>
      <c r="B32" s="39">
        <v>3</v>
      </c>
      <c r="C32" s="39">
        <v>2</v>
      </c>
      <c r="D32" s="39">
        <v>0</v>
      </c>
      <c r="E32" s="39">
        <v>0</v>
      </c>
      <c r="F32" s="39">
        <v>0</v>
      </c>
      <c r="G32" s="39">
        <v>1</v>
      </c>
      <c r="H32" s="39">
        <f t="shared" si="0"/>
        <v>6</v>
      </c>
      <c r="I32" s="39">
        <v>17</v>
      </c>
      <c r="J32" s="39">
        <v>11</v>
      </c>
      <c r="K32" s="39">
        <f t="shared" si="1"/>
        <v>6</v>
      </c>
      <c r="L32" s="67" t="s">
        <v>399</v>
      </c>
    </row>
    <row r="33" spans="1:12" x14ac:dyDescent="0.25">
      <c r="A33" s="38" t="s">
        <v>195</v>
      </c>
      <c r="B33" s="39">
        <v>2</v>
      </c>
      <c r="C33" s="39">
        <v>0</v>
      </c>
      <c r="D33" s="39">
        <v>0</v>
      </c>
      <c r="E33" s="39">
        <v>1</v>
      </c>
      <c r="F33" s="39">
        <v>0</v>
      </c>
      <c r="G33" s="39">
        <v>1</v>
      </c>
      <c r="H33" s="39">
        <f t="shared" si="0"/>
        <v>1</v>
      </c>
      <c r="I33" s="39">
        <v>10</v>
      </c>
      <c r="J33" s="39">
        <v>13</v>
      </c>
      <c r="K33" s="39">
        <f t="shared" si="1"/>
        <v>-3</v>
      </c>
      <c r="L33" s="67" t="s">
        <v>196</v>
      </c>
    </row>
    <row r="34" spans="1:12" x14ac:dyDescent="0.25">
      <c r="A34" s="38" t="s">
        <v>119</v>
      </c>
      <c r="B34" s="39">
        <v>2</v>
      </c>
      <c r="C34" s="39">
        <v>0</v>
      </c>
      <c r="D34" s="39">
        <v>0</v>
      </c>
      <c r="E34" s="39">
        <v>0</v>
      </c>
      <c r="F34" s="39">
        <v>0</v>
      </c>
      <c r="G34" s="39">
        <v>2</v>
      </c>
      <c r="H34" s="39">
        <f t="shared" ref="H34:H60" si="2">C34*3+D34*2+E34+F34</f>
        <v>0</v>
      </c>
      <c r="I34" s="39">
        <v>5</v>
      </c>
      <c r="J34" s="39">
        <v>14</v>
      </c>
      <c r="K34" s="39">
        <f t="shared" ref="K34:K60" si="3">I34-J34</f>
        <v>-9</v>
      </c>
      <c r="L34" s="67" t="s">
        <v>282</v>
      </c>
    </row>
    <row r="35" spans="1:12" x14ac:dyDescent="0.25">
      <c r="A35" s="38" t="s">
        <v>392</v>
      </c>
      <c r="B35" s="39">
        <v>3</v>
      </c>
      <c r="C35" s="39">
        <v>1</v>
      </c>
      <c r="D35" s="39">
        <v>0</v>
      </c>
      <c r="E35" s="39">
        <v>0</v>
      </c>
      <c r="F35" s="39">
        <v>0</v>
      </c>
      <c r="G35" s="39">
        <v>2</v>
      </c>
      <c r="H35" s="39">
        <f t="shared" si="2"/>
        <v>3</v>
      </c>
      <c r="I35" s="17">
        <v>11</v>
      </c>
      <c r="J35" s="66">
        <v>15</v>
      </c>
      <c r="K35" s="39">
        <f t="shared" si="3"/>
        <v>-4</v>
      </c>
      <c r="L35" s="58" t="s">
        <v>444</v>
      </c>
    </row>
    <row r="36" spans="1:12" x14ac:dyDescent="0.25">
      <c r="A36" s="38" t="s">
        <v>176</v>
      </c>
      <c r="B36" s="39">
        <v>2</v>
      </c>
      <c r="C36" s="39">
        <v>0</v>
      </c>
      <c r="D36" s="39">
        <v>0</v>
      </c>
      <c r="E36" s="39">
        <v>0</v>
      </c>
      <c r="F36" s="39">
        <v>0</v>
      </c>
      <c r="G36" s="39">
        <v>2</v>
      </c>
      <c r="H36" s="39">
        <f t="shared" si="2"/>
        <v>0</v>
      </c>
      <c r="I36" s="39">
        <v>5</v>
      </c>
      <c r="J36" s="39">
        <v>12</v>
      </c>
      <c r="K36" s="39">
        <f t="shared" si="3"/>
        <v>-7</v>
      </c>
      <c r="L36" s="67" t="s">
        <v>177</v>
      </c>
    </row>
    <row r="37" spans="1:12" x14ac:dyDescent="0.25">
      <c r="A37" s="38" t="s">
        <v>353</v>
      </c>
      <c r="B37" s="39">
        <v>1</v>
      </c>
      <c r="C37" s="39">
        <v>1</v>
      </c>
      <c r="D37" s="39">
        <v>0</v>
      </c>
      <c r="E37" s="39">
        <v>0</v>
      </c>
      <c r="F37" s="39">
        <v>0</v>
      </c>
      <c r="G37" s="39">
        <v>0</v>
      </c>
      <c r="H37" s="39">
        <f t="shared" si="2"/>
        <v>3</v>
      </c>
      <c r="I37" s="39">
        <v>7</v>
      </c>
      <c r="J37" s="39">
        <v>2</v>
      </c>
      <c r="K37" s="39">
        <f t="shared" si="3"/>
        <v>5</v>
      </c>
      <c r="L37" s="67" t="s">
        <v>373</v>
      </c>
    </row>
    <row r="38" spans="1:12" x14ac:dyDescent="0.25">
      <c r="A38" s="38" t="s">
        <v>391</v>
      </c>
      <c r="B38" s="39">
        <v>2</v>
      </c>
      <c r="C38" s="39">
        <v>1</v>
      </c>
      <c r="D38" s="39">
        <v>0</v>
      </c>
      <c r="E38" s="39">
        <v>0</v>
      </c>
      <c r="F38" s="39">
        <v>0</v>
      </c>
      <c r="G38" s="39">
        <v>1</v>
      </c>
      <c r="H38" s="39">
        <f t="shared" si="2"/>
        <v>3</v>
      </c>
      <c r="I38" s="17">
        <v>12</v>
      </c>
      <c r="J38" s="66">
        <v>7</v>
      </c>
      <c r="K38" s="39">
        <f t="shared" si="3"/>
        <v>5</v>
      </c>
      <c r="L38" s="58" t="s">
        <v>447</v>
      </c>
    </row>
    <row r="39" spans="1:12" x14ac:dyDescent="0.25">
      <c r="A39" s="38" t="s">
        <v>411</v>
      </c>
      <c r="B39" s="39">
        <v>2</v>
      </c>
      <c r="C39" s="39">
        <v>0</v>
      </c>
      <c r="D39" s="39">
        <v>1</v>
      </c>
      <c r="E39" s="39">
        <v>0</v>
      </c>
      <c r="F39" s="39">
        <v>0</v>
      </c>
      <c r="G39" s="39">
        <v>1</v>
      </c>
      <c r="H39" s="39">
        <f t="shared" si="2"/>
        <v>2</v>
      </c>
      <c r="I39" s="39" t="s">
        <v>451</v>
      </c>
      <c r="J39" s="68" t="s">
        <v>442</v>
      </c>
      <c r="K39" s="39">
        <f t="shared" si="3"/>
        <v>-1</v>
      </c>
      <c r="L39" s="58" t="s">
        <v>773</v>
      </c>
    </row>
    <row r="40" spans="1:12" x14ac:dyDescent="0.25">
      <c r="A40" s="38" t="s">
        <v>1168</v>
      </c>
      <c r="B40" s="39">
        <v>2</v>
      </c>
      <c r="C40" s="39">
        <v>0</v>
      </c>
      <c r="D40" s="39">
        <v>0</v>
      </c>
      <c r="E40" s="39">
        <v>0</v>
      </c>
      <c r="F40" s="39">
        <v>0</v>
      </c>
      <c r="G40" s="39">
        <v>2</v>
      </c>
      <c r="H40" s="39">
        <f t="shared" si="2"/>
        <v>0</v>
      </c>
      <c r="I40" s="39">
        <v>3</v>
      </c>
      <c r="J40" s="68">
        <v>13</v>
      </c>
      <c r="K40" s="39">
        <f t="shared" si="3"/>
        <v>-10</v>
      </c>
      <c r="L40" s="58" t="s">
        <v>1254</v>
      </c>
    </row>
    <row r="41" spans="1:12" x14ac:dyDescent="0.25">
      <c r="A41" s="38" t="s">
        <v>485</v>
      </c>
      <c r="B41" s="39">
        <v>2</v>
      </c>
      <c r="C41" s="39">
        <v>2</v>
      </c>
      <c r="D41" s="39">
        <v>0</v>
      </c>
      <c r="E41" s="39">
        <v>0</v>
      </c>
      <c r="F41" s="39">
        <v>0</v>
      </c>
      <c r="G41" s="39">
        <v>0</v>
      </c>
      <c r="H41" s="39">
        <f t="shared" si="2"/>
        <v>6</v>
      </c>
      <c r="I41" s="39" t="s">
        <v>451</v>
      </c>
      <c r="J41" s="68" t="s">
        <v>895</v>
      </c>
      <c r="K41" s="39">
        <f t="shared" si="3"/>
        <v>4</v>
      </c>
      <c r="L41" s="58" t="s">
        <v>1041</v>
      </c>
    </row>
    <row r="42" spans="1:12" x14ac:dyDescent="0.25">
      <c r="A42" s="38" t="s">
        <v>311</v>
      </c>
      <c r="B42" s="39">
        <v>2</v>
      </c>
      <c r="C42" s="39">
        <v>0</v>
      </c>
      <c r="D42" s="39">
        <v>0</v>
      </c>
      <c r="E42" s="39">
        <v>0</v>
      </c>
      <c r="F42" s="39">
        <v>0</v>
      </c>
      <c r="G42" s="39">
        <v>2</v>
      </c>
      <c r="H42" s="39">
        <f t="shared" si="2"/>
        <v>0</v>
      </c>
      <c r="I42" s="39">
        <v>6</v>
      </c>
      <c r="J42" s="39">
        <v>14</v>
      </c>
      <c r="K42" s="39">
        <f t="shared" si="3"/>
        <v>-8</v>
      </c>
      <c r="L42" s="67" t="s">
        <v>322</v>
      </c>
    </row>
    <row r="43" spans="1:12" x14ac:dyDescent="0.25">
      <c r="A43" s="38" t="s">
        <v>405</v>
      </c>
      <c r="B43" s="39">
        <v>3</v>
      </c>
      <c r="C43" s="39">
        <v>3</v>
      </c>
      <c r="D43" s="39">
        <v>0</v>
      </c>
      <c r="E43" s="39">
        <v>0</v>
      </c>
      <c r="F43" s="39">
        <v>0</v>
      </c>
      <c r="G43" s="39">
        <v>0</v>
      </c>
      <c r="H43" s="39">
        <f t="shared" si="2"/>
        <v>9</v>
      </c>
      <c r="I43" s="39">
        <v>17</v>
      </c>
      <c r="J43" s="68">
        <v>5</v>
      </c>
      <c r="K43" s="39">
        <f t="shared" si="3"/>
        <v>12</v>
      </c>
      <c r="L43" s="58" t="s">
        <v>1737</v>
      </c>
    </row>
    <row r="44" spans="1:12" x14ac:dyDescent="0.25">
      <c r="A44" s="38" t="s">
        <v>233</v>
      </c>
      <c r="B44" s="39">
        <v>4</v>
      </c>
      <c r="C44" s="39">
        <v>1</v>
      </c>
      <c r="D44" s="39">
        <v>0</v>
      </c>
      <c r="E44" s="39">
        <v>0</v>
      </c>
      <c r="F44" s="39">
        <v>0</v>
      </c>
      <c r="G44" s="39">
        <v>3</v>
      </c>
      <c r="H44" s="39">
        <f t="shared" si="2"/>
        <v>3</v>
      </c>
      <c r="I44" s="39">
        <v>7</v>
      </c>
      <c r="J44" s="39">
        <v>22</v>
      </c>
      <c r="K44" s="39">
        <f t="shared" si="3"/>
        <v>-15</v>
      </c>
      <c r="L44" s="67" t="s">
        <v>285</v>
      </c>
    </row>
    <row r="45" spans="1:12" x14ac:dyDescent="0.25">
      <c r="A45" s="38" t="s">
        <v>202</v>
      </c>
      <c r="B45" s="39">
        <v>2</v>
      </c>
      <c r="C45" s="39">
        <v>2</v>
      </c>
      <c r="D45" s="39">
        <v>0</v>
      </c>
      <c r="E45" s="39">
        <v>0</v>
      </c>
      <c r="F45" s="39">
        <v>0</v>
      </c>
      <c r="G45" s="39">
        <v>0</v>
      </c>
      <c r="H45" s="39">
        <f t="shared" si="2"/>
        <v>6</v>
      </c>
      <c r="I45" s="39">
        <v>27</v>
      </c>
      <c r="J45" s="39">
        <v>6</v>
      </c>
      <c r="K45" s="39">
        <f t="shared" si="3"/>
        <v>21</v>
      </c>
      <c r="L45" s="67" t="s">
        <v>211</v>
      </c>
    </row>
    <row r="46" spans="1:12" x14ac:dyDescent="0.25">
      <c r="A46" s="38" t="s">
        <v>407</v>
      </c>
      <c r="B46" s="39">
        <v>2</v>
      </c>
      <c r="C46" s="39">
        <v>2</v>
      </c>
      <c r="D46" s="39">
        <v>0</v>
      </c>
      <c r="E46" s="39">
        <v>0</v>
      </c>
      <c r="F46" s="39">
        <v>0</v>
      </c>
      <c r="G46" s="39">
        <v>0</v>
      </c>
      <c r="H46" s="39">
        <f t="shared" si="2"/>
        <v>6</v>
      </c>
      <c r="I46" s="39" t="s">
        <v>442</v>
      </c>
      <c r="J46" s="68" t="s">
        <v>389</v>
      </c>
      <c r="K46" s="39">
        <f t="shared" si="3"/>
        <v>6</v>
      </c>
      <c r="L46" s="58" t="s">
        <v>443</v>
      </c>
    </row>
    <row r="47" spans="1:12" x14ac:dyDescent="0.25">
      <c r="A47" s="38" t="s">
        <v>278</v>
      </c>
      <c r="B47" s="39">
        <v>2</v>
      </c>
      <c r="C47" s="39">
        <v>0</v>
      </c>
      <c r="D47" s="39">
        <v>0</v>
      </c>
      <c r="E47" s="39">
        <v>0</v>
      </c>
      <c r="F47" s="39">
        <v>0</v>
      </c>
      <c r="G47" s="39">
        <v>2</v>
      </c>
      <c r="H47" s="39">
        <f t="shared" si="2"/>
        <v>0</v>
      </c>
      <c r="I47" s="39">
        <v>4</v>
      </c>
      <c r="J47" s="39">
        <v>13</v>
      </c>
      <c r="K47" s="39">
        <f t="shared" si="3"/>
        <v>-9</v>
      </c>
      <c r="L47" s="67" t="s">
        <v>297</v>
      </c>
    </row>
    <row r="48" spans="1:12" x14ac:dyDescent="0.25">
      <c r="A48" s="38" t="s">
        <v>312</v>
      </c>
      <c r="B48" s="39">
        <v>3</v>
      </c>
      <c r="C48" s="39">
        <v>2</v>
      </c>
      <c r="D48" s="39">
        <v>0</v>
      </c>
      <c r="E48" s="39">
        <v>0</v>
      </c>
      <c r="F48" s="39">
        <v>0</v>
      </c>
      <c r="G48" s="39">
        <v>1</v>
      </c>
      <c r="H48" s="39">
        <f t="shared" si="2"/>
        <v>6</v>
      </c>
      <c r="I48" s="39">
        <v>8</v>
      </c>
      <c r="J48" s="39">
        <v>7</v>
      </c>
      <c r="K48" s="39">
        <f t="shared" si="3"/>
        <v>1</v>
      </c>
      <c r="L48" s="67" t="s">
        <v>372</v>
      </c>
    </row>
    <row r="49" spans="1:12" x14ac:dyDescent="0.25">
      <c r="A49" s="38" t="s">
        <v>1670</v>
      </c>
      <c r="B49" s="39">
        <v>10</v>
      </c>
      <c r="C49" s="39">
        <v>6</v>
      </c>
      <c r="D49" s="39">
        <v>0</v>
      </c>
      <c r="E49" s="39">
        <v>0</v>
      </c>
      <c r="F49" s="39">
        <v>0</v>
      </c>
      <c r="G49" s="39">
        <v>4</v>
      </c>
      <c r="H49" s="39">
        <f t="shared" si="2"/>
        <v>18</v>
      </c>
      <c r="I49" s="39">
        <v>50</v>
      </c>
      <c r="J49" s="39">
        <v>51</v>
      </c>
      <c r="K49" s="39">
        <f t="shared" si="3"/>
        <v>-1</v>
      </c>
      <c r="L49" s="67" t="s">
        <v>1253</v>
      </c>
    </row>
    <row r="50" spans="1:12" x14ac:dyDescent="0.25">
      <c r="A50" s="38" t="s">
        <v>1661</v>
      </c>
      <c r="B50" s="39">
        <v>6</v>
      </c>
      <c r="C50" s="39">
        <v>3</v>
      </c>
      <c r="D50" s="39">
        <v>0</v>
      </c>
      <c r="E50" s="39">
        <v>1</v>
      </c>
      <c r="F50" s="39">
        <v>0</v>
      </c>
      <c r="G50" s="39">
        <v>2</v>
      </c>
      <c r="H50" s="39">
        <f t="shared" si="2"/>
        <v>10</v>
      </c>
      <c r="I50" s="17">
        <v>28</v>
      </c>
      <c r="J50" s="17">
        <v>21</v>
      </c>
      <c r="K50" s="39">
        <f t="shared" si="3"/>
        <v>7</v>
      </c>
      <c r="L50" s="67" t="s">
        <v>450</v>
      </c>
    </row>
    <row r="51" spans="1:12" x14ac:dyDescent="0.25">
      <c r="A51" s="38" t="s">
        <v>469</v>
      </c>
      <c r="B51" s="39">
        <v>2</v>
      </c>
      <c r="C51" s="39">
        <v>0</v>
      </c>
      <c r="D51" s="39">
        <v>0</v>
      </c>
      <c r="E51" s="39">
        <v>0</v>
      </c>
      <c r="F51" s="39">
        <v>0</v>
      </c>
      <c r="G51" s="39">
        <v>2</v>
      </c>
      <c r="H51" s="39">
        <f t="shared" si="2"/>
        <v>0</v>
      </c>
      <c r="I51" s="39">
        <v>3</v>
      </c>
      <c r="J51" s="68">
        <v>11</v>
      </c>
      <c r="K51" s="39">
        <f t="shared" si="3"/>
        <v>-8</v>
      </c>
      <c r="L51" s="58" t="s">
        <v>1297</v>
      </c>
    </row>
    <row r="52" spans="1:12" x14ac:dyDescent="0.25">
      <c r="A52" s="38" t="s">
        <v>1163</v>
      </c>
      <c r="B52" s="39">
        <v>2</v>
      </c>
      <c r="C52" s="39">
        <v>0</v>
      </c>
      <c r="D52" s="39">
        <v>0</v>
      </c>
      <c r="E52" s="39">
        <v>0</v>
      </c>
      <c r="F52" s="39">
        <v>0</v>
      </c>
      <c r="G52" s="39">
        <v>2</v>
      </c>
      <c r="H52" s="39">
        <f t="shared" si="2"/>
        <v>0</v>
      </c>
      <c r="I52" s="39">
        <v>3</v>
      </c>
      <c r="J52" s="68">
        <v>16</v>
      </c>
      <c r="K52" s="39">
        <f t="shared" si="3"/>
        <v>-13</v>
      </c>
      <c r="L52" s="58" t="s">
        <v>1559</v>
      </c>
    </row>
    <row r="53" spans="1:12" x14ac:dyDescent="0.25">
      <c r="A53" s="38" t="s">
        <v>354</v>
      </c>
      <c r="B53" s="39">
        <v>1</v>
      </c>
      <c r="C53" s="39">
        <v>1</v>
      </c>
      <c r="D53" s="39">
        <v>0</v>
      </c>
      <c r="E53" s="39">
        <v>0</v>
      </c>
      <c r="F53" s="39">
        <v>0</v>
      </c>
      <c r="G53" s="39">
        <v>0</v>
      </c>
      <c r="H53" s="39">
        <f t="shared" si="2"/>
        <v>3</v>
      </c>
      <c r="I53" s="39">
        <v>15</v>
      </c>
      <c r="J53" s="39">
        <v>0</v>
      </c>
      <c r="K53" s="39">
        <f t="shared" si="3"/>
        <v>15</v>
      </c>
      <c r="L53" s="67" t="s">
        <v>385</v>
      </c>
    </row>
    <row r="54" spans="1:12" x14ac:dyDescent="0.25">
      <c r="A54" s="38" t="s">
        <v>313</v>
      </c>
      <c r="B54" s="39">
        <v>4</v>
      </c>
      <c r="C54" s="39">
        <v>4</v>
      </c>
      <c r="D54" s="39">
        <v>0</v>
      </c>
      <c r="E54" s="39">
        <v>0</v>
      </c>
      <c r="F54" s="39">
        <v>0</v>
      </c>
      <c r="G54" s="39">
        <v>0</v>
      </c>
      <c r="H54" s="39">
        <f t="shared" si="2"/>
        <v>12</v>
      </c>
      <c r="I54" s="39">
        <v>27</v>
      </c>
      <c r="J54" s="39">
        <v>17</v>
      </c>
      <c r="K54" s="39">
        <f t="shared" si="3"/>
        <v>10</v>
      </c>
      <c r="L54" s="67" t="s">
        <v>383</v>
      </c>
    </row>
    <row r="55" spans="1:12" x14ac:dyDescent="0.25">
      <c r="A55" s="38" t="s">
        <v>279</v>
      </c>
      <c r="B55" s="39">
        <v>2</v>
      </c>
      <c r="C55" s="39">
        <v>0</v>
      </c>
      <c r="D55" s="39">
        <v>0</v>
      </c>
      <c r="E55" s="39">
        <v>0</v>
      </c>
      <c r="F55" s="39">
        <v>0</v>
      </c>
      <c r="G55" s="39">
        <v>2</v>
      </c>
      <c r="H55" s="39">
        <f t="shared" si="2"/>
        <v>0</v>
      </c>
      <c r="I55" s="39">
        <v>0</v>
      </c>
      <c r="J55" s="39">
        <v>9</v>
      </c>
      <c r="K55" s="39">
        <f t="shared" si="3"/>
        <v>-9</v>
      </c>
      <c r="L55" s="67" t="s">
        <v>286</v>
      </c>
    </row>
    <row r="56" spans="1:12" x14ac:dyDescent="0.25">
      <c r="A56" s="38" t="s">
        <v>239</v>
      </c>
      <c r="B56" s="39">
        <v>2</v>
      </c>
      <c r="C56" s="39">
        <v>0</v>
      </c>
      <c r="D56" s="39">
        <v>0</v>
      </c>
      <c r="E56" s="39">
        <v>0</v>
      </c>
      <c r="F56" s="39">
        <v>0</v>
      </c>
      <c r="G56" s="39">
        <v>2</v>
      </c>
      <c r="H56" s="39">
        <f t="shared" si="2"/>
        <v>0</v>
      </c>
      <c r="I56" s="39">
        <v>8</v>
      </c>
      <c r="J56" s="39">
        <v>14</v>
      </c>
      <c r="K56" s="39">
        <f t="shared" si="3"/>
        <v>-6</v>
      </c>
      <c r="L56" s="67" t="s">
        <v>252</v>
      </c>
    </row>
    <row r="57" spans="1:12" x14ac:dyDescent="0.25">
      <c r="A57" s="38" t="s">
        <v>228</v>
      </c>
      <c r="B57" s="39">
        <v>2</v>
      </c>
      <c r="C57" s="39">
        <v>0</v>
      </c>
      <c r="D57" s="39">
        <v>0</v>
      </c>
      <c r="E57" s="39">
        <v>0</v>
      </c>
      <c r="F57" s="39">
        <v>0</v>
      </c>
      <c r="G57" s="39">
        <v>2</v>
      </c>
      <c r="H57" s="39">
        <f t="shared" si="2"/>
        <v>0</v>
      </c>
      <c r="I57" s="39">
        <v>6</v>
      </c>
      <c r="J57" s="39">
        <v>12</v>
      </c>
      <c r="K57" s="39">
        <f t="shared" si="3"/>
        <v>-6</v>
      </c>
      <c r="L57" s="67" t="s">
        <v>244</v>
      </c>
    </row>
    <row r="58" spans="1:12" x14ac:dyDescent="0.25">
      <c r="A58" s="38" t="s">
        <v>139</v>
      </c>
      <c r="B58" s="39">
        <v>2</v>
      </c>
      <c r="C58" s="39">
        <v>0</v>
      </c>
      <c r="D58" s="39">
        <v>0</v>
      </c>
      <c r="E58" s="39">
        <v>0</v>
      </c>
      <c r="F58" s="39">
        <v>0</v>
      </c>
      <c r="G58" s="39">
        <v>2</v>
      </c>
      <c r="H58" s="39">
        <f t="shared" si="2"/>
        <v>0</v>
      </c>
      <c r="I58" s="39">
        <v>7</v>
      </c>
      <c r="J58" s="39">
        <v>31</v>
      </c>
      <c r="K58" s="39">
        <f t="shared" si="3"/>
        <v>-24</v>
      </c>
      <c r="L58" s="67" t="s">
        <v>178</v>
      </c>
    </row>
    <row r="59" spans="1:12" x14ac:dyDescent="0.25">
      <c r="A59" s="38" t="s">
        <v>362</v>
      </c>
      <c r="B59" s="39">
        <v>6</v>
      </c>
      <c r="C59" s="39">
        <v>3</v>
      </c>
      <c r="D59" s="39">
        <v>0</v>
      </c>
      <c r="E59" s="39">
        <v>0</v>
      </c>
      <c r="F59" s="39">
        <v>2</v>
      </c>
      <c r="G59" s="39">
        <v>1</v>
      </c>
      <c r="H59" s="39">
        <f t="shared" si="2"/>
        <v>11</v>
      </c>
      <c r="I59" s="39">
        <v>25</v>
      </c>
      <c r="J59" s="68">
        <v>21</v>
      </c>
      <c r="K59" s="39">
        <f t="shared" si="3"/>
        <v>4</v>
      </c>
      <c r="L59" s="58" t="s">
        <v>1560</v>
      </c>
    </row>
    <row r="60" spans="1:12" x14ac:dyDescent="0.25">
      <c r="A60" s="38" t="s">
        <v>181</v>
      </c>
      <c r="B60" s="39">
        <v>6</v>
      </c>
      <c r="C60" s="39">
        <v>3</v>
      </c>
      <c r="D60" s="39">
        <v>0</v>
      </c>
      <c r="E60" s="39">
        <v>1</v>
      </c>
      <c r="F60" s="39">
        <v>0</v>
      </c>
      <c r="G60" s="39">
        <v>2</v>
      </c>
      <c r="H60" s="39">
        <f t="shared" si="2"/>
        <v>10</v>
      </c>
      <c r="I60" s="39">
        <v>24</v>
      </c>
      <c r="J60" s="39">
        <v>22</v>
      </c>
      <c r="K60" s="39">
        <f t="shared" si="3"/>
        <v>2</v>
      </c>
      <c r="L60" s="67" t="s">
        <v>251</v>
      </c>
    </row>
    <row r="61" spans="1:12" x14ac:dyDescent="0.25">
      <c r="A61" s="38" t="s">
        <v>302</v>
      </c>
      <c r="B61" s="39"/>
      <c r="C61" s="39"/>
      <c r="D61" s="39"/>
      <c r="E61" s="39"/>
      <c r="F61" s="39"/>
      <c r="G61" s="39"/>
      <c r="H61" s="39"/>
      <c r="I61" s="39"/>
      <c r="J61" s="68"/>
      <c r="K61" s="39"/>
      <c r="L61" s="58"/>
    </row>
    <row r="62" spans="1:12" x14ac:dyDescent="0.25">
      <c r="A62" s="38" t="s">
        <v>398</v>
      </c>
      <c r="B62" s="39">
        <v>4</v>
      </c>
      <c r="C62" s="39">
        <v>2</v>
      </c>
      <c r="D62" s="39">
        <v>0</v>
      </c>
      <c r="E62" s="39">
        <v>0</v>
      </c>
      <c r="F62" s="39">
        <v>1</v>
      </c>
      <c r="G62" s="39">
        <v>1</v>
      </c>
      <c r="H62" s="39">
        <f t="shared" ref="H62:H82" si="4">C62*3+D62*2+E62+F62</f>
        <v>7</v>
      </c>
      <c r="I62" s="39">
        <v>15</v>
      </c>
      <c r="J62" s="68">
        <v>12</v>
      </c>
      <c r="K62" s="39">
        <f t="shared" ref="K62:K82" si="5">I62-J62</f>
        <v>3</v>
      </c>
      <c r="L62" s="58" t="s">
        <v>1526</v>
      </c>
    </row>
    <row r="63" spans="1:12" x14ac:dyDescent="0.25">
      <c r="A63" s="38" t="s">
        <v>481</v>
      </c>
      <c r="B63" s="39">
        <v>2</v>
      </c>
      <c r="C63" s="39">
        <v>1</v>
      </c>
      <c r="D63" s="39">
        <v>0</v>
      </c>
      <c r="E63" s="39">
        <v>0</v>
      </c>
      <c r="F63" s="39">
        <v>0</v>
      </c>
      <c r="G63" s="39">
        <v>1</v>
      </c>
      <c r="H63" s="39">
        <f t="shared" si="4"/>
        <v>3</v>
      </c>
      <c r="I63" s="39">
        <v>10</v>
      </c>
      <c r="J63" s="68">
        <v>14</v>
      </c>
      <c r="K63" s="39">
        <f t="shared" si="5"/>
        <v>-4</v>
      </c>
      <c r="L63" s="58" t="s">
        <v>1564</v>
      </c>
    </row>
    <row r="64" spans="1:12" x14ac:dyDescent="0.25">
      <c r="A64" s="38" t="s">
        <v>317</v>
      </c>
      <c r="B64" s="39">
        <v>4</v>
      </c>
      <c r="C64" s="39">
        <v>0</v>
      </c>
      <c r="D64" s="39">
        <v>0</v>
      </c>
      <c r="E64" s="39">
        <v>1</v>
      </c>
      <c r="F64" s="39">
        <v>0</v>
      </c>
      <c r="G64" s="39">
        <v>3</v>
      </c>
      <c r="H64" s="39">
        <f t="shared" si="4"/>
        <v>1</v>
      </c>
      <c r="I64" s="39">
        <v>12</v>
      </c>
      <c r="J64" s="39">
        <v>29</v>
      </c>
      <c r="K64" s="39">
        <f t="shared" si="5"/>
        <v>-17</v>
      </c>
      <c r="L64" s="67" t="s">
        <v>242</v>
      </c>
    </row>
    <row r="65" spans="1:12" x14ac:dyDescent="0.25">
      <c r="A65" s="38" t="s">
        <v>318</v>
      </c>
      <c r="B65" s="39">
        <v>2</v>
      </c>
      <c r="C65" s="39">
        <v>2</v>
      </c>
      <c r="D65" s="39">
        <v>0</v>
      </c>
      <c r="E65" s="39">
        <v>0</v>
      </c>
      <c r="F65" s="39">
        <v>0</v>
      </c>
      <c r="G65" s="39">
        <v>0</v>
      </c>
      <c r="H65" s="39">
        <f t="shared" si="4"/>
        <v>6</v>
      </c>
      <c r="I65" s="39">
        <v>11</v>
      </c>
      <c r="J65" s="39">
        <v>8</v>
      </c>
      <c r="K65" s="39">
        <f t="shared" si="5"/>
        <v>3</v>
      </c>
      <c r="L65" s="67" t="s">
        <v>326</v>
      </c>
    </row>
    <row r="66" spans="1:12" x14ac:dyDescent="0.25">
      <c r="A66" s="38" t="s">
        <v>409</v>
      </c>
      <c r="B66" s="39">
        <v>6</v>
      </c>
      <c r="C66" s="39">
        <v>2</v>
      </c>
      <c r="D66" s="39">
        <v>0</v>
      </c>
      <c r="E66" s="39">
        <v>0</v>
      </c>
      <c r="F66" s="39">
        <v>0</v>
      </c>
      <c r="G66" s="39">
        <v>4</v>
      </c>
      <c r="H66" s="39">
        <f t="shared" si="4"/>
        <v>6</v>
      </c>
      <c r="I66" s="39" t="s">
        <v>1148</v>
      </c>
      <c r="J66" s="39" t="s">
        <v>1149</v>
      </c>
      <c r="K66" s="39">
        <f t="shared" si="5"/>
        <v>-16</v>
      </c>
      <c r="L66" s="67" t="s">
        <v>1150</v>
      </c>
    </row>
    <row r="67" spans="1:12" x14ac:dyDescent="0.25">
      <c r="A67" s="38" t="s">
        <v>1405</v>
      </c>
      <c r="B67" s="39">
        <v>2</v>
      </c>
      <c r="C67" s="39">
        <v>0</v>
      </c>
      <c r="D67" s="39">
        <v>0</v>
      </c>
      <c r="E67" s="39">
        <v>0</v>
      </c>
      <c r="F67" s="39">
        <v>1</v>
      </c>
      <c r="G67" s="39">
        <v>1</v>
      </c>
      <c r="H67" s="39">
        <f t="shared" si="4"/>
        <v>1</v>
      </c>
      <c r="I67" s="39">
        <v>6</v>
      </c>
      <c r="J67" s="68">
        <v>15</v>
      </c>
      <c r="K67" s="39">
        <f t="shared" si="5"/>
        <v>-9</v>
      </c>
      <c r="L67" s="58" t="s">
        <v>1558</v>
      </c>
    </row>
    <row r="68" spans="1:12" x14ac:dyDescent="0.25">
      <c r="A68" s="38" t="s">
        <v>314</v>
      </c>
      <c r="B68" s="39">
        <v>4</v>
      </c>
      <c r="C68" s="39">
        <v>1</v>
      </c>
      <c r="D68" s="39">
        <v>0</v>
      </c>
      <c r="E68" s="39">
        <v>0</v>
      </c>
      <c r="F68" s="39">
        <v>0</v>
      </c>
      <c r="G68" s="39">
        <v>3</v>
      </c>
      <c r="H68" s="39">
        <f t="shared" si="4"/>
        <v>3</v>
      </c>
      <c r="I68" s="39">
        <v>16</v>
      </c>
      <c r="J68" s="39">
        <v>24</v>
      </c>
      <c r="K68" s="39">
        <f t="shared" si="5"/>
        <v>-8</v>
      </c>
      <c r="L68" s="67" t="s">
        <v>384</v>
      </c>
    </row>
    <row r="69" spans="1:12" x14ac:dyDescent="0.25">
      <c r="A69" s="38" t="s">
        <v>200</v>
      </c>
      <c r="B69" s="39">
        <v>2</v>
      </c>
      <c r="C69" s="39">
        <v>1</v>
      </c>
      <c r="D69" s="39">
        <v>0</v>
      </c>
      <c r="E69" s="39">
        <v>0</v>
      </c>
      <c r="F69" s="39">
        <v>0</v>
      </c>
      <c r="G69" s="39">
        <v>1</v>
      </c>
      <c r="H69" s="39">
        <f t="shared" si="4"/>
        <v>3</v>
      </c>
      <c r="I69" s="39">
        <v>7</v>
      </c>
      <c r="J69" s="39">
        <v>9</v>
      </c>
      <c r="K69" s="39">
        <f t="shared" si="5"/>
        <v>-2</v>
      </c>
      <c r="L69" s="67" t="s">
        <v>201</v>
      </c>
    </row>
    <row r="70" spans="1:12" x14ac:dyDescent="0.25">
      <c r="A70" s="38" t="s">
        <v>234</v>
      </c>
      <c r="B70" s="39">
        <v>2</v>
      </c>
      <c r="C70" s="39">
        <v>0</v>
      </c>
      <c r="D70" s="39">
        <v>0</v>
      </c>
      <c r="E70" s="39">
        <v>1</v>
      </c>
      <c r="F70" s="39">
        <v>0</v>
      </c>
      <c r="G70" s="39">
        <v>1</v>
      </c>
      <c r="H70" s="39">
        <f t="shared" si="4"/>
        <v>1</v>
      </c>
      <c r="I70" s="39">
        <v>7</v>
      </c>
      <c r="J70" s="39">
        <v>13</v>
      </c>
      <c r="K70" s="39">
        <f t="shared" si="5"/>
        <v>-6</v>
      </c>
      <c r="L70" s="67" t="s">
        <v>248</v>
      </c>
    </row>
    <row r="71" spans="1:12" x14ac:dyDescent="0.25">
      <c r="A71" s="38" t="s">
        <v>355</v>
      </c>
      <c r="B71" s="39">
        <v>1</v>
      </c>
      <c r="C71" s="39">
        <v>0</v>
      </c>
      <c r="D71" s="39">
        <v>0</v>
      </c>
      <c r="E71" s="39">
        <v>0</v>
      </c>
      <c r="F71" s="39">
        <v>0</v>
      </c>
      <c r="G71" s="39">
        <v>1</v>
      </c>
      <c r="H71" s="39">
        <f t="shared" si="4"/>
        <v>0</v>
      </c>
      <c r="I71" s="39">
        <v>1</v>
      </c>
      <c r="J71" s="39">
        <v>2</v>
      </c>
      <c r="K71" s="39">
        <f t="shared" si="5"/>
        <v>-1</v>
      </c>
      <c r="L71" s="67" t="s">
        <v>365</v>
      </c>
    </row>
    <row r="72" spans="1:12" x14ac:dyDescent="0.25">
      <c r="A72" s="38" t="s">
        <v>486</v>
      </c>
      <c r="B72" s="39">
        <v>2</v>
      </c>
      <c r="C72" s="39">
        <v>1</v>
      </c>
      <c r="D72" s="39">
        <v>0</v>
      </c>
      <c r="E72" s="39">
        <v>0</v>
      </c>
      <c r="F72" s="39">
        <v>0</v>
      </c>
      <c r="G72" s="39">
        <v>1</v>
      </c>
      <c r="H72" s="39">
        <f t="shared" si="4"/>
        <v>3</v>
      </c>
      <c r="I72" s="39" t="s">
        <v>442</v>
      </c>
      <c r="J72" s="68" t="s">
        <v>451</v>
      </c>
      <c r="K72" s="39">
        <f t="shared" si="5"/>
        <v>1</v>
      </c>
      <c r="L72" s="58" t="s">
        <v>1102</v>
      </c>
    </row>
    <row r="73" spans="1:12" x14ac:dyDescent="0.25">
      <c r="A73" s="38" t="s">
        <v>146</v>
      </c>
      <c r="B73" s="39">
        <v>2</v>
      </c>
      <c r="C73" s="39">
        <v>0</v>
      </c>
      <c r="D73" s="39">
        <v>0</v>
      </c>
      <c r="E73" s="39">
        <v>0</v>
      </c>
      <c r="F73" s="39">
        <v>0</v>
      </c>
      <c r="G73" s="39">
        <v>2</v>
      </c>
      <c r="H73" s="39">
        <f t="shared" si="4"/>
        <v>0</v>
      </c>
      <c r="I73" s="39">
        <v>9</v>
      </c>
      <c r="J73" s="39">
        <v>16</v>
      </c>
      <c r="K73" s="39">
        <f t="shared" si="5"/>
        <v>-7</v>
      </c>
      <c r="L73" s="67" t="s">
        <v>216</v>
      </c>
    </row>
    <row r="74" spans="1:12" x14ac:dyDescent="0.25">
      <c r="A74" s="38" t="s">
        <v>315</v>
      </c>
      <c r="B74" s="39">
        <v>4</v>
      </c>
      <c r="C74" s="39">
        <v>4</v>
      </c>
      <c r="D74" s="39">
        <v>0</v>
      </c>
      <c r="E74" s="39">
        <v>0</v>
      </c>
      <c r="F74" s="39">
        <v>0</v>
      </c>
      <c r="G74" s="39">
        <v>0</v>
      </c>
      <c r="H74" s="39">
        <f t="shared" si="4"/>
        <v>12</v>
      </c>
      <c r="I74" s="39">
        <v>22</v>
      </c>
      <c r="J74" s="39">
        <v>8</v>
      </c>
      <c r="K74" s="39">
        <f t="shared" si="5"/>
        <v>14</v>
      </c>
      <c r="L74" s="67" t="s">
        <v>374</v>
      </c>
    </row>
    <row r="75" spans="1:12" x14ac:dyDescent="0.25">
      <c r="A75" s="38" t="s">
        <v>280</v>
      </c>
      <c r="B75" s="39">
        <v>2</v>
      </c>
      <c r="C75" s="39">
        <v>1</v>
      </c>
      <c r="D75" s="39">
        <v>0</v>
      </c>
      <c r="E75" s="39">
        <v>0</v>
      </c>
      <c r="F75" s="39">
        <v>0</v>
      </c>
      <c r="G75" s="39">
        <v>1</v>
      </c>
      <c r="H75" s="39">
        <f t="shared" si="4"/>
        <v>3</v>
      </c>
      <c r="I75" s="39">
        <v>5</v>
      </c>
      <c r="J75" s="39">
        <v>5</v>
      </c>
      <c r="K75" s="39">
        <f t="shared" si="5"/>
        <v>0</v>
      </c>
      <c r="L75" s="67" t="s">
        <v>284</v>
      </c>
    </row>
    <row r="76" spans="1:12" x14ac:dyDescent="0.25">
      <c r="A76" s="38" t="s">
        <v>149</v>
      </c>
      <c r="B76" s="39">
        <v>9</v>
      </c>
      <c r="C76" s="39">
        <v>3</v>
      </c>
      <c r="D76" s="39">
        <v>0</v>
      </c>
      <c r="E76" s="39">
        <v>0</v>
      </c>
      <c r="F76" s="39">
        <v>0</v>
      </c>
      <c r="G76" s="39">
        <v>6</v>
      </c>
      <c r="H76" s="39">
        <f t="shared" si="4"/>
        <v>9</v>
      </c>
      <c r="I76" s="39">
        <v>27</v>
      </c>
      <c r="J76" s="39">
        <v>44</v>
      </c>
      <c r="K76" s="39">
        <f t="shared" si="5"/>
        <v>-17</v>
      </c>
      <c r="L76" s="67" t="s">
        <v>1738</v>
      </c>
    </row>
    <row r="77" spans="1:12" x14ac:dyDescent="0.25">
      <c r="A77" s="38" t="s">
        <v>152</v>
      </c>
      <c r="B77" s="39">
        <v>2</v>
      </c>
      <c r="C77" s="39">
        <v>2</v>
      </c>
      <c r="D77" s="39">
        <v>0</v>
      </c>
      <c r="E77" s="39">
        <v>0</v>
      </c>
      <c r="F77" s="39">
        <v>0</v>
      </c>
      <c r="G77" s="39">
        <v>0</v>
      </c>
      <c r="H77" s="39">
        <f t="shared" si="4"/>
        <v>6</v>
      </c>
      <c r="I77" s="39">
        <v>10</v>
      </c>
      <c r="J77" s="39">
        <v>7</v>
      </c>
      <c r="K77" s="39">
        <f t="shared" si="5"/>
        <v>3</v>
      </c>
      <c r="L77" s="67" t="s">
        <v>179</v>
      </c>
    </row>
    <row r="78" spans="1:12" x14ac:dyDescent="0.25">
      <c r="A78" s="38" t="s">
        <v>160</v>
      </c>
      <c r="B78" s="39">
        <v>3</v>
      </c>
      <c r="C78" s="39">
        <v>1</v>
      </c>
      <c r="D78" s="39">
        <v>0</v>
      </c>
      <c r="E78" s="39">
        <v>0</v>
      </c>
      <c r="F78" s="39">
        <v>1</v>
      </c>
      <c r="G78" s="39">
        <v>1</v>
      </c>
      <c r="H78" s="39">
        <f t="shared" si="4"/>
        <v>4</v>
      </c>
      <c r="I78" s="17">
        <v>9</v>
      </c>
      <c r="J78" s="17">
        <v>9</v>
      </c>
      <c r="K78" s="39">
        <f t="shared" si="5"/>
        <v>0</v>
      </c>
      <c r="L78" s="67" t="s">
        <v>452</v>
      </c>
    </row>
    <row r="79" spans="1:12" x14ac:dyDescent="0.25">
      <c r="A79" s="38" t="s">
        <v>167</v>
      </c>
      <c r="B79" s="39">
        <v>2</v>
      </c>
      <c r="C79" s="39">
        <v>2</v>
      </c>
      <c r="D79" s="39">
        <v>0</v>
      </c>
      <c r="E79" s="39">
        <v>0</v>
      </c>
      <c r="F79" s="39">
        <v>0</v>
      </c>
      <c r="G79" s="39">
        <v>0</v>
      </c>
      <c r="H79" s="39">
        <f t="shared" si="4"/>
        <v>6</v>
      </c>
      <c r="I79" s="39">
        <v>15</v>
      </c>
      <c r="J79" s="39">
        <v>3</v>
      </c>
      <c r="K79" s="39">
        <f t="shared" si="5"/>
        <v>12</v>
      </c>
      <c r="L79" s="67" t="s">
        <v>168</v>
      </c>
    </row>
    <row r="80" spans="1:12" x14ac:dyDescent="0.25">
      <c r="A80" s="38" t="s">
        <v>173</v>
      </c>
      <c r="B80" s="39">
        <v>2</v>
      </c>
      <c r="C80" s="39">
        <v>1</v>
      </c>
      <c r="D80" s="39">
        <v>0</v>
      </c>
      <c r="E80" s="39">
        <v>0</v>
      </c>
      <c r="F80" s="39">
        <v>0</v>
      </c>
      <c r="G80" s="39">
        <v>1</v>
      </c>
      <c r="H80" s="39">
        <f t="shared" si="4"/>
        <v>3</v>
      </c>
      <c r="I80" s="39">
        <v>1</v>
      </c>
      <c r="J80" s="39">
        <v>6</v>
      </c>
      <c r="K80" s="39">
        <f t="shared" si="5"/>
        <v>-5</v>
      </c>
      <c r="L80" s="67" t="s">
        <v>174</v>
      </c>
    </row>
    <row r="81" spans="1:12" x14ac:dyDescent="0.25">
      <c r="A81" s="38" t="s">
        <v>186</v>
      </c>
      <c r="B81" s="39">
        <v>2</v>
      </c>
      <c r="C81" s="39">
        <v>0</v>
      </c>
      <c r="D81" s="39">
        <v>0</v>
      </c>
      <c r="E81" s="39">
        <v>1</v>
      </c>
      <c r="F81" s="39">
        <v>0</v>
      </c>
      <c r="G81" s="39">
        <v>1</v>
      </c>
      <c r="H81" s="39">
        <f t="shared" si="4"/>
        <v>1</v>
      </c>
      <c r="I81" s="39">
        <v>5</v>
      </c>
      <c r="J81" s="39">
        <v>10</v>
      </c>
      <c r="K81" s="39">
        <f t="shared" si="5"/>
        <v>-5</v>
      </c>
      <c r="L81" s="67" t="s">
        <v>187</v>
      </c>
    </row>
    <row r="82" spans="1:12" x14ac:dyDescent="0.25">
      <c r="A82" s="38" t="s">
        <v>1666</v>
      </c>
      <c r="B82" s="39">
        <v>1</v>
      </c>
      <c r="C82" s="39">
        <v>1</v>
      </c>
      <c r="D82" s="39">
        <v>0</v>
      </c>
      <c r="E82" s="39">
        <v>0</v>
      </c>
      <c r="F82" s="39">
        <v>0</v>
      </c>
      <c r="G82" s="39">
        <v>0</v>
      </c>
      <c r="H82" s="39">
        <f t="shared" si="4"/>
        <v>3</v>
      </c>
      <c r="I82" s="39">
        <v>3</v>
      </c>
      <c r="J82" s="68">
        <v>0</v>
      </c>
      <c r="K82" s="39">
        <f t="shared" si="5"/>
        <v>3</v>
      </c>
      <c r="L82" s="58" t="s">
        <v>1736</v>
      </c>
    </row>
    <row r="83" spans="1:12" x14ac:dyDescent="0.25">
      <c r="A83" s="38" t="s">
        <v>1169</v>
      </c>
      <c r="B83" s="39">
        <v>2</v>
      </c>
      <c r="C83" s="39">
        <v>2</v>
      </c>
      <c r="D83" s="39">
        <v>0</v>
      </c>
      <c r="E83" s="39">
        <v>0</v>
      </c>
      <c r="F83" s="39">
        <v>0</v>
      </c>
      <c r="G83" s="39">
        <v>0</v>
      </c>
      <c r="H83" s="39">
        <f t="shared" ref="H83:H89" si="6">C83*3+D83*2+E83+F83</f>
        <v>6</v>
      </c>
      <c r="I83" s="39">
        <v>10</v>
      </c>
      <c r="J83" s="68">
        <v>1</v>
      </c>
      <c r="K83" s="39">
        <f t="shared" ref="K83:K89" si="7">I83-J83</f>
        <v>9</v>
      </c>
      <c r="L83" s="58" t="s">
        <v>1298</v>
      </c>
    </row>
    <row r="84" spans="1:12" x14ac:dyDescent="0.25">
      <c r="A84" s="38" t="s">
        <v>316</v>
      </c>
      <c r="B84" s="39">
        <v>2</v>
      </c>
      <c r="C84" s="39">
        <v>0</v>
      </c>
      <c r="D84" s="39">
        <v>0</v>
      </c>
      <c r="E84" s="39">
        <v>0</v>
      </c>
      <c r="F84" s="39">
        <v>0</v>
      </c>
      <c r="G84" s="39">
        <v>2</v>
      </c>
      <c r="H84" s="39">
        <f t="shared" si="6"/>
        <v>0</v>
      </c>
      <c r="I84" s="39">
        <v>2</v>
      </c>
      <c r="J84" s="39">
        <v>6</v>
      </c>
      <c r="K84" s="39">
        <f t="shared" si="7"/>
        <v>-4</v>
      </c>
      <c r="L84" s="67" t="s">
        <v>346</v>
      </c>
    </row>
    <row r="85" spans="1:12" x14ac:dyDescent="0.25">
      <c r="A85" s="38" t="s">
        <v>1669</v>
      </c>
      <c r="B85" s="39">
        <v>1</v>
      </c>
      <c r="C85" s="39">
        <v>1</v>
      </c>
      <c r="D85" s="39">
        <v>0</v>
      </c>
      <c r="E85" s="39">
        <v>0</v>
      </c>
      <c r="F85" s="39">
        <v>0</v>
      </c>
      <c r="G85" s="39">
        <v>0</v>
      </c>
      <c r="H85" s="39">
        <f t="shared" si="6"/>
        <v>3</v>
      </c>
      <c r="I85" s="39">
        <v>8</v>
      </c>
      <c r="J85" s="68">
        <v>2</v>
      </c>
      <c r="K85" s="39">
        <f t="shared" si="7"/>
        <v>6</v>
      </c>
      <c r="L85" s="58" t="s">
        <v>612</v>
      </c>
    </row>
    <row r="86" spans="1:12" x14ac:dyDescent="0.25">
      <c r="A86" s="38" t="s">
        <v>229</v>
      </c>
      <c r="B86" s="39">
        <v>2</v>
      </c>
      <c r="C86" s="39">
        <v>0</v>
      </c>
      <c r="D86" s="39">
        <v>0</v>
      </c>
      <c r="E86" s="39">
        <v>1</v>
      </c>
      <c r="F86" s="39">
        <v>0</v>
      </c>
      <c r="G86" s="39">
        <v>1</v>
      </c>
      <c r="H86" s="39">
        <f t="shared" si="6"/>
        <v>1</v>
      </c>
      <c r="I86" s="39">
        <v>8</v>
      </c>
      <c r="J86" s="39">
        <v>10</v>
      </c>
      <c r="K86" s="39">
        <f t="shared" si="7"/>
        <v>-2</v>
      </c>
      <c r="L86" s="67" t="s">
        <v>240</v>
      </c>
    </row>
    <row r="87" spans="1:12" x14ac:dyDescent="0.25">
      <c r="A87" s="38" t="s">
        <v>1671</v>
      </c>
      <c r="B87" s="39">
        <v>1</v>
      </c>
      <c r="C87" s="39">
        <v>0</v>
      </c>
      <c r="D87" s="39">
        <v>0</v>
      </c>
      <c r="E87" s="39">
        <v>0</v>
      </c>
      <c r="F87" s="39">
        <v>0</v>
      </c>
      <c r="G87" s="39">
        <v>1</v>
      </c>
      <c r="H87" s="39">
        <f t="shared" si="6"/>
        <v>0</v>
      </c>
      <c r="I87" s="39">
        <v>2</v>
      </c>
      <c r="J87" s="68">
        <v>5</v>
      </c>
      <c r="K87" s="39">
        <f t="shared" si="7"/>
        <v>-3</v>
      </c>
      <c r="L87" s="58" t="s">
        <v>1697</v>
      </c>
    </row>
    <row r="88" spans="1:12" x14ac:dyDescent="0.25">
      <c r="A88" s="38" t="s">
        <v>406</v>
      </c>
      <c r="B88" s="39">
        <v>2</v>
      </c>
      <c r="C88" s="39">
        <v>0</v>
      </c>
      <c r="D88" s="39">
        <v>0</v>
      </c>
      <c r="E88" s="39">
        <v>0</v>
      </c>
      <c r="F88" s="39">
        <v>0</v>
      </c>
      <c r="G88" s="39">
        <v>2</v>
      </c>
      <c r="H88" s="39">
        <f t="shared" si="6"/>
        <v>0</v>
      </c>
      <c r="I88" s="39">
        <v>5</v>
      </c>
      <c r="J88" s="68">
        <v>24</v>
      </c>
      <c r="K88" s="39">
        <f t="shared" si="7"/>
        <v>-19</v>
      </c>
      <c r="L88" s="58" t="s">
        <v>1221</v>
      </c>
    </row>
    <row r="89" spans="1:12" x14ac:dyDescent="0.25">
      <c r="A89" s="38" t="s">
        <v>410</v>
      </c>
      <c r="B89" s="39">
        <v>4</v>
      </c>
      <c r="C89" s="39">
        <v>1</v>
      </c>
      <c r="D89" s="39">
        <v>0</v>
      </c>
      <c r="E89" s="39">
        <v>0</v>
      </c>
      <c r="F89" s="39">
        <v>0</v>
      </c>
      <c r="G89" s="39">
        <v>3</v>
      </c>
      <c r="H89" s="39">
        <f t="shared" si="6"/>
        <v>3</v>
      </c>
      <c r="I89" s="17">
        <v>12</v>
      </c>
      <c r="J89" s="17">
        <v>24</v>
      </c>
      <c r="K89" s="39">
        <f t="shared" si="7"/>
        <v>-12</v>
      </c>
      <c r="L89" s="67" t="s">
        <v>455</v>
      </c>
    </row>
    <row r="90" spans="1:12" x14ac:dyDescent="0.25">
      <c r="A90" s="38"/>
      <c r="B90" s="39"/>
      <c r="C90" s="39"/>
      <c r="D90" s="39"/>
      <c r="E90" s="39"/>
      <c r="F90" s="39"/>
      <c r="G90" s="39"/>
      <c r="H90" s="39"/>
      <c r="I90" s="39"/>
      <c r="J90" s="68"/>
      <c r="K90" s="39"/>
      <c r="L90" s="58"/>
    </row>
    <row r="91" spans="1:12" x14ac:dyDescent="0.25">
      <c r="A91" s="38"/>
      <c r="B91" s="17"/>
      <c r="C91" s="17"/>
      <c r="D91" s="17"/>
      <c r="E91" s="17"/>
      <c r="F91" s="17"/>
      <c r="G91" s="17"/>
      <c r="H91" s="17"/>
      <c r="I91" s="37"/>
      <c r="J91" s="47"/>
      <c r="L91" s="58"/>
    </row>
    <row r="92" spans="1:12" x14ac:dyDescent="0.25">
      <c r="A92" s="17"/>
      <c r="B92" s="17"/>
      <c r="C92" s="17"/>
      <c r="D92" s="17"/>
      <c r="E92" s="17"/>
      <c r="F92" s="17"/>
      <c r="G92" s="17"/>
      <c r="H92" s="17"/>
      <c r="I92" s="37"/>
      <c r="J92" s="47"/>
      <c r="L92" s="58"/>
    </row>
    <row r="93" spans="1:12" x14ac:dyDescent="0.25">
      <c r="A93" s="17"/>
      <c r="B93" s="17"/>
      <c r="C93" s="17"/>
      <c r="D93" s="17"/>
      <c r="E93" s="17"/>
      <c r="F93" s="17"/>
      <c r="G93" s="17"/>
      <c r="H93" s="17"/>
      <c r="I93" s="37"/>
      <c r="J93" s="47"/>
      <c r="L93" s="58"/>
    </row>
    <row r="94" spans="1:12" x14ac:dyDescent="0.25">
      <c r="A94" s="17"/>
      <c r="B94" s="17"/>
      <c r="C94" s="17"/>
      <c r="D94" s="17"/>
      <c r="E94" s="17"/>
      <c r="F94" s="17"/>
      <c r="G94" s="17"/>
      <c r="H94" s="17"/>
      <c r="I94" s="37"/>
      <c r="J94" s="47"/>
      <c r="L94" s="37"/>
    </row>
    <row r="95" spans="1:12" x14ac:dyDescent="0.25">
      <c r="A95" s="17"/>
      <c r="B95" s="17"/>
      <c r="C95" s="17"/>
      <c r="D95" s="17"/>
      <c r="E95" s="17"/>
      <c r="F95" s="17"/>
      <c r="G95" s="17"/>
      <c r="H95" s="17"/>
      <c r="I95" s="37"/>
      <c r="J95" s="47"/>
      <c r="L95" s="37"/>
    </row>
    <row r="96" spans="1:12" x14ac:dyDescent="0.25">
      <c r="A96" s="17"/>
      <c r="B96" s="17"/>
      <c r="C96" s="17"/>
      <c r="D96" s="17"/>
      <c r="E96" s="17"/>
      <c r="F96" s="17"/>
      <c r="G96" s="17"/>
      <c r="H96" s="17"/>
      <c r="I96" s="37"/>
      <c r="J96" s="47"/>
      <c r="L96" s="37"/>
    </row>
    <row r="97" spans="1:12" x14ac:dyDescent="0.25">
      <c r="A97" s="17"/>
      <c r="B97" s="17"/>
      <c r="C97" s="17"/>
      <c r="D97" s="17"/>
      <c r="E97" s="17"/>
      <c r="F97" s="17"/>
      <c r="G97" s="17"/>
      <c r="H97" s="17"/>
      <c r="I97" s="37"/>
      <c r="J97" s="47"/>
      <c r="L97" s="37"/>
    </row>
    <row r="98" spans="1:12" x14ac:dyDescent="0.25">
      <c r="A98" s="17"/>
      <c r="B98" s="17"/>
      <c r="C98" s="17"/>
      <c r="D98" s="17"/>
      <c r="E98" s="17"/>
      <c r="F98" s="17"/>
      <c r="G98" s="17"/>
      <c r="H98" s="17"/>
      <c r="I98" s="37"/>
      <c r="J98" s="47"/>
      <c r="L98" s="37"/>
    </row>
    <row r="99" spans="1:12" x14ac:dyDescent="0.25">
      <c r="A99" s="17"/>
      <c r="B99" s="17"/>
      <c r="C99" s="17"/>
      <c r="D99" s="17"/>
      <c r="E99" s="17"/>
      <c r="F99" s="17"/>
      <c r="G99" s="17"/>
      <c r="H99" s="17"/>
      <c r="I99" s="37"/>
      <c r="J99" s="47"/>
      <c r="L99" s="37"/>
    </row>
    <row r="100" spans="1:12" x14ac:dyDescent="0.25">
      <c r="A100" s="17"/>
      <c r="B100" s="17"/>
      <c r="C100" s="17"/>
      <c r="D100" s="17"/>
      <c r="E100" s="17"/>
      <c r="F100" s="17"/>
      <c r="G100" s="17"/>
      <c r="H100" s="17"/>
      <c r="I100" s="37"/>
      <c r="J100" s="47"/>
      <c r="L100" s="37"/>
    </row>
    <row r="101" spans="1:12" x14ac:dyDescent="0.25">
      <c r="A101" s="17"/>
      <c r="B101" s="17"/>
      <c r="C101" s="17"/>
      <c r="D101" s="17"/>
      <c r="E101" s="17"/>
      <c r="F101" s="17"/>
      <c r="G101" s="17"/>
      <c r="H101" s="17"/>
      <c r="I101" s="37"/>
      <c r="J101" s="47"/>
      <c r="L101" s="37"/>
    </row>
    <row r="102" spans="1:12" x14ac:dyDescent="0.25">
      <c r="A102" s="17"/>
      <c r="B102" s="17"/>
      <c r="C102" s="17"/>
      <c r="D102" s="17"/>
      <c r="E102" s="17"/>
      <c r="F102" s="17"/>
      <c r="G102" s="17"/>
      <c r="H102" s="17"/>
      <c r="I102" s="37"/>
      <c r="J102" s="47"/>
      <c r="L102" s="37"/>
    </row>
    <row r="103" spans="1:12" x14ac:dyDescent="0.25">
      <c r="A103" s="17"/>
      <c r="B103" s="17"/>
      <c r="C103" s="17"/>
      <c r="D103" s="17"/>
      <c r="E103" s="17"/>
      <c r="F103" s="17"/>
      <c r="G103" s="17"/>
      <c r="H103" s="17"/>
      <c r="I103" s="37"/>
      <c r="J103" s="47"/>
      <c r="L103" s="37"/>
    </row>
    <row r="104" spans="1:12" x14ac:dyDescent="0.25">
      <c r="A104" s="17"/>
      <c r="B104" s="17"/>
      <c r="C104" s="17"/>
      <c r="D104" s="17"/>
      <c r="E104" s="17"/>
      <c r="F104" s="17"/>
      <c r="G104" s="17"/>
      <c r="H104" s="17"/>
      <c r="I104" s="37"/>
      <c r="J104" s="47"/>
      <c r="L104" s="37"/>
    </row>
    <row r="105" spans="1:12" x14ac:dyDescent="0.25">
      <c r="A105" s="17"/>
      <c r="B105" s="17"/>
      <c r="C105" s="17"/>
      <c r="D105" s="17"/>
      <c r="E105" s="17"/>
      <c r="F105" s="17"/>
      <c r="G105" s="17"/>
      <c r="H105" s="17"/>
      <c r="I105" s="37"/>
      <c r="J105" s="47"/>
      <c r="L105" s="37"/>
    </row>
    <row r="106" spans="1:12" x14ac:dyDescent="0.25">
      <c r="A106" s="17"/>
      <c r="B106" s="17"/>
      <c r="C106" s="17"/>
      <c r="D106" s="17"/>
      <c r="E106" s="17"/>
      <c r="F106" s="17"/>
      <c r="G106" s="17"/>
      <c r="H106" s="17"/>
      <c r="I106" s="37"/>
      <c r="J106" s="47"/>
      <c r="L106" s="37"/>
    </row>
    <row r="107" spans="1:12" x14ac:dyDescent="0.25">
      <c r="A107" s="17"/>
      <c r="B107" s="17"/>
      <c r="C107" s="17"/>
      <c r="D107" s="17"/>
      <c r="E107" s="17"/>
      <c r="F107" s="17"/>
      <c r="G107" s="17"/>
      <c r="H107" s="17"/>
      <c r="I107" s="37"/>
      <c r="J107" s="47"/>
      <c r="L107" s="37"/>
    </row>
    <row r="108" spans="1:12" x14ac:dyDescent="0.25">
      <c r="A108" s="17"/>
      <c r="B108" s="17"/>
      <c r="C108" s="17"/>
      <c r="D108" s="17"/>
      <c r="E108" s="17"/>
      <c r="F108" s="17"/>
      <c r="G108" s="17"/>
      <c r="H108" s="17"/>
      <c r="I108" s="37"/>
      <c r="J108" s="47"/>
      <c r="L108" s="37"/>
    </row>
    <row r="109" spans="1:12" x14ac:dyDescent="0.25">
      <c r="A109" s="17"/>
      <c r="B109" s="17"/>
      <c r="C109" s="17"/>
      <c r="D109" s="17"/>
      <c r="E109" s="17"/>
      <c r="F109" s="17"/>
      <c r="G109" s="17"/>
      <c r="H109" s="17"/>
      <c r="I109" s="37"/>
      <c r="J109" s="47"/>
      <c r="L109" s="37"/>
    </row>
    <row r="110" spans="1:12" x14ac:dyDescent="0.25">
      <c r="A110" s="17"/>
      <c r="B110" s="17"/>
      <c r="C110" s="17"/>
      <c r="D110" s="17"/>
      <c r="E110" s="17"/>
      <c r="F110" s="17"/>
      <c r="G110" s="17"/>
      <c r="H110" s="17"/>
      <c r="I110" s="37"/>
      <c r="J110" s="47"/>
      <c r="L110" s="37"/>
    </row>
    <row r="111" spans="1:12" x14ac:dyDescent="0.25">
      <c r="A111" s="17"/>
      <c r="B111" s="17"/>
      <c r="C111" s="17"/>
      <c r="D111" s="17"/>
      <c r="E111" s="17"/>
      <c r="F111" s="17"/>
      <c r="G111" s="17"/>
      <c r="H111" s="17"/>
      <c r="I111" s="37"/>
      <c r="J111" s="47"/>
      <c r="L111" s="37"/>
    </row>
    <row r="112" spans="1:12" x14ac:dyDescent="0.25">
      <c r="A112" s="17"/>
      <c r="B112" s="17"/>
      <c r="C112" s="17"/>
      <c r="D112" s="17"/>
      <c r="E112" s="17"/>
      <c r="F112" s="17"/>
      <c r="G112" s="17"/>
      <c r="H112" s="17"/>
      <c r="I112" s="37"/>
      <c r="J112" s="47"/>
      <c r="L112" s="37"/>
    </row>
    <row r="113" spans="1:12" x14ac:dyDescent="0.25">
      <c r="A113" s="17"/>
      <c r="B113" s="17"/>
      <c r="C113" s="17"/>
      <c r="D113" s="17"/>
      <c r="E113" s="17"/>
      <c r="F113" s="17"/>
      <c r="G113" s="17"/>
      <c r="H113" s="17"/>
      <c r="I113" s="37"/>
      <c r="J113" s="47"/>
      <c r="L113" s="37"/>
    </row>
    <row r="114" spans="1:12" x14ac:dyDescent="0.25">
      <c r="A114" s="17"/>
      <c r="B114" s="17"/>
      <c r="C114" s="17"/>
      <c r="D114" s="17"/>
      <c r="E114" s="17"/>
      <c r="F114" s="17"/>
      <c r="G114" s="17"/>
      <c r="H114" s="17"/>
      <c r="I114" s="37"/>
      <c r="J114" s="47"/>
      <c r="L114" s="37"/>
    </row>
    <row r="115" spans="1:12" x14ac:dyDescent="0.25">
      <c r="A115" s="17"/>
      <c r="B115" s="17"/>
      <c r="C115" s="17"/>
      <c r="D115" s="17"/>
      <c r="E115" s="17"/>
      <c r="F115" s="17"/>
      <c r="G115" s="17"/>
      <c r="H115" s="17"/>
      <c r="I115" s="37"/>
      <c r="J115" s="47"/>
      <c r="L115" s="37"/>
    </row>
    <row r="116" spans="1:12" x14ac:dyDescent="0.25">
      <c r="A116" s="17"/>
      <c r="B116" s="17"/>
      <c r="C116" s="17"/>
      <c r="D116" s="17"/>
      <c r="E116" s="17"/>
      <c r="F116" s="17"/>
      <c r="G116" s="17"/>
      <c r="H116" s="17"/>
      <c r="I116" s="37"/>
      <c r="J116" s="47"/>
      <c r="L116" s="37"/>
    </row>
    <row r="117" spans="1:12" x14ac:dyDescent="0.25">
      <c r="A117" s="17"/>
      <c r="B117" s="17"/>
      <c r="C117" s="17"/>
      <c r="D117" s="17"/>
      <c r="E117" s="17"/>
      <c r="F117" s="17"/>
      <c r="G117" s="17"/>
      <c r="H117" s="17"/>
      <c r="I117" s="37"/>
      <c r="J117" s="47"/>
      <c r="L117" s="37"/>
    </row>
    <row r="118" spans="1:12" x14ac:dyDescent="0.25">
      <c r="A118" s="17"/>
      <c r="B118" s="17"/>
      <c r="C118" s="17"/>
      <c r="D118" s="17"/>
      <c r="E118" s="17"/>
      <c r="F118" s="17"/>
      <c r="G118" s="17"/>
      <c r="H118" s="17"/>
      <c r="I118" s="37"/>
      <c r="J118" s="47"/>
      <c r="L118" s="37"/>
    </row>
    <row r="119" spans="1:12" x14ac:dyDescent="0.25">
      <c r="A119" s="17"/>
      <c r="B119" s="17"/>
      <c r="C119" s="17"/>
      <c r="D119" s="17"/>
      <c r="E119" s="17"/>
      <c r="F119" s="17"/>
      <c r="G119" s="17"/>
      <c r="H119" s="17"/>
      <c r="I119" s="37"/>
      <c r="J119" s="47"/>
      <c r="L119" s="37"/>
    </row>
    <row r="120" spans="1:12" x14ac:dyDescent="0.25">
      <c r="A120" s="17"/>
      <c r="B120" s="17"/>
      <c r="C120" s="17"/>
      <c r="D120" s="17"/>
      <c r="E120" s="17"/>
      <c r="F120" s="17"/>
      <c r="G120" s="17"/>
      <c r="H120" s="17"/>
      <c r="I120" s="37"/>
      <c r="J120" s="47"/>
      <c r="L120" s="37"/>
    </row>
    <row r="121" spans="1:12" x14ac:dyDescent="0.25">
      <c r="A121" s="17"/>
      <c r="B121" s="17"/>
      <c r="C121" s="17"/>
      <c r="D121" s="17"/>
      <c r="E121" s="17"/>
      <c r="F121" s="17"/>
      <c r="G121" s="17"/>
      <c r="H121" s="17"/>
      <c r="I121" s="37"/>
      <c r="J121" s="47"/>
      <c r="L121" s="37"/>
    </row>
    <row r="122" spans="1:12" x14ac:dyDescent="0.25">
      <c r="A122" s="17"/>
      <c r="B122" s="17"/>
      <c r="C122" s="17"/>
      <c r="D122" s="17"/>
      <c r="E122" s="17"/>
      <c r="F122" s="17"/>
      <c r="G122" s="17"/>
      <c r="H122" s="17"/>
      <c r="I122" s="37"/>
      <c r="J122" s="47"/>
      <c r="L122" s="37"/>
    </row>
    <row r="123" spans="1:12" x14ac:dyDescent="0.25">
      <c r="A123" s="17"/>
      <c r="B123" s="17"/>
      <c r="C123" s="17"/>
      <c r="D123" s="17"/>
      <c r="E123" s="17"/>
      <c r="F123" s="17"/>
      <c r="G123" s="17"/>
      <c r="H123" s="17"/>
      <c r="I123" s="37"/>
      <c r="J123" s="47"/>
      <c r="L123" s="37"/>
    </row>
    <row r="124" spans="1:12" x14ac:dyDescent="0.25">
      <c r="A124" s="17"/>
      <c r="B124" s="17"/>
      <c r="C124" s="17"/>
      <c r="D124" s="17"/>
      <c r="E124" s="17"/>
      <c r="F124" s="17"/>
      <c r="G124" s="17"/>
      <c r="H124" s="17"/>
      <c r="I124" s="37"/>
      <c r="J124" s="47"/>
      <c r="L124" s="37"/>
    </row>
    <row r="125" spans="1:12" x14ac:dyDescent="0.25">
      <c r="A125" s="17"/>
      <c r="B125" s="17"/>
      <c r="C125" s="17"/>
      <c r="D125" s="17"/>
      <c r="E125" s="17"/>
      <c r="F125" s="17"/>
      <c r="G125" s="17"/>
      <c r="H125" s="17"/>
      <c r="I125" s="37"/>
      <c r="J125" s="47"/>
      <c r="L125" s="37"/>
    </row>
    <row r="126" spans="1:12" x14ac:dyDescent="0.25">
      <c r="A126" s="17"/>
      <c r="B126" s="17"/>
      <c r="C126" s="17"/>
      <c r="D126" s="17"/>
      <c r="E126" s="17"/>
      <c r="F126" s="17"/>
      <c r="G126" s="17"/>
      <c r="H126" s="17"/>
      <c r="I126" s="37"/>
      <c r="J126" s="47"/>
      <c r="L126" s="37"/>
    </row>
    <row r="127" spans="1:12" x14ac:dyDescent="0.25">
      <c r="A127" s="17"/>
      <c r="B127" s="17"/>
      <c r="C127" s="17"/>
      <c r="D127" s="17"/>
      <c r="E127" s="17"/>
      <c r="F127" s="17"/>
      <c r="G127" s="17"/>
      <c r="H127" s="17"/>
      <c r="I127" s="37"/>
      <c r="J127" s="47"/>
      <c r="L127" s="37"/>
    </row>
  </sheetData>
  <sortState xmlns:xlrd2="http://schemas.microsoft.com/office/spreadsheetml/2017/richdata2" ref="A2:L89">
    <sortCondition ref="A2:A89"/>
  </sortState>
  <pageMargins left="0.7" right="0.7" top="0.78740157499999996" bottom="0.78740157499999996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B68B1-BE66-418A-9233-8A30E6637681}">
  <dimension ref="A1:Q30"/>
  <sheetViews>
    <sheetView zoomScale="80" zoomScaleNormal="80" workbookViewId="0">
      <selection activeCell="V16" sqref="V16"/>
    </sheetView>
  </sheetViews>
  <sheetFormatPr defaultRowHeight="15" x14ac:dyDescent="0.25"/>
  <cols>
    <col min="1" max="1" width="27" style="17" bestFit="1" customWidth="1"/>
    <col min="2" max="8" width="9.140625" style="17"/>
    <col min="9" max="9" width="9.140625" style="79"/>
    <col min="10" max="12" width="9.140625" style="17"/>
    <col min="13" max="13" width="25.85546875" style="58" bestFit="1" customWidth="1"/>
    <col min="14" max="14" width="40.85546875" style="38" customWidth="1"/>
    <col min="15" max="15" width="42.140625" style="38" bestFit="1" customWidth="1"/>
    <col min="16" max="17" width="9.140625" style="17"/>
  </cols>
  <sheetData>
    <row r="1" spans="1:17" x14ac:dyDescent="0.25">
      <c r="A1" s="18" t="s">
        <v>1309</v>
      </c>
      <c r="B1" s="18" t="s">
        <v>1</v>
      </c>
      <c r="C1" s="18" t="s">
        <v>53</v>
      </c>
      <c r="D1" s="18" t="s">
        <v>287</v>
      </c>
      <c r="E1" s="18" t="s">
        <v>54</v>
      </c>
      <c r="F1" s="18" t="s">
        <v>288</v>
      </c>
      <c r="G1" s="18" t="s">
        <v>55</v>
      </c>
      <c r="H1" s="18" t="s">
        <v>4</v>
      </c>
      <c r="I1" s="80" t="s">
        <v>1344</v>
      </c>
      <c r="J1" s="21" t="s">
        <v>56</v>
      </c>
      <c r="K1" s="21" t="s">
        <v>57</v>
      </c>
      <c r="L1" s="18" t="s">
        <v>101</v>
      </c>
      <c r="M1" s="57" t="s">
        <v>102</v>
      </c>
      <c r="N1" s="21" t="s">
        <v>616</v>
      </c>
      <c r="O1" s="21" t="s">
        <v>617</v>
      </c>
      <c r="P1" s="21" t="s">
        <v>1471</v>
      </c>
      <c r="Q1" s="21" t="s">
        <v>1472</v>
      </c>
    </row>
    <row r="2" spans="1:17" x14ac:dyDescent="0.25">
      <c r="A2" s="17" t="s">
        <v>1406</v>
      </c>
      <c r="B2" s="17">
        <v>4</v>
      </c>
      <c r="C2" s="17">
        <v>4</v>
      </c>
      <c r="D2" s="17">
        <v>0</v>
      </c>
      <c r="E2" s="17">
        <v>0</v>
      </c>
      <c r="F2" s="17">
        <v>0</v>
      </c>
      <c r="G2" s="17">
        <v>0</v>
      </c>
      <c r="H2" s="17">
        <f t="shared" ref="H2:H30" si="0">C2*3+D2*2+E2+F2</f>
        <v>12</v>
      </c>
      <c r="I2" s="79">
        <f t="shared" ref="I2:I30" si="1">H2*100/(B2*3)</f>
        <v>100</v>
      </c>
      <c r="J2" s="17">
        <v>33</v>
      </c>
      <c r="K2" s="17">
        <v>8</v>
      </c>
      <c r="L2" s="17">
        <f t="shared" ref="L2:L30" si="2">J2-K2</f>
        <v>25</v>
      </c>
      <c r="M2" s="58" t="s">
        <v>1616</v>
      </c>
      <c r="N2" s="38" t="s">
        <v>1586</v>
      </c>
      <c r="P2" s="25">
        <f>J2/B2</f>
        <v>8.25</v>
      </c>
      <c r="Q2" s="25">
        <f>K2/B2</f>
        <v>2</v>
      </c>
    </row>
    <row r="3" spans="1:17" x14ac:dyDescent="0.25">
      <c r="A3" s="17" t="s">
        <v>1326</v>
      </c>
      <c r="B3" s="17">
        <v>2</v>
      </c>
      <c r="C3" s="17">
        <v>2</v>
      </c>
      <c r="D3" s="17">
        <v>0</v>
      </c>
      <c r="E3" s="17">
        <v>0</v>
      </c>
      <c r="F3" s="17">
        <v>0</v>
      </c>
      <c r="G3" s="17">
        <v>0</v>
      </c>
      <c r="H3" s="17">
        <f t="shared" si="0"/>
        <v>6</v>
      </c>
      <c r="I3" s="79">
        <f t="shared" si="1"/>
        <v>100</v>
      </c>
      <c r="J3" s="17">
        <v>15</v>
      </c>
      <c r="K3" s="17">
        <v>8</v>
      </c>
      <c r="L3" s="17">
        <f t="shared" si="2"/>
        <v>7</v>
      </c>
      <c r="M3" s="58" t="s">
        <v>1607</v>
      </c>
      <c r="N3" s="38" t="s">
        <v>1608</v>
      </c>
      <c r="P3" s="25">
        <f t="shared" ref="P3:P30" si="3">J3/B3</f>
        <v>7.5</v>
      </c>
      <c r="Q3" s="25">
        <f t="shared" ref="Q3:Q30" si="4">K3/B3</f>
        <v>4</v>
      </c>
    </row>
    <row r="4" spans="1:17" x14ac:dyDescent="0.25">
      <c r="A4" s="17" t="s">
        <v>1502</v>
      </c>
      <c r="B4" s="17">
        <v>4</v>
      </c>
      <c r="C4" s="17">
        <v>3</v>
      </c>
      <c r="D4" s="17">
        <v>0</v>
      </c>
      <c r="E4" s="17">
        <v>1</v>
      </c>
      <c r="F4" s="17">
        <v>0</v>
      </c>
      <c r="G4" s="17">
        <v>0</v>
      </c>
      <c r="H4" s="17">
        <f t="shared" si="0"/>
        <v>10</v>
      </c>
      <c r="I4" s="79">
        <f t="shared" si="1"/>
        <v>83.333333333333329</v>
      </c>
      <c r="J4" s="17">
        <v>23</v>
      </c>
      <c r="K4" s="17">
        <v>15</v>
      </c>
      <c r="L4" s="17">
        <f t="shared" si="2"/>
        <v>8</v>
      </c>
      <c r="M4" s="58" t="s">
        <v>1630</v>
      </c>
      <c r="N4" s="38" t="s">
        <v>1631</v>
      </c>
      <c r="P4" s="25">
        <f t="shared" si="3"/>
        <v>5.75</v>
      </c>
      <c r="Q4" s="25">
        <f t="shared" si="4"/>
        <v>3.75</v>
      </c>
    </row>
    <row r="5" spans="1:17" ht="30" x14ac:dyDescent="0.25">
      <c r="A5" s="17" t="s">
        <v>1314</v>
      </c>
      <c r="B5" s="17">
        <v>8</v>
      </c>
      <c r="C5" s="17">
        <v>6</v>
      </c>
      <c r="D5" s="17">
        <v>0</v>
      </c>
      <c r="E5" s="17">
        <v>0</v>
      </c>
      <c r="F5" s="17">
        <v>0</v>
      </c>
      <c r="G5" s="17">
        <v>2</v>
      </c>
      <c r="H5" s="17">
        <f t="shared" si="0"/>
        <v>18</v>
      </c>
      <c r="I5" s="79">
        <f t="shared" si="1"/>
        <v>75</v>
      </c>
      <c r="J5" s="17">
        <v>32</v>
      </c>
      <c r="K5" s="17">
        <v>22</v>
      </c>
      <c r="L5" s="17">
        <f t="shared" si="2"/>
        <v>10</v>
      </c>
      <c r="M5" s="77" t="s">
        <v>1602</v>
      </c>
      <c r="N5" s="38" t="s">
        <v>1573</v>
      </c>
      <c r="O5" s="38" t="s">
        <v>1527</v>
      </c>
      <c r="P5" s="25">
        <f t="shared" si="3"/>
        <v>4</v>
      </c>
      <c r="Q5" s="25">
        <f t="shared" si="4"/>
        <v>2.75</v>
      </c>
    </row>
    <row r="6" spans="1:17" x14ac:dyDescent="0.25">
      <c r="A6" s="17" t="s">
        <v>1311</v>
      </c>
      <c r="B6" s="17">
        <v>4</v>
      </c>
      <c r="C6" s="17">
        <v>3</v>
      </c>
      <c r="D6" s="17">
        <v>0</v>
      </c>
      <c r="E6" s="17">
        <v>0</v>
      </c>
      <c r="F6" s="17">
        <v>0</v>
      </c>
      <c r="G6" s="17">
        <v>1</v>
      </c>
      <c r="H6" s="17">
        <f t="shared" si="0"/>
        <v>9</v>
      </c>
      <c r="I6" s="79">
        <f t="shared" si="1"/>
        <v>75</v>
      </c>
      <c r="J6" s="17">
        <v>20</v>
      </c>
      <c r="K6" s="17">
        <v>12</v>
      </c>
      <c r="L6" s="17">
        <f t="shared" si="2"/>
        <v>8</v>
      </c>
      <c r="M6" s="58" t="s">
        <v>1618</v>
      </c>
      <c r="N6" s="38" t="s">
        <v>1619</v>
      </c>
      <c r="O6" s="38" t="s">
        <v>1615</v>
      </c>
      <c r="P6" s="25">
        <f t="shared" si="3"/>
        <v>5</v>
      </c>
      <c r="Q6" s="25">
        <f t="shared" si="4"/>
        <v>3</v>
      </c>
    </row>
    <row r="7" spans="1:17" x14ac:dyDescent="0.25">
      <c r="A7" s="17" t="s">
        <v>1341</v>
      </c>
      <c r="B7" s="17">
        <v>3</v>
      </c>
      <c r="C7" s="17">
        <v>2</v>
      </c>
      <c r="D7" s="17">
        <v>0</v>
      </c>
      <c r="E7" s="17">
        <v>0</v>
      </c>
      <c r="F7" s="17">
        <v>0</v>
      </c>
      <c r="G7" s="17">
        <v>1</v>
      </c>
      <c r="H7" s="17">
        <f t="shared" si="0"/>
        <v>6</v>
      </c>
      <c r="I7" s="79">
        <f t="shared" si="1"/>
        <v>66.666666666666671</v>
      </c>
      <c r="J7" s="17">
        <v>16</v>
      </c>
      <c r="K7" s="17">
        <v>9</v>
      </c>
      <c r="L7" s="17">
        <f t="shared" si="2"/>
        <v>7</v>
      </c>
      <c r="M7" s="58" t="s">
        <v>1604</v>
      </c>
      <c r="N7" s="38" t="s">
        <v>1579</v>
      </c>
      <c r="O7" s="38" t="s">
        <v>1605</v>
      </c>
      <c r="P7" s="25">
        <f t="shared" si="3"/>
        <v>5.333333333333333</v>
      </c>
      <c r="Q7" s="25">
        <f t="shared" si="4"/>
        <v>3</v>
      </c>
    </row>
    <row r="8" spans="1:17" x14ac:dyDescent="0.25">
      <c r="A8" s="17" t="s">
        <v>1366</v>
      </c>
      <c r="B8" s="17">
        <v>6</v>
      </c>
      <c r="C8" s="17">
        <v>4</v>
      </c>
      <c r="D8" s="17">
        <v>0</v>
      </c>
      <c r="E8" s="17">
        <v>0</v>
      </c>
      <c r="F8" s="17">
        <v>0</v>
      </c>
      <c r="G8" s="17">
        <v>2</v>
      </c>
      <c r="H8" s="17">
        <f t="shared" si="0"/>
        <v>12</v>
      </c>
      <c r="I8" s="79">
        <f t="shared" si="1"/>
        <v>66.666666666666671</v>
      </c>
      <c r="J8" s="17">
        <v>32</v>
      </c>
      <c r="K8" s="17">
        <v>26</v>
      </c>
      <c r="L8" s="17">
        <f t="shared" si="2"/>
        <v>6</v>
      </c>
      <c r="M8" s="58" t="s">
        <v>1640</v>
      </c>
      <c r="N8" s="38" t="s">
        <v>1625</v>
      </c>
      <c r="O8" s="38" t="s">
        <v>1626</v>
      </c>
      <c r="P8" s="25">
        <f t="shared" si="3"/>
        <v>5.333333333333333</v>
      </c>
      <c r="Q8" s="25">
        <f t="shared" si="4"/>
        <v>4.333333333333333</v>
      </c>
    </row>
    <row r="9" spans="1:17" x14ac:dyDescent="0.25">
      <c r="A9" s="17" t="s">
        <v>1330</v>
      </c>
      <c r="B9" s="17">
        <v>6</v>
      </c>
      <c r="C9" s="17">
        <v>3</v>
      </c>
      <c r="D9" s="17">
        <v>0</v>
      </c>
      <c r="E9" s="17">
        <v>1</v>
      </c>
      <c r="F9" s="17">
        <v>0</v>
      </c>
      <c r="G9" s="17">
        <v>2</v>
      </c>
      <c r="H9" s="17">
        <f t="shared" si="0"/>
        <v>10</v>
      </c>
      <c r="I9" s="79">
        <f t="shared" si="1"/>
        <v>55.555555555555557</v>
      </c>
      <c r="J9" s="17">
        <v>34</v>
      </c>
      <c r="K9" s="17">
        <v>29</v>
      </c>
      <c r="L9" s="17">
        <f t="shared" si="2"/>
        <v>5</v>
      </c>
      <c r="M9" s="58" t="s">
        <v>1621</v>
      </c>
      <c r="N9" s="38" t="s">
        <v>1622</v>
      </c>
      <c r="O9" s="38" t="s">
        <v>1595</v>
      </c>
      <c r="P9" s="25">
        <f t="shared" si="3"/>
        <v>5.666666666666667</v>
      </c>
      <c r="Q9" s="25">
        <f t="shared" si="4"/>
        <v>4.833333333333333</v>
      </c>
    </row>
    <row r="10" spans="1:17" ht="90" x14ac:dyDescent="0.25">
      <c r="A10" s="17" t="s">
        <v>1352</v>
      </c>
      <c r="B10" s="17">
        <v>36</v>
      </c>
      <c r="C10" s="17">
        <v>18</v>
      </c>
      <c r="D10" s="17">
        <v>1</v>
      </c>
      <c r="E10" s="17">
        <v>2</v>
      </c>
      <c r="F10" s="17">
        <v>0</v>
      </c>
      <c r="G10" s="17">
        <v>15</v>
      </c>
      <c r="H10" s="17">
        <f t="shared" si="0"/>
        <v>58</v>
      </c>
      <c r="I10" s="79">
        <f t="shared" si="1"/>
        <v>53.703703703703702</v>
      </c>
      <c r="J10" s="17">
        <v>177</v>
      </c>
      <c r="K10" s="17">
        <v>183</v>
      </c>
      <c r="L10" s="17">
        <f t="shared" si="2"/>
        <v>-6</v>
      </c>
      <c r="M10" s="77" t="s">
        <v>1699</v>
      </c>
      <c r="N10" s="74" t="s">
        <v>1620</v>
      </c>
      <c r="O10" s="38" t="s">
        <v>1576</v>
      </c>
      <c r="P10" s="25">
        <f t="shared" si="3"/>
        <v>4.916666666666667</v>
      </c>
      <c r="Q10" s="25">
        <f t="shared" si="4"/>
        <v>5.083333333333333</v>
      </c>
    </row>
    <row r="11" spans="1:17" ht="90" x14ac:dyDescent="0.25">
      <c r="A11" s="17" t="s">
        <v>235</v>
      </c>
      <c r="B11" s="17">
        <v>34</v>
      </c>
      <c r="C11" s="17">
        <v>15</v>
      </c>
      <c r="D11" s="17">
        <v>0</v>
      </c>
      <c r="E11" s="17">
        <v>2</v>
      </c>
      <c r="F11" s="17">
        <v>3</v>
      </c>
      <c r="G11" s="17">
        <v>14</v>
      </c>
      <c r="H11" s="17">
        <f t="shared" si="0"/>
        <v>50</v>
      </c>
      <c r="I11" s="79">
        <f t="shared" si="1"/>
        <v>49.019607843137258</v>
      </c>
      <c r="J11" s="17">
        <v>131</v>
      </c>
      <c r="K11" s="17">
        <v>129</v>
      </c>
      <c r="L11" s="17">
        <f t="shared" si="2"/>
        <v>2</v>
      </c>
      <c r="M11" s="77" t="s">
        <v>1632</v>
      </c>
      <c r="N11" s="38" t="s">
        <v>1572</v>
      </c>
      <c r="O11" s="38" t="s">
        <v>1585</v>
      </c>
      <c r="P11" s="25">
        <f t="shared" si="3"/>
        <v>3.8529411764705883</v>
      </c>
      <c r="Q11" s="25">
        <f t="shared" si="4"/>
        <v>3.7941176470588234</v>
      </c>
    </row>
    <row r="12" spans="1:17" ht="30" x14ac:dyDescent="0.25">
      <c r="A12" s="17" t="s">
        <v>1348</v>
      </c>
      <c r="B12" s="17">
        <v>8</v>
      </c>
      <c r="C12" s="17">
        <v>3</v>
      </c>
      <c r="D12" s="17">
        <v>0</v>
      </c>
      <c r="E12" s="17">
        <v>2</v>
      </c>
      <c r="F12" s="17">
        <v>0</v>
      </c>
      <c r="G12" s="17">
        <v>3</v>
      </c>
      <c r="H12" s="17">
        <f t="shared" si="0"/>
        <v>11</v>
      </c>
      <c r="I12" s="79">
        <f t="shared" si="1"/>
        <v>45.833333333333336</v>
      </c>
      <c r="J12" s="17">
        <v>32</v>
      </c>
      <c r="K12" s="17">
        <v>40</v>
      </c>
      <c r="L12" s="17">
        <f t="shared" si="2"/>
        <v>-8</v>
      </c>
      <c r="M12" s="77" t="s">
        <v>1598</v>
      </c>
      <c r="N12" s="74" t="s">
        <v>1599</v>
      </c>
      <c r="O12" s="38" t="s">
        <v>1587</v>
      </c>
      <c r="P12" s="25">
        <f t="shared" si="3"/>
        <v>4</v>
      </c>
      <c r="Q12" s="25">
        <f t="shared" si="4"/>
        <v>5</v>
      </c>
    </row>
    <row r="13" spans="1:17" x14ac:dyDescent="0.25">
      <c r="A13" s="17" t="s">
        <v>1354</v>
      </c>
      <c r="B13" s="17">
        <v>3</v>
      </c>
      <c r="C13" s="17">
        <v>1</v>
      </c>
      <c r="D13" s="17">
        <v>0</v>
      </c>
      <c r="E13" s="17">
        <v>1</v>
      </c>
      <c r="F13" s="17">
        <v>0</v>
      </c>
      <c r="G13" s="17">
        <v>1</v>
      </c>
      <c r="H13" s="17">
        <f t="shared" si="0"/>
        <v>4</v>
      </c>
      <c r="I13" s="79">
        <f t="shared" si="1"/>
        <v>44.444444444444443</v>
      </c>
      <c r="J13" s="17">
        <v>13</v>
      </c>
      <c r="K13" s="17">
        <v>13</v>
      </c>
      <c r="L13" s="17">
        <f t="shared" si="2"/>
        <v>0</v>
      </c>
      <c r="M13" s="58" t="s">
        <v>1600</v>
      </c>
      <c r="N13" s="38" t="s">
        <v>1584</v>
      </c>
      <c r="O13" s="38" t="s">
        <v>1601</v>
      </c>
      <c r="P13" s="25">
        <f t="shared" si="3"/>
        <v>4.333333333333333</v>
      </c>
      <c r="Q13" s="25">
        <f t="shared" si="4"/>
        <v>4.333333333333333</v>
      </c>
    </row>
    <row r="14" spans="1:17" ht="30" x14ac:dyDescent="0.25">
      <c r="A14" s="17" t="s">
        <v>1449</v>
      </c>
      <c r="B14" s="17">
        <v>6</v>
      </c>
      <c r="C14" s="17">
        <v>2</v>
      </c>
      <c r="D14" s="17">
        <v>0</v>
      </c>
      <c r="E14" s="17">
        <v>0</v>
      </c>
      <c r="F14" s="17">
        <v>1</v>
      </c>
      <c r="G14" s="17">
        <v>3</v>
      </c>
      <c r="H14" s="17">
        <f t="shared" si="0"/>
        <v>7</v>
      </c>
      <c r="I14" s="79">
        <f t="shared" si="1"/>
        <v>38.888888888888886</v>
      </c>
      <c r="J14" s="17">
        <v>18</v>
      </c>
      <c r="K14" s="17">
        <v>39</v>
      </c>
      <c r="L14" s="17">
        <f t="shared" si="2"/>
        <v>-21</v>
      </c>
      <c r="M14" s="77" t="s">
        <v>1577</v>
      </c>
      <c r="N14" s="74" t="s">
        <v>1578</v>
      </c>
      <c r="O14" s="38" t="s">
        <v>1494</v>
      </c>
      <c r="P14" s="25">
        <f t="shared" si="3"/>
        <v>3</v>
      </c>
      <c r="Q14" s="25">
        <f t="shared" si="4"/>
        <v>6.5</v>
      </c>
    </row>
    <row r="15" spans="1:17" ht="30" x14ac:dyDescent="0.25">
      <c r="A15" s="17" t="s">
        <v>1332</v>
      </c>
      <c r="B15" s="17">
        <v>7</v>
      </c>
      <c r="C15" s="17">
        <v>2</v>
      </c>
      <c r="D15" s="17">
        <v>0</v>
      </c>
      <c r="E15" s="17">
        <v>2</v>
      </c>
      <c r="F15" s="17">
        <v>0</v>
      </c>
      <c r="G15" s="17">
        <v>3</v>
      </c>
      <c r="H15" s="17">
        <f t="shared" si="0"/>
        <v>8</v>
      </c>
      <c r="I15" s="79">
        <f t="shared" si="1"/>
        <v>38.095238095238095</v>
      </c>
      <c r="J15" s="17">
        <v>29</v>
      </c>
      <c r="K15" s="17">
        <v>42</v>
      </c>
      <c r="L15" s="17">
        <f t="shared" si="2"/>
        <v>-13</v>
      </c>
      <c r="M15" s="77" t="s">
        <v>1609</v>
      </c>
      <c r="N15" s="38" t="s">
        <v>1574</v>
      </c>
      <c r="O15" s="74" t="s">
        <v>1610</v>
      </c>
      <c r="P15" s="25">
        <f t="shared" si="3"/>
        <v>4.1428571428571432</v>
      </c>
      <c r="Q15" s="25">
        <f t="shared" si="4"/>
        <v>6</v>
      </c>
    </row>
    <row r="16" spans="1:17" ht="105" x14ac:dyDescent="0.25">
      <c r="A16" s="17" t="s">
        <v>1310</v>
      </c>
      <c r="B16" s="17">
        <v>42</v>
      </c>
      <c r="C16" s="17">
        <v>12</v>
      </c>
      <c r="D16" s="17">
        <v>1</v>
      </c>
      <c r="E16" s="17">
        <v>3</v>
      </c>
      <c r="F16" s="17">
        <v>3</v>
      </c>
      <c r="G16" s="17">
        <v>23</v>
      </c>
      <c r="H16" s="17">
        <f t="shared" si="0"/>
        <v>44</v>
      </c>
      <c r="I16" s="79">
        <f t="shared" si="1"/>
        <v>34.920634920634917</v>
      </c>
      <c r="J16" s="17">
        <v>154</v>
      </c>
      <c r="K16" s="17">
        <v>229</v>
      </c>
      <c r="L16" s="17">
        <f t="shared" si="2"/>
        <v>-75</v>
      </c>
      <c r="M16" s="77" t="s">
        <v>1634</v>
      </c>
      <c r="N16" s="38" t="s">
        <v>1629</v>
      </c>
      <c r="O16" s="38" t="s">
        <v>1603</v>
      </c>
      <c r="P16" s="25">
        <f t="shared" si="3"/>
        <v>3.6666666666666665</v>
      </c>
      <c r="Q16" s="25">
        <f t="shared" si="4"/>
        <v>5.4523809523809526</v>
      </c>
    </row>
    <row r="17" spans="1:17" ht="45" x14ac:dyDescent="0.25">
      <c r="A17" s="17" t="s">
        <v>1322</v>
      </c>
      <c r="B17" s="17">
        <v>14</v>
      </c>
      <c r="C17" s="17">
        <v>4</v>
      </c>
      <c r="D17" s="17">
        <v>0</v>
      </c>
      <c r="E17" s="17">
        <v>0</v>
      </c>
      <c r="F17" s="17">
        <v>0</v>
      </c>
      <c r="G17" s="17">
        <v>10</v>
      </c>
      <c r="H17" s="17">
        <f t="shared" si="0"/>
        <v>12</v>
      </c>
      <c r="I17" s="79">
        <f t="shared" si="1"/>
        <v>28.571428571428573</v>
      </c>
      <c r="J17" s="17">
        <v>44</v>
      </c>
      <c r="K17" s="17">
        <v>84</v>
      </c>
      <c r="L17" s="17">
        <f t="shared" si="2"/>
        <v>-40</v>
      </c>
      <c r="M17" s="77" t="s">
        <v>1623</v>
      </c>
      <c r="N17" s="74" t="s">
        <v>1624</v>
      </c>
      <c r="O17" s="38" t="s">
        <v>1575</v>
      </c>
      <c r="P17" s="25">
        <f t="shared" si="3"/>
        <v>3.1428571428571428</v>
      </c>
      <c r="Q17" s="25">
        <f t="shared" si="4"/>
        <v>6</v>
      </c>
    </row>
    <row r="18" spans="1:17" ht="60" x14ac:dyDescent="0.25">
      <c r="A18" s="17" t="s">
        <v>1335</v>
      </c>
      <c r="B18" s="17">
        <v>20</v>
      </c>
      <c r="C18" s="17">
        <v>5</v>
      </c>
      <c r="D18" s="17">
        <v>1</v>
      </c>
      <c r="E18" s="17">
        <v>1</v>
      </c>
      <c r="F18" s="17">
        <v>0</v>
      </c>
      <c r="G18" s="17">
        <v>13</v>
      </c>
      <c r="H18" s="17">
        <f t="shared" si="0"/>
        <v>18</v>
      </c>
      <c r="I18" s="79">
        <f t="shared" si="1"/>
        <v>30</v>
      </c>
      <c r="J18" s="17">
        <v>65</v>
      </c>
      <c r="K18" s="17">
        <v>94</v>
      </c>
      <c r="L18" s="17">
        <f t="shared" si="2"/>
        <v>-29</v>
      </c>
      <c r="M18" s="77" t="s">
        <v>1742</v>
      </c>
      <c r="N18" s="38" t="s">
        <v>1633</v>
      </c>
      <c r="O18" s="38" t="s">
        <v>1583</v>
      </c>
      <c r="P18" s="25">
        <f t="shared" si="3"/>
        <v>3.25</v>
      </c>
      <c r="Q18" s="25">
        <f t="shared" si="4"/>
        <v>4.7</v>
      </c>
    </row>
    <row r="19" spans="1:17" x14ac:dyDescent="0.25">
      <c r="A19" s="17" t="s">
        <v>1479</v>
      </c>
      <c r="B19" s="17">
        <v>4</v>
      </c>
      <c r="C19" s="17">
        <v>1</v>
      </c>
      <c r="D19" s="17">
        <v>0</v>
      </c>
      <c r="E19" s="17">
        <v>0</v>
      </c>
      <c r="F19" s="17">
        <v>0</v>
      </c>
      <c r="G19" s="17">
        <v>3</v>
      </c>
      <c r="H19" s="17">
        <f t="shared" si="0"/>
        <v>3</v>
      </c>
      <c r="I19" s="79">
        <f t="shared" si="1"/>
        <v>25</v>
      </c>
      <c r="J19" s="17">
        <v>11</v>
      </c>
      <c r="K19" s="17">
        <v>22</v>
      </c>
      <c r="L19" s="17">
        <f t="shared" si="2"/>
        <v>-11</v>
      </c>
      <c r="M19" s="58" t="s">
        <v>1641</v>
      </c>
      <c r="N19" s="38" t="s">
        <v>1642</v>
      </c>
      <c r="O19" s="38" t="s">
        <v>1480</v>
      </c>
      <c r="P19" s="25">
        <f t="shared" si="3"/>
        <v>2.75</v>
      </c>
      <c r="Q19" s="25">
        <f t="shared" si="4"/>
        <v>5.5</v>
      </c>
    </row>
    <row r="20" spans="1:17" ht="30" x14ac:dyDescent="0.25">
      <c r="A20" s="17" t="s">
        <v>1414</v>
      </c>
      <c r="B20" s="17">
        <v>8</v>
      </c>
      <c r="C20" s="17">
        <v>2</v>
      </c>
      <c r="D20" s="17">
        <v>0</v>
      </c>
      <c r="E20" s="17">
        <v>0</v>
      </c>
      <c r="F20" s="17">
        <v>0</v>
      </c>
      <c r="G20" s="17">
        <v>6</v>
      </c>
      <c r="H20" s="17">
        <f t="shared" si="0"/>
        <v>6</v>
      </c>
      <c r="I20" s="79">
        <f t="shared" si="1"/>
        <v>25</v>
      </c>
      <c r="J20" s="17">
        <v>34</v>
      </c>
      <c r="K20" s="17">
        <v>62</v>
      </c>
      <c r="L20" s="17">
        <f t="shared" si="2"/>
        <v>-28</v>
      </c>
      <c r="M20" s="77" t="s">
        <v>1613</v>
      </c>
      <c r="N20" s="74" t="s">
        <v>1614</v>
      </c>
      <c r="O20" s="74" t="s">
        <v>1588</v>
      </c>
      <c r="P20" s="25">
        <f t="shared" si="3"/>
        <v>4.25</v>
      </c>
      <c r="Q20" s="25">
        <f t="shared" si="4"/>
        <v>7.75</v>
      </c>
    </row>
    <row r="21" spans="1:17" x14ac:dyDescent="0.25">
      <c r="A21" s="17" t="s">
        <v>1627</v>
      </c>
      <c r="B21" s="17">
        <v>4</v>
      </c>
      <c r="C21" s="17">
        <v>1</v>
      </c>
      <c r="D21" s="17">
        <v>0</v>
      </c>
      <c r="E21" s="17">
        <v>0</v>
      </c>
      <c r="F21" s="17">
        <v>0</v>
      </c>
      <c r="G21" s="17">
        <v>3</v>
      </c>
      <c r="H21" s="17">
        <f t="shared" si="0"/>
        <v>3</v>
      </c>
      <c r="I21" s="79">
        <f t="shared" si="1"/>
        <v>25</v>
      </c>
      <c r="J21" s="17">
        <v>14</v>
      </c>
      <c r="K21" s="17">
        <v>18</v>
      </c>
      <c r="L21" s="17">
        <f t="shared" si="2"/>
        <v>-4</v>
      </c>
      <c r="M21" s="58" t="s">
        <v>1638</v>
      </c>
      <c r="N21" s="38" t="s">
        <v>1628</v>
      </c>
      <c r="O21" s="38" t="s">
        <v>1639</v>
      </c>
      <c r="P21" s="25">
        <f t="shared" si="3"/>
        <v>3.5</v>
      </c>
      <c r="Q21" s="25">
        <f t="shared" si="4"/>
        <v>4.5</v>
      </c>
    </row>
    <row r="22" spans="1:17" x14ac:dyDescent="0.25">
      <c r="A22" s="17" t="s">
        <v>1580</v>
      </c>
      <c r="B22" s="17">
        <v>2</v>
      </c>
      <c r="C22" s="17">
        <v>0</v>
      </c>
      <c r="D22" s="17">
        <v>0</v>
      </c>
      <c r="E22" s="17">
        <v>1</v>
      </c>
      <c r="F22" s="17">
        <v>0</v>
      </c>
      <c r="G22" s="17">
        <v>1</v>
      </c>
      <c r="H22" s="17">
        <f t="shared" si="0"/>
        <v>1</v>
      </c>
      <c r="I22" s="79">
        <f t="shared" si="1"/>
        <v>16.666666666666668</v>
      </c>
      <c r="J22" s="17">
        <v>8</v>
      </c>
      <c r="K22" s="17">
        <v>15</v>
      </c>
      <c r="L22" s="17">
        <f t="shared" si="2"/>
        <v>-7</v>
      </c>
      <c r="M22" s="58" t="s">
        <v>1581</v>
      </c>
      <c r="O22" s="38" t="s">
        <v>1582</v>
      </c>
      <c r="P22" s="25">
        <f t="shared" si="3"/>
        <v>4</v>
      </c>
      <c r="Q22" s="25">
        <f t="shared" si="4"/>
        <v>7.5</v>
      </c>
    </row>
    <row r="23" spans="1:17" ht="30" x14ac:dyDescent="0.25">
      <c r="A23" s="17" t="s">
        <v>1413</v>
      </c>
      <c r="B23" s="17">
        <v>4</v>
      </c>
      <c r="C23" s="17">
        <v>0</v>
      </c>
      <c r="D23" s="17">
        <v>0</v>
      </c>
      <c r="E23" s="17">
        <v>1</v>
      </c>
      <c r="F23" s="17">
        <v>0</v>
      </c>
      <c r="G23" s="17">
        <v>3</v>
      </c>
      <c r="H23" s="17">
        <f t="shared" si="0"/>
        <v>1</v>
      </c>
      <c r="I23" s="79">
        <f t="shared" si="1"/>
        <v>8.3333333333333339</v>
      </c>
      <c r="J23" s="17">
        <v>8</v>
      </c>
      <c r="K23" s="17">
        <v>21</v>
      </c>
      <c r="L23" s="17">
        <f t="shared" si="2"/>
        <v>-13</v>
      </c>
      <c r="M23" s="58" t="s">
        <v>1589</v>
      </c>
      <c r="O23" s="74" t="s">
        <v>1590</v>
      </c>
      <c r="P23" s="25">
        <f t="shared" si="3"/>
        <v>2</v>
      </c>
      <c r="Q23" s="25">
        <f t="shared" si="4"/>
        <v>5.25</v>
      </c>
    </row>
    <row r="24" spans="1:17" x14ac:dyDescent="0.25">
      <c r="A24" s="17" t="s">
        <v>1504</v>
      </c>
      <c r="B24" s="17">
        <v>2</v>
      </c>
      <c r="C24" s="17">
        <v>0</v>
      </c>
      <c r="D24" s="17">
        <v>0</v>
      </c>
      <c r="E24" s="17">
        <v>0</v>
      </c>
      <c r="F24" s="17">
        <v>0</v>
      </c>
      <c r="G24" s="17">
        <v>2</v>
      </c>
      <c r="H24" s="17">
        <f t="shared" si="0"/>
        <v>0</v>
      </c>
      <c r="I24" s="79">
        <f t="shared" si="1"/>
        <v>0</v>
      </c>
      <c r="J24" s="17">
        <v>5</v>
      </c>
      <c r="K24" s="17">
        <v>15</v>
      </c>
      <c r="L24" s="17">
        <f t="shared" si="2"/>
        <v>-10</v>
      </c>
      <c r="M24" s="58" t="s">
        <v>1505</v>
      </c>
      <c r="O24" s="38" t="s">
        <v>1506</v>
      </c>
      <c r="P24" s="25">
        <f t="shared" si="3"/>
        <v>2.5</v>
      </c>
      <c r="Q24" s="25">
        <f t="shared" si="4"/>
        <v>7.5</v>
      </c>
    </row>
    <row r="25" spans="1:17" ht="30" x14ac:dyDescent="0.25">
      <c r="A25" s="17" t="s">
        <v>1425</v>
      </c>
      <c r="B25" s="17">
        <v>4</v>
      </c>
      <c r="C25" s="17">
        <v>0</v>
      </c>
      <c r="D25" s="17">
        <v>0</v>
      </c>
      <c r="E25" s="17">
        <v>0</v>
      </c>
      <c r="F25" s="17">
        <v>0</v>
      </c>
      <c r="G25" s="17">
        <v>4</v>
      </c>
      <c r="H25" s="17">
        <f t="shared" si="0"/>
        <v>0</v>
      </c>
      <c r="I25" s="79">
        <f t="shared" si="1"/>
        <v>0</v>
      </c>
      <c r="J25" s="17">
        <v>4</v>
      </c>
      <c r="K25" s="17">
        <v>22</v>
      </c>
      <c r="L25" s="17">
        <f t="shared" si="2"/>
        <v>-18</v>
      </c>
      <c r="M25" s="58" t="s">
        <v>1606</v>
      </c>
      <c r="O25" s="74" t="s">
        <v>1591</v>
      </c>
      <c r="P25" s="25">
        <f t="shared" si="3"/>
        <v>1</v>
      </c>
      <c r="Q25" s="25">
        <f t="shared" si="4"/>
        <v>5.5</v>
      </c>
    </row>
    <row r="26" spans="1:17" x14ac:dyDescent="0.25">
      <c r="A26" s="17" t="s">
        <v>1592</v>
      </c>
      <c r="B26" s="17">
        <v>2</v>
      </c>
      <c r="C26" s="17">
        <v>0</v>
      </c>
      <c r="D26" s="17">
        <v>0</v>
      </c>
      <c r="E26" s="17">
        <v>0</v>
      </c>
      <c r="F26" s="17">
        <v>0</v>
      </c>
      <c r="G26" s="17">
        <v>2</v>
      </c>
      <c r="H26" s="17">
        <f t="shared" si="0"/>
        <v>0</v>
      </c>
      <c r="I26" s="79">
        <f t="shared" si="1"/>
        <v>0</v>
      </c>
      <c r="J26" s="17">
        <v>4</v>
      </c>
      <c r="K26" s="17">
        <v>17</v>
      </c>
      <c r="L26" s="17">
        <f t="shared" si="2"/>
        <v>-13</v>
      </c>
      <c r="M26" s="58" t="s">
        <v>1593</v>
      </c>
      <c r="O26" s="38" t="s">
        <v>1594</v>
      </c>
      <c r="P26" s="25">
        <f t="shared" si="3"/>
        <v>2</v>
      </c>
      <c r="Q26" s="25">
        <f t="shared" si="4"/>
        <v>8.5</v>
      </c>
    </row>
    <row r="27" spans="1:17" x14ac:dyDescent="0.25">
      <c r="A27" s="17" t="s">
        <v>1440</v>
      </c>
      <c r="B27" s="17">
        <v>2</v>
      </c>
      <c r="C27" s="17">
        <v>0</v>
      </c>
      <c r="D27" s="17">
        <v>0</v>
      </c>
      <c r="E27" s="17">
        <v>0</v>
      </c>
      <c r="F27" s="17">
        <v>0</v>
      </c>
      <c r="G27" s="17">
        <v>2</v>
      </c>
      <c r="H27" s="17">
        <f t="shared" si="0"/>
        <v>0</v>
      </c>
      <c r="I27" s="79">
        <f t="shared" si="1"/>
        <v>0</v>
      </c>
      <c r="J27" s="17">
        <v>7</v>
      </c>
      <c r="K27" s="17">
        <v>18</v>
      </c>
      <c r="L27" s="17">
        <f t="shared" si="2"/>
        <v>-11</v>
      </c>
      <c r="M27" s="58" t="s">
        <v>1596</v>
      </c>
      <c r="O27" s="38" t="s">
        <v>1597</v>
      </c>
      <c r="P27" s="25">
        <f t="shared" si="3"/>
        <v>3.5</v>
      </c>
      <c r="Q27" s="25">
        <f t="shared" si="4"/>
        <v>9</v>
      </c>
    </row>
    <row r="28" spans="1:17" x14ac:dyDescent="0.25">
      <c r="A28" s="17" t="s">
        <v>1611</v>
      </c>
      <c r="B28" s="17">
        <v>4</v>
      </c>
      <c r="C28" s="17">
        <v>0</v>
      </c>
      <c r="D28" s="17">
        <v>0</v>
      </c>
      <c r="E28" s="17">
        <v>0</v>
      </c>
      <c r="F28" s="17">
        <v>0</v>
      </c>
      <c r="G28" s="17">
        <v>4</v>
      </c>
      <c r="H28" s="17">
        <f t="shared" si="0"/>
        <v>0</v>
      </c>
      <c r="I28" s="79">
        <f t="shared" si="1"/>
        <v>0</v>
      </c>
      <c r="J28" s="17">
        <v>7</v>
      </c>
      <c r="K28" s="17">
        <v>17</v>
      </c>
      <c r="L28" s="17">
        <f t="shared" si="2"/>
        <v>-10</v>
      </c>
      <c r="M28" s="58" t="s">
        <v>1617</v>
      </c>
      <c r="O28" s="38" t="s">
        <v>1612</v>
      </c>
      <c r="P28" s="25">
        <f t="shared" si="3"/>
        <v>1.75</v>
      </c>
      <c r="Q28" s="25">
        <f t="shared" si="4"/>
        <v>4.25</v>
      </c>
    </row>
    <row r="29" spans="1:17" x14ac:dyDescent="0.25">
      <c r="A29" s="17" t="s">
        <v>1635</v>
      </c>
      <c r="B29" s="17">
        <v>2</v>
      </c>
      <c r="C29" s="17">
        <v>0</v>
      </c>
      <c r="D29" s="17">
        <v>0</v>
      </c>
      <c r="E29" s="17">
        <v>0</v>
      </c>
      <c r="F29" s="17">
        <v>0</v>
      </c>
      <c r="G29" s="17">
        <v>2</v>
      </c>
      <c r="H29" s="17">
        <f t="shared" si="0"/>
        <v>0</v>
      </c>
      <c r="I29" s="79">
        <f t="shared" si="1"/>
        <v>0</v>
      </c>
      <c r="J29" s="17">
        <v>3</v>
      </c>
      <c r="K29" s="17">
        <v>18</v>
      </c>
      <c r="L29" s="17">
        <f t="shared" si="2"/>
        <v>-15</v>
      </c>
      <c r="M29" s="58" t="s">
        <v>1636</v>
      </c>
      <c r="O29" s="38" t="s">
        <v>1637</v>
      </c>
      <c r="P29" s="25">
        <f t="shared" si="3"/>
        <v>1.5</v>
      </c>
      <c r="Q29" s="25">
        <f t="shared" si="4"/>
        <v>9</v>
      </c>
    </row>
    <row r="30" spans="1:17" x14ac:dyDescent="0.25">
      <c r="A30" s="17" t="s">
        <v>1739</v>
      </c>
      <c r="B30" s="17">
        <v>2</v>
      </c>
      <c r="C30" s="17">
        <v>2</v>
      </c>
      <c r="D30" s="17">
        <v>0</v>
      </c>
      <c r="E30" s="17">
        <v>0</v>
      </c>
      <c r="F30" s="17">
        <v>0</v>
      </c>
      <c r="G30" s="17">
        <v>0</v>
      </c>
      <c r="H30" s="17">
        <f t="shared" si="0"/>
        <v>6</v>
      </c>
      <c r="I30" s="79">
        <f t="shared" si="1"/>
        <v>100</v>
      </c>
      <c r="J30" s="17">
        <v>11</v>
      </c>
      <c r="K30" s="17">
        <v>2</v>
      </c>
      <c r="L30" s="17">
        <f t="shared" si="2"/>
        <v>9</v>
      </c>
      <c r="M30" s="58" t="s">
        <v>1740</v>
      </c>
      <c r="N30" s="38" t="s">
        <v>1741</v>
      </c>
      <c r="P30" s="17">
        <f t="shared" si="3"/>
        <v>5.5</v>
      </c>
      <c r="Q30" s="17">
        <f t="shared" si="4"/>
        <v>1</v>
      </c>
    </row>
  </sheetData>
  <sortState xmlns:xlrd2="http://schemas.microsoft.com/office/spreadsheetml/2017/richdata2" ref="A2:O29">
    <sortCondition descending="1" ref="I2:I29"/>
  </sortState>
  <pageMargins left="0.7" right="0.7" top="0.78740157499999996" bottom="0.78740157499999996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3FFD7-470D-405D-B18C-39EC8EF98CF5}">
  <dimension ref="A1:L26"/>
  <sheetViews>
    <sheetView workbookViewId="0">
      <pane ySplit="1" topLeftCell="A2" activePane="bottomLeft" state="frozen"/>
      <selection pane="bottomLeft" activeCell="S13" sqref="S13"/>
    </sheetView>
  </sheetViews>
  <sheetFormatPr defaultRowHeight="15" x14ac:dyDescent="0.25"/>
  <cols>
    <col min="1" max="1" width="26.140625" bestFit="1" customWidth="1"/>
    <col min="2" max="11" width="9.140625" style="17"/>
    <col min="12" max="12" width="17.5703125" style="58" customWidth="1"/>
  </cols>
  <sheetData>
    <row r="1" spans="1:12" x14ac:dyDescent="0.25">
      <c r="A1" s="11" t="s">
        <v>165</v>
      </c>
      <c r="B1" s="18" t="s">
        <v>1</v>
      </c>
      <c r="C1" s="18" t="s">
        <v>53</v>
      </c>
      <c r="D1" s="18" t="s">
        <v>287</v>
      </c>
      <c r="E1" s="18" t="s">
        <v>54</v>
      </c>
      <c r="F1" s="18" t="s">
        <v>288</v>
      </c>
      <c r="G1" s="18" t="s">
        <v>55</v>
      </c>
      <c r="H1" s="18" t="s">
        <v>4</v>
      </c>
      <c r="I1" s="21" t="s">
        <v>56</v>
      </c>
      <c r="J1" s="21" t="s">
        <v>57</v>
      </c>
      <c r="K1" s="18" t="s">
        <v>101</v>
      </c>
      <c r="L1" s="57" t="s">
        <v>102</v>
      </c>
    </row>
    <row r="2" spans="1:12" x14ac:dyDescent="0.25">
      <c r="A2" t="s">
        <v>390</v>
      </c>
      <c r="B2" s="17">
        <v>1</v>
      </c>
      <c r="C2" s="17">
        <v>1</v>
      </c>
      <c r="D2" s="17">
        <v>0</v>
      </c>
      <c r="E2" s="17">
        <v>0</v>
      </c>
      <c r="F2" s="17">
        <v>0</v>
      </c>
      <c r="G2" s="17">
        <v>0</v>
      </c>
      <c r="H2" s="17">
        <f>C2*3+D2*2+E2+F2</f>
        <v>3</v>
      </c>
      <c r="I2" s="17">
        <v>3</v>
      </c>
      <c r="J2" s="17">
        <v>2</v>
      </c>
      <c r="K2" s="17">
        <f>I2-J2</f>
        <v>1</v>
      </c>
      <c r="L2" s="58" t="s">
        <v>1717</v>
      </c>
    </row>
    <row r="3" spans="1:12" x14ac:dyDescent="0.25">
      <c r="A3" t="s">
        <v>487</v>
      </c>
      <c r="B3" s="17">
        <v>2</v>
      </c>
      <c r="C3" s="17">
        <v>0</v>
      </c>
      <c r="D3" s="17">
        <v>0</v>
      </c>
      <c r="E3" s="17">
        <v>0</v>
      </c>
      <c r="F3" s="17">
        <v>0</v>
      </c>
      <c r="G3" s="17">
        <v>2</v>
      </c>
      <c r="H3" s="17">
        <f>C3*3+D3*2+E3+F3</f>
        <v>0</v>
      </c>
      <c r="I3" s="17">
        <v>4</v>
      </c>
      <c r="J3" s="17">
        <v>26</v>
      </c>
      <c r="K3" s="17">
        <f>I3-J3</f>
        <v>-22</v>
      </c>
      <c r="L3" s="58" t="s">
        <v>1075</v>
      </c>
    </row>
    <row r="4" spans="1:12" x14ac:dyDescent="0.25">
      <c r="A4" t="s">
        <v>1660</v>
      </c>
      <c r="B4" s="17">
        <v>1</v>
      </c>
      <c r="C4" s="17">
        <v>0</v>
      </c>
      <c r="D4" s="17">
        <v>0</v>
      </c>
      <c r="E4" s="17">
        <v>0</v>
      </c>
      <c r="F4" s="17">
        <v>0</v>
      </c>
      <c r="G4" s="17">
        <v>1</v>
      </c>
      <c r="H4" s="17">
        <f>C4*3+D4*2+E4+F4</f>
        <v>0</v>
      </c>
      <c r="I4" s="17">
        <v>1</v>
      </c>
      <c r="J4" s="17">
        <v>6</v>
      </c>
      <c r="K4" s="17">
        <f>I4-J4</f>
        <v>-5</v>
      </c>
      <c r="L4" s="58" t="s">
        <v>1718</v>
      </c>
    </row>
    <row r="5" spans="1:12" x14ac:dyDescent="0.25">
      <c r="A5" t="s">
        <v>105</v>
      </c>
      <c r="B5" s="17">
        <v>2</v>
      </c>
      <c r="C5" s="17">
        <v>2</v>
      </c>
      <c r="D5" s="17">
        <v>0</v>
      </c>
      <c r="E5" s="17">
        <v>0</v>
      </c>
      <c r="F5" s="17">
        <v>0</v>
      </c>
      <c r="G5" s="17">
        <v>0</v>
      </c>
      <c r="H5" s="17">
        <f t="shared" ref="H5:H17" si="0">C5*3+D5*2+E5+F5</f>
        <v>6</v>
      </c>
      <c r="I5" s="17">
        <v>21</v>
      </c>
      <c r="J5" s="17">
        <v>5</v>
      </c>
      <c r="K5" s="17">
        <f t="shared" ref="K5:K17" si="1">I5-J5</f>
        <v>16</v>
      </c>
      <c r="L5" s="58" t="s">
        <v>1135</v>
      </c>
    </row>
    <row r="6" spans="1:12" x14ac:dyDescent="0.25">
      <c r="A6" t="s">
        <v>307</v>
      </c>
      <c r="B6" s="17">
        <v>2</v>
      </c>
      <c r="C6" s="17">
        <v>1</v>
      </c>
      <c r="D6" s="17">
        <v>0</v>
      </c>
      <c r="E6" s="17">
        <v>0</v>
      </c>
      <c r="F6" s="17">
        <v>0</v>
      </c>
      <c r="G6" s="17">
        <v>1</v>
      </c>
      <c r="H6" s="17">
        <f t="shared" si="0"/>
        <v>3</v>
      </c>
      <c r="I6" s="17">
        <v>14</v>
      </c>
      <c r="J6" s="17">
        <v>8</v>
      </c>
      <c r="K6" s="17">
        <f t="shared" si="1"/>
        <v>6</v>
      </c>
      <c r="L6" s="58" t="s">
        <v>1116</v>
      </c>
    </row>
    <row r="7" spans="1:12" x14ac:dyDescent="0.25">
      <c r="A7" t="s">
        <v>1662</v>
      </c>
      <c r="B7" s="17">
        <v>1</v>
      </c>
      <c r="C7" s="17">
        <v>0</v>
      </c>
      <c r="D7" s="17">
        <v>0</v>
      </c>
      <c r="E7" s="17">
        <v>0</v>
      </c>
      <c r="F7" s="17">
        <v>0</v>
      </c>
      <c r="G7" s="17">
        <v>1</v>
      </c>
      <c r="H7" s="17">
        <f t="shared" si="0"/>
        <v>0</v>
      </c>
      <c r="I7" s="17">
        <v>2</v>
      </c>
      <c r="J7" s="17">
        <v>4</v>
      </c>
      <c r="K7" s="17">
        <f t="shared" si="1"/>
        <v>-2</v>
      </c>
      <c r="L7" s="58" t="s">
        <v>416</v>
      </c>
    </row>
    <row r="8" spans="1:12" x14ac:dyDescent="0.25">
      <c r="A8" t="s">
        <v>484</v>
      </c>
      <c r="B8" s="17">
        <v>4</v>
      </c>
      <c r="C8" s="17">
        <v>2</v>
      </c>
      <c r="D8" s="17">
        <v>0</v>
      </c>
      <c r="E8" s="17">
        <v>0</v>
      </c>
      <c r="F8" s="17">
        <v>1</v>
      </c>
      <c r="G8" s="17">
        <v>1</v>
      </c>
      <c r="H8" s="17">
        <f t="shared" si="0"/>
        <v>7</v>
      </c>
      <c r="I8" s="17">
        <v>21</v>
      </c>
      <c r="J8" s="17">
        <v>19</v>
      </c>
      <c r="K8" s="17">
        <f t="shared" si="1"/>
        <v>2</v>
      </c>
      <c r="L8" s="58" t="s">
        <v>1304</v>
      </c>
    </row>
    <row r="9" spans="1:12" x14ac:dyDescent="0.25">
      <c r="A9" t="s">
        <v>477</v>
      </c>
      <c r="B9" s="17">
        <v>2</v>
      </c>
      <c r="C9" s="17">
        <v>1</v>
      </c>
      <c r="D9" s="17">
        <v>0</v>
      </c>
      <c r="E9" s="17">
        <v>0</v>
      </c>
      <c r="F9" s="17">
        <v>0</v>
      </c>
      <c r="G9" s="17">
        <v>1</v>
      </c>
      <c r="H9" s="17">
        <f t="shared" si="0"/>
        <v>3</v>
      </c>
      <c r="I9" s="17">
        <v>11</v>
      </c>
      <c r="J9" s="17">
        <v>9</v>
      </c>
      <c r="K9" s="17">
        <f t="shared" si="1"/>
        <v>2</v>
      </c>
      <c r="L9" s="58" t="s">
        <v>1117</v>
      </c>
    </row>
    <row r="10" spans="1:12" x14ac:dyDescent="0.25">
      <c r="A10" t="s">
        <v>1165</v>
      </c>
      <c r="B10" s="17">
        <v>2</v>
      </c>
      <c r="C10" s="17">
        <v>2</v>
      </c>
      <c r="D10" s="17">
        <v>0</v>
      </c>
      <c r="E10" s="17">
        <v>0</v>
      </c>
      <c r="F10" s="17">
        <v>0</v>
      </c>
      <c r="G10" s="17">
        <v>0</v>
      </c>
      <c r="H10" s="17">
        <f t="shared" si="0"/>
        <v>6</v>
      </c>
      <c r="I10" s="17">
        <v>12</v>
      </c>
      <c r="J10" s="17">
        <v>7</v>
      </c>
      <c r="K10" s="17">
        <f t="shared" si="1"/>
        <v>5</v>
      </c>
      <c r="L10" s="58" t="s">
        <v>1273</v>
      </c>
    </row>
    <row r="11" spans="1:12" x14ac:dyDescent="0.25">
      <c r="A11" t="s">
        <v>119</v>
      </c>
      <c r="B11" s="17">
        <v>2</v>
      </c>
      <c r="C11" s="17">
        <v>1</v>
      </c>
      <c r="D11" s="17">
        <v>0</v>
      </c>
      <c r="E11" s="17">
        <v>0</v>
      </c>
      <c r="F11" s="17">
        <v>0</v>
      </c>
      <c r="G11" s="17">
        <v>1</v>
      </c>
      <c r="H11" s="17">
        <f t="shared" si="0"/>
        <v>3</v>
      </c>
      <c r="I11" s="17">
        <v>9</v>
      </c>
      <c r="J11" s="17">
        <v>9</v>
      </c>
      <c r="K11" s="17">
        <f t="shared" si="1"/>
        <v>0</v>
      </c>
      <c r="L11" s="58" t="s">
        <v>1275</v>
      </c>
    </row>
    <row r="12" spans="1:12" x14ac:dyDescent="0.25">
      <c r="A12" t="s">
        <v>121</v>
      </c>
      <c r="B12" s="17">
        <v>2</v>
      </c>
      <c r="C12" s="17">
        <v>2</v>
      </c>
      <c r="D12" s="17">
        <v>0</v>
      </c>
      <c r="E12" s="17">
        <v>0</v>
      </c>
      <c r="F12" s="17">
        <v>0</v>
      </c>
      <c r="G12" s="17">
        <v>0</v>
      </c>
      <c r="H12" s="17">
        <f t="shared" si="0"/>
        <v>6</v>
      </c>
      <c r="I12" s="17">
        <v>18</v>
      </c>
      <c r="J12" s="17">
        <v>8</v>
      </c>
      <c r="K12" s="17">
        <f t="shared" si="1"/>
        <v>10</v>
      </c>
      <c r="L12" s="58" t="s">
        <v>1115</v>
      </c>
    </row>
    <row r="13" spans="1:12" x14ac:dyDescent="0.25">
      <c r="A13" t="s">
        <v>391</v>
      </c>
      <c r="B13" s="17">
        <v>1</v>
      </c>
      <c r="C13" s="17">
        <v>0</v>
      </c>
      <c r="D13" s="17">
        <v>0</v>
      </c>
      <c r="E13" s="17">
        <v>0</v>
      </c>
      <c r="F13" s="17">
        <v>0</v>
      </c>
      <c r="G13" s="17">
        <v>1</v>
      </c>
      <c r="H13" s="17">
        <f t="shared" si="0"/>
        <v>0</v>
      </c>
      <c r="I13" s="17">
        <v>1</v>
      </c>
      <c r="J13" s="17">
        <v>2</v>
      </c>
      <c r="K13" s="17">
        <f t="shared" si="1"/>
        <v>-1</v>
      </c>
      <c r="L13" s="58" t="s">
        <v>365</v>
      </c>
    </row>
    <row r="14" spans="1:12" x14ac:dyDescent="0.25">
      <c r="A14" t="s">
        <v>405</v>
      </c>
      <c r="B14" s="17">
        <v>2</v>
      </c>
      <c r="C14" s="17">
        <v>1</v>
      </c>
      <c r="D14" s="17">
        <v>1</v>
      </c>
      <c r="E14" s="17">
        <v>0</v>
      </c>
      <c r="F14" s="17">
        <v>0</v>
      </c>
      <c r="G14" s="17">
        <v>0</v>
      </c>
      <c r="H14" s="17">
        <f t="shared" si="0"/>
        <v>5</v>
      </c>
      <c r="I14" s="17">
        <v>9</v>
      </c>
      <c r="J14" s="17">
        <v>6</v>
      </c>
      <c r="K14" s="17">
        <f t="shared" si="1"/>
        <v>3</v>
      </c>
      <c r="L14" s="58" t="s">
        <v>1295</v>
      </c>
    </row>
    <row r="15" spans="1:12" x14ac:dyDescent="0.25">
      <c r="A15" t="s">
        <v>202</v>
      </c>
      <c r="B15" s="17">
        <v>2</v>
      </c>
      <c r="C15" s="17">
        <v>0</v>
      </c>
      <c r="D15" s="17">
        <v>0</v>
      </c>
      <c r="E15" s="17">
        <v>0</v>
      </c>
      <c r="F15" s="17">
        <v>0</v>
      </c>
      <c r="G15" s="17">
        <v>2</v>
      </c>
      <c r="H15" s="17">
        <f t="shared" si="0"/>
        <v>0</v>
      </c>
      <c r="I15" s="17">
        <v>8</v>
      </c>
      <c r="J15" s="17">
        <v>26</v>
      </c>
      <c r="K15" s="17">
        <f t="shared" si="1"/>
        <v>-18</v>
      </c>
      <c r="L15" s="58" t="s">
        <v>1076</v>
      </c>
    </row>
    <row r="16" spans="1:12" x14ac:dyDescent="0.25">
      <c r="A16" t="s">
        <v>312</v>
      </c>
      <c r="B16" s="17">
        <v>2</v>
      </c>
      <c r="C16" s="17">
        <v>1</v>
      </c>
      <c r="D16" s="17">
        <v>1</v>
      </c>
      <c r="E16" s="17">
        <v>0</v>
      </c>
      <c r="F16" s="17">
        <v>0</v>
      </c>
      <c r="G16" s="17">
        <v>0</v>
      </c>
      <c r="H16" s="17">
        <f t="shared" si="0"/>
        <v>5</v>
      </c>
      <c r="I16" s="17">
        <v>9</v>
      </c>
      <c r="J16" s="17">
        <v>5</v>
      </c>
      <c r="K16" s="17">
        <f t="shared" si="1"/>
        <v>4</v>
      </c>
      <c r="L16" s="58" t="s">
        <v>1274</v>
      </c>
    </row>
    <row r="17" spans="1:12" x14ac:dyDescent="0.25">
      <c r="A17" t="s">
        <v>1661</v>
      </c>
      <c r="B17" s="17">
        <v>1</v>
      </c>
      <c r="C17" s="17">
        <v>1</v>
      </c>
      <c r="D17" s="17">
        <v>0</v>
      </c>
      <c r="E17" s="17">
        <v>0</v>
      </c>
      <c r="F17" s="17">
        <v>0</v>
      </c>
      <c r="G17" s="17">
        <v>0</v>
      </c>
      <c r="H17" s="17">
        <f t="shared" si="0"/>
        <v>3</v>
      </c>
      <c r="I17" s="17">
        <v>5</v>
      </c>
      <c r="J17" s="17">
        <v>1</v>
      </c>
      <c r="K17" s="17">
        <f t="shared" si="1"/>
        <v>4</v>
      </c>
      <c r="L17" s="58" t="s">
        <v>1047</v>
      </c>
    </row>
    <row r="18" spans="1:12" x14ac:dyDescent="0.25">
      <c r="A18" t="s">
        <v>1163</v>
      </c>
      <c r="B18" s="17">
        <v>4</v>
      </c>
      <c r="C18" s="17">
        <v>0</v>
      </c>
      <c r="D18" s="17">
        <v>0</v>
      </c>
      <c r="E18" s="17">
        <v>0</v>
      </c>
      <c r="F18" s="17">
        <v>0</v>
      </c>
      <c r="G18" s="17">
        <v>4</v>
      </c>
      <c r="H18" s="17">
        <f t="shared" ref="H18:H26" si="2">C18*3+D18*2+E18+F18</f>
        <v>0</v>
      </c>
      <c r="I18" s="17">
        <v>7</v>
      </c>
      <c r="J18" s="17">
        <v>34</v>
      </c>
      <c r="K18" s="17">
        <f t="shared" ref="K18:K26" si="3">I18-J18</f>
        <v>-27</v>
      </c>
      <c r="L18" s="58" t="s">
        <v>1296</v>
      </c>
    </row>
    <row r="19" spans="1:12" x14ac:dyDescent="0.25">
      <c r="A19" t="s">
        <v>313</v>
      </c>
      <c r="B19" s="17">
        <v>2</v>
      </c>
      <c r="C19" s="17">
        <v>0</v>
      </c>
      <c r="D19" s="17">
        <v>0</v>
      </c>
      <c r="E19" s="17">
        <v>0</v>
      </c>
      <c r="F19" s="17">
        <v>0</v>
      </c>
      <c r="G19" s="17">
        <v>2</v>
      </c>
      <c r="H19" s="17">
        <f t="shared" si="2"/>
        <v>0</v>
      </c>
      <c r="I19" s="17">
        <v>6</v>
      </c>
      <c r="J19" s="17">
        <v>13</v>
      </c>
      <c r="K19" s="17">
        <f t="shared" si="3"/>
        <v>-7</v>
      </c>
      <c r="L19" s="58" t="s">
        <v>1049</v>
      </c>
    </row>
    <row r="20" spans="1:12" x14ac:dyDescent="0.25">
      <c r="A20" t="s">
        <v>351</v>
      </c>
      <c r="B20" s="17">
        <v>1</v>
      </c>
      <c r="C20" s="17">
        <v>1</v>
      </c>
      <c r="D20" s="17">
        <v>0</v>
      </c>
      <c r="E20" s="17">
        <v>0</v>
      </c>
      <c r="F20" s="17">
        <v>0</v>
      </c>
      <c r="G20" s="17">
        <v>0</v>
      </c>
      <c r="H20" s="17">
        <f t="shared" si="2"/>
        <v>3</v>
      </c>
      <c r="I20" s="17">
        <v>4</v>
      </c>
      <c r="J20" s="17">
        <v>1</v>
      </c>
      <c r="K20" s="17">
        <f t="shared" si="3"/>
        <v>3</v>
      </c>
      <c r="L20" s="58" t="s">
        <v>1693</v>
      </c>
    </row>
    <row r="21" spans="1:12" x14ac:dyDescent="0.25">
      <c r="A21" t="s">
        <v>138</v>
      </c>
      <c r="B21" s="17">
        <v>2</v>
      </c>
      <c r="C21" s="17">
        <v>0</v>
      </c>
      <c r="D21" s="17">
        <v>0</v>
      </c>
      <c r="E21" s="17">
        <v>0</v>
      </c>
      <c r="F21" s="17">
        <v>0</v>
      </c>
      <c r="G21" s="17">
        <v>2</v>
      </c>
      <c r="H21" s="17">
        <f t="shared" si="2"/>
        <v>0</v>
      </c>
      <c r="I21" s="17">
        <v>7</v>
      </c>
      <c r="J21" s="17">
        <v>16</v>
      </c>
      <c r="K21" s="17">
        <f t="shared" si="3"/>
        <v>-9</v>
      </c>
      <c r="L21" s="58" t="s">
        <v>1365</v>
      </c>
    </row>
    <row r="22" spans="1:12" x14ac:dyDescent="0.25">
      <c r="A22" t="s">
        <v>362</v>
      </c>
      <c r="B22" s="17">
        <v>1</v>
      </c>
      <c r="C22" s="17">
        <v>0</v>
      </c>
      <c r="D22" s="17">
        <v>0</v>
      </c>
      <c r="E22" s="17">
        <v>0</v>
      </c>
      <c r="F22" s="17">
        <v>0</v>
      </c>
      <c r="G22" s="17">
        <v>1</v>
      </c>
      <c r="H22" s="17">
        <f t="shared" si="2"/>
        <v>0</v>
      </c>
      <c r="I22" s="17">
        <v>1</v>
      </c>
      <c r="J22" s="17">
        <v>6</v>
      </c>
      <c r="K22" s="17">
        <f t="shared" si="3"/>
        <v>-5</v>
      </c>
      <c r="L22" s="58" t="s">
        <v>1718</v>
      </c>
    </row>
    <row r="23" spans="1:12" x14ac:dyDescent="0.25">
      <c r="A23" t="s">
        <v>303</v>
      </c>
      <c r="B23" s="17">
        <v>1</v>
      </c>
      <c r="C23" s="17">
        <v>1</v>
      </c>
      <c r="D23" s="17">
        <v>0</v>
      </c>
      <c r="E23" s="17">
        <v>0</v>
      </c>
      <c r="F23" s="17">
        <v>0</v>
      </c>
      <c r="G23" s="17">
        <v>0</v>
      </c>
      <c r="H23" s="17">
        <f t="shared" si="2"/>
        <v>3</v>
      </c>
      <c r="I23" s="17">
        <v>5</v>
      </c>
      <c r="J23" s="17">
        <v>1</v>
      </c>
      <c r="K23" s="17">
        <f t="shared" si="3"/>
        <v>4</v>
      </c>
      <c r="L23" s="58" t="s">
        <v>1047</v>
      </c>
    </row>
    <row r="24" spans="1:12" x14ac:dyDescent="0.25">
      <c r="A24" t="s">
        <v>1166</v>
      </c>
      <c r="B24" s="17">
        <v>2</v>
      </c>
      <c r="C24" s="17">
        <v>1</v>
      </c>
      <c r="D24" s="17">
        <v>0</v>
      </c>
      <c r="E24" s="17">
        <v>0</v>
      </c>
      <c r="F24" s="17">
        <v>0</v>
      </c>
      <c r="G24" s="17">
        <v>1</v>
      </c>
      <c r="H24" s="17">
        <f t="shared" si="2"/>
        <v>3</v>
      </c>
      <c r="I24" s="17">
        <v>11</v>
      </c>
      <c r="J24" s="17">
        <v>7</v>
      </c>
      <c r="K24" s="17">
        <f t="shared" si="3"/>
        <v>4</v>
      </c>
      <c r="L24" s="58" t="s">
        <v>1272</v>
      </c>
    </row>
    <row r="25" spans="1:12" x14ac:dyDescent="0.25">
      <c r="A25" t="s">
        <v>1164</v>
      </c>
      <c r="B25" s="17">
        <v>2</v>
      </c>
      <c r="C25" s="17">
        <v>0</v>
      </c>
      <c r="D25" s="17">
        <v>0</v>
      </c>
      <c r="E25" s="17">
        <v>0</v>
      </c>
      <c r="F25" s="17">
        <v>0</v>
      </c>
      <c r="G25" s="17">
        <v>2</v>
      </c>
      <c r="H25" s="17">
        <f t="shared" si="2"/>
        <v>0</v>
      </c>
      <c r="I25" s="17">
        <v>9</v>
      </c>
      <c r="J25" s="17">
        <v>24</v>
      </c>
      <c r="K25" s="17">
        <f t="shared" si="3"/>
        <v>-15</v>
      </c>
      <c r="L25" s="58" t="s">
        <v>1303</v>
      </c>
    </row>
    <row r="26" spans="1:12" x14ac:dyDescent="0.25">
      <c r="A26" t="s">
        <v>161</v>
      </c>
      <c r="B26" s="17">
        <v>2</v>
      </c>
      <c r="C26" s="17">
        <v>1</v>
      </c>
      <c r="D26" s="17">
        <v>0</v>
      </c>
      <c r="E26" s="17">
        <v>0</v>
      </c>
      <c r="F26" s="17">
        <v>0</v>
      </c>
      <c r="G26" s="17">
        <v>1</v>
      </c>
      <c r="H26" s="17">
        <f t="shared" si="2"/>
        <v>3</v>
      </c>
      <c r="I26" s="17">
        <v>9</v>
      </c>
      <c r="J26" s="17">
        <v>11</v>
      </c>
      <c r="K26" s="17">
        <f t="shared" si="3"/>
        <v>-2</v>
      </c>
      <c r="L26" s="58" t="s">
        <v>1114</v>
      </c>
    </row>
  </sheetData>
  <sortState xmlns:xlrd2="http://schemas.microsoft.com/office/spreadsheetml/2017/richdata2" ref="A2:L26">
    <sortCondition ref="A2:A26"/>
  </sortState>
  <pageMargins left="0.7" right="0.7" top="0.78740157499999996" bottom="0.78740157499999996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DCC88-B743-4D9F-B44B-518A5270B02F}">
  <dimension ref="A1:O15"/>
  <sheetViews>
    <sheetView workbookViewId="0">
      <pane xSplit="1" topLeftCell="B1" activePane="topRight" state="frozen"/>
      <selection pane="topRight" activeCell="O16" sqref="O16"/>
    </sheetView>
  </sheetViews>
  <sheetFormatPr defaultRowHeight="15" x14ac:dyDescent="0.25"/>
  <cols>
    <col min="1" max="1" width="24.7109375" style="17" bestFit="1" customWidth="1"/>
    <col min="2" max="2" width="8.28515625" style="17" customWidth="1"/>
    <col min="3" max="8" width="9.140625" style="17"/>
    <col min="9" max="9" width="9.140625" style="79"/>
    <col min="10" max="12" width="9.140625" style="17"/>
    <col min="13" max="13" width="31.28515625" style="58" bestFit="1" customWidth="1"/>
    <col min="14" max="14" width="41.140625" style="58" bestFit="1" customWidth="1"/>
    <col min="15" max="15" width="35" style="58" bestFit="1" customWidth="1"/>
  </cols>
  <sheetData>
    <row r="1" spans="1:15" x14ac:dyDescent="0.25">
      <c r="A1" s="18" t="s">
        <v>1309</v>
      </c>
      <c r="B1" s="18" t="s">
        <v>1</v>
      </c>
      <c r="C1" s="18" t="s">
        <v>53</v>
      </c>
      <c r="D1" s="18" t="s">
        <v>287</v>
      </c>
      <c r="E1" s="18" t="s">
        <v>54</v>
      </c>
      <c r="F1" s="18" t="s">
        <v>288</v>
      </c>
      <c r="G1" s="18" t="s">
        <v>55</v>
      </c>
      <c r="H1" s="18" t="s">
        <v>4</v>
      </c>
      <c r="I1" s="78" t="s">
        <v>1344</v>
      </c>
      <c r="J1" s="21" t="s">
        <v>56</v>
      </c>
      <c r="K1" s="21" t="s">
        <v>57</v>
      </c>
      <c r="L1" s="18" t="s">
        <v>101</v>
      </c>
      <c r="M1" s="57" t="s">
        <v>102</v>
      </c>
      <c r="N1" s="21" t="s">
        <v>616</v>
      </c>
      <c r="O1" s="21" t="s">
        <v>617</v>
      </c>
    </row>
    <row r="2" spans="1:15" x14ac:dyDescent="0.25">
      <c r="A2" s="17" t="s">
        <v>1322</v>
      </c>
      <c r="B2" s="17">
        <v>4</v>
      </c>
      <c r="C2" s="17">
        <v>4</v>
      </c>
      <c r="D2" s="17">
        <v>0</v>
      </c>
      <c r="E2" s="17">
        <v>0</v>
      </c>
      <c r="F2" s="17">
        <v>0</v>
      </c>
      <c r="G2" s="17">
        <v>0</v>
      </c>
      <c r="H2" s="17">
        <f t="shared" ref="H2:H15" si="0">C2*3+D2*2+E2+F2</f>
        <v>12</v>
      </c>
      <c r="I2" s="79">
        <f t="shared" ref="I2:I15" si="1">H2*100/(B2*3)</f>
        <v>100</v>
      </c>
      <c r="J2" s="17">
        <v>31</v>
      </c>
      <c r="K2" s="17">
        <v>11</v>
      </c>
      <c r="L2" s="17">
        <f t="shared" ref="L2:L15" si="2">J2-K2</f>
        <v>20</v>
      </c>
      <c r="M2" s="58" t="s">
        <v>1337</v>
      </c>
      <c r="N2" s="58" t="s">
        <v>1323</v>
      </c>
    </row>
    <row r="3" spans="1:15" ht="30" x14ac:dyDescent="0.25">
      <c r="A3" s="17" t="s">
        <v>1310</v>
      </c>
      <c r="B3" s="17">
        <v>10</v>
      </c>
      <c r="C3" s="17">
        <v>7</v>
      </c>
      <c r="D3" s="17">
        <v>0</v>
      </c>
      <c r="E3" s="17">
        <v>0</v>
      </c>
      <c r="F3" s="17">
        <v>0</v>
      </c>
      <c r="G3" s="17">
        <v>3</v>
      </c>
      <c r="H3" s="17">
        <f t="shared" si="0"/>
        <v>21</v>
      </c>
      <c r="I3" s="79">
        <f t="shared" si="1"/>
        <v>70</v>
      </c>
      <c r="J3" s="17">
        <v>54</v>
      </c>
      <c r="K3" s="17">
        <v>44</v>
      </c>
      <c r="L3" s="17">
        <f t="shared" si="2"/>
        <v>10</v>
      </c>
      <c r="M3" s="77" t="s">
        <v>1695</v>
      </c>
      <c r="N3" s="58" t="s">
        <v>1318</v>
      </c>
      <c r="O3" s="58" t="s">
        <v>1317</v>
      </c>
    </row>
    <row r="4" spans="1:15" x14ac:dyDescent="0.25">
      <c r="A4" s="17" t="s">
        <v>235</v>
      </c>
      <c r="B4" s="17">
        <v>2</v>
      </c>
      <c r="C4" s="17">
        <v>1</v>
      </c>
      <c r="D4" s="17">
        <v>0</v>
      </c>
      <c r="E4" s="17">
        <v>0</v>
      </c>
      <c r="F4" s="17">
        <v>0</v>
      </c>
      <c r="G4" s="17">
        <v>1</v>
      </c>
      <c r="H4" s="17">
        <f t="shared" si="0"/>
        <v>3</v>
      </c>
      <c r="I4" s="79">
        <f t="shared" si="1"/>
        <v>50</v>
      </c>
      <c r="J4" s="17">
        <v>15</v>
      </c>
      <c r="K4" s="17">
        <v>12</v>
      </c>
      <c r="L4" s="17">
        <f t="shared" si="2"/>
        <v>3</v>
      </c>
      <c r="M4" s="58" t="s">
        <v>1319</v>
      </c>
      <c r="N4" s="58" t="s">
        <v>1320</v>
      </c>
      <c r="O4" s="58" t="s">
        <v>1321</v>
      </c>
    </row>
    <row r="5" spans="1:15" x14ac:dyDescent="0.25">
      <c r="A5" s="17" t="s">
        <v>1311</v>
      </c>
      <c r="B5" s="17">
        <v>2</v>
      </c>
      <c r="C5" s="17">
        <v>1</v>
      </c>
      <c r="D5" s="17">
        <v>0</v>
      </c>
      <c r="E5" s="17">
        <v>0</v>
      </c>
      <c r="F5" s="17">
        <v>0</v>
      </c>
      <c r="G5" s="17">
        <v>1</v>
      </c>
      <c r="H5" s="17">
        <f t="shared" si="0"/>
        <v>3</v>
      </c>
      <c r="I5" s="79">
        <f t="shared" si="1"/>
        <v>50</v>
      </c>
      <c r="J5" s="17">
        <v>10</v>
      </c>
      <c r="K5" s="17">
        <v>12</v>
      </c>
      <c r="L5" s="17">
        <f t="shared" si="2"/>
        <v>-2</v>
      </c>
      <c r="M5" s="58" t="s">
        <v>1327</v>
      </c>
      <c r="N5" s="58" t="s">
        <v>1328</v>
      </c>
      <c r="O5" s="58" t="s">
        <v>1329</v>
      </c>
    </row>
    <row r="6" spans="1:15" x14ac:dyDescent="0.25">
      <c r="A6" s="17" t="s">
        <v>1635</v>
      </c>
      <c r="B6" s="17">
        <v>2</v>
      </c>
      <c r="C6" s="17">
        <v>1</v>
      </c>
      <c r="D6" s="17">
        <v>0</v>
      </c>
      <c r="E6" s="17">
        <v>0</v>
      </c>
      <c r="F6" s="17">
        <v>0</v>
      </c>
      <c r="G6" s="17">
        <v>1</v>
      </c>
      <c r="H6" s="17">
        <f t="shared" si="0"/>
        <v>3</v>
      </c>
      <c r="I6" s="79">
        <f t="shared" si="1"/>
        <v>50</v>
      </c>
      <c r="J6" s="17">
        <v>4</v>
      </c>
      <c r="K6" s="17">
        <v>8</v>
      </c>
      <c r="L6" s="17">
        <f t="shared" si="2"/>
        <v>-4</v>
      </c>
      <c r="M6" s="58" t="s">
        <v>1719</v>
      </c>
      <c r="N6" s="58" t="s">
        <v>1720</v>
      </c>
      <c r="O6" s="58" t="s">
        <v>1721</v>
      </c>
    </row>
    <row r="7" spans="1:15" x14ac:dyDescent="0.25">
      <c r="A7" s="17" t="s">
        <v>1313</v>
      </c>
      <c r="B7" s="17">
        <v>8</v>
      </c>
      <c r="C7" s="17">
        <v>3</v>
      </c>
      <c r="D7" s="17">
        <v>1</v>
      </c>
      <c r="E7" s="17">
        <v>0</v>
      </c>
      <c r="F7" s="17">
        <v>0</v>
      </c>
      <c r="G7" s="17">
        <v>4</v>
      </c>
      <c r="H7" s="17">
        <f t="shared" si="0"/>
        <v>11</v>
      </c>
      <c r="I7" s="79">
        <f t="shared" si="1"/>
        <v>45.833333333333336</v>
      </c>
      <c r="J7" s="17">
        <v>40</v>
      </c>
      <c r="K7" s="17">
        <v>36</v>
      </c>
      <c r="L7" s="17">
        <f t="shared" si="2"/>
        <v>4</v>
      </c>
      <c r="M7" s="58" t="s">
        <v>1338</v>
      </c>
      <c r="N7" s="58" t="s">
        <v>1325</v>
      </c>
      <c r="O7" s="58" t="s">
        <v>1324</v>
      </c>
    </row>
    <row r="8" spans="1:15" x14ac:dyDescent="0.25">
      <c r="A8" s="17" t="s">
        <v>1330</v>
      </c>
      <c r="B8" s="17">
        <v>4</v>
      </c>
      <c r="C8" s="17">
        <v>1</v>
      </c>
      <c r="D8" s="17">
        <v>1</v>
      </c>
      <c r="E8" s="17">
        <v>0</v>
      </c>
      <c r="F8" s="17">
        <v>0</v>
      </c>
      <c r="G8" s="17">
        <v>2</v>
      </c>
      <c r="H8" s="17">
        <f t="shared" si="0"/>
        <v>5</v>
      </c>
      <c r="I8" s="79">
        <f t="shared" si="1"/>
        <v>41.666666666666664</v>
      </c>
      <c r="J8" s="17">
        <v>9</v>
      </c>
      <c r="K8" s="17">
        <v>24</v>
      </c>
      <c r="L8" s="17">
        <f t="shared" si="2"/>
        <v>-15</v>
      </c>
      <c r="M8" s="58" t="s">
        <v>1339</v>
      </c>
      <c r="N8" s="58" t="s">
        <v>1340</v>
      </c>
      <c r="O8" s="58" t="s">
        <v>1331</v>
      </c>
    </row>
    <row r="9" spans="1:15" x14ac:dyDescent="0.25">
      <c r="A9" s="17" t="s">
        <v>1332</v>
      </c>
      <c r="B9" s="17">
        <v>2</v>
      </c>
      <c r="C9" s="17">
        <v>0</v>
      </c>
      <c r="D9" s="17">
        <v>0</v>
      </c>
      <c r="E9" s="17">
        <v>0</v>
      </c>
      <c r="F9" s="17">
        <v>1</v>
      </c>
      <c r="G9" s="17">
        <v>1</v>
      </c>
      <c r="H9" s="17">
        <f t="shared" si="0"/>
        <v>1</v>
      </c>
      <c r="I9" s="79">
        <f t="shared" si="1"/>
        <v>16.666666666666668</v>
      </c>
      <c r="J9" s="17">
        <v>10</v>
      </c>
      <c r="K9" s="17">
        <v>16</v>
      </c>
      <c r="L9" s="17">
        <f t="shared" si="2"/>
        <v>-6</v>
      </c>
      <c r="M9" s="58" t="s">
        <v>1333</v>
      </c>
      <c r="O9" s="58" t="s">
        <v>1334</v>
      </c>
    </row>
    <row r="10" spans="1:15" x14ac:dyDescent="0.25">
      <c r="A10" s="17" t="s">
        <v>1326</v>
      </c>
      <c r="B10" s="17">
        <v>2</v>
      </c>
      <c r="C10" s="17">
        <v>0</v>
      </c>
      <c r="D10" s="17">
        <v>0</v>
      </c>
      <c r="E10" s="17">
        <v>0</v>
      </c>
      <c r="F10" s="17">
        <v>0</v>
      </c>
      <c r="G10" s="17">
        <v>2</v>
      </c>
      <c r="H10" s="17">
        <f t="shared" si="0"/>
        <v>0</v>
      </c>
      <c r="I10" s="79">
        <f t="shared" si="1"/>
        <v>0</v>
      </c>
      <c r="J10" s="17">
        <v>2</v>
      </c>
      <c r="K10" s="17">
        <v>24</v>
      </c>
      <c r="L10" s="17">
        <f t="shared" si="2"/>
        <v>-22</v>
      </c>
      <c r="M10" s="58" t="s">
        <v>1312</v>
      </c>
      <c r="O10" s="58" t="s">
        <v>1316</v>
      </c>
    </row>
    <row r="11" spans="1:15" x14ac:dyDescent="0.25">
      <c r="A11" s="17" t="s">
        <v>1314</v>
      </c>
      <c r="B11" s="17">
        <v>4</v>
      </c>
      <c r="C11" s="17">
        <v>0</v>
      </c>
      <c r="D11" s="17">
        <v>0</v>
      </c>
      <c r="E11" s="17">
        <v>0</v>
      </c>
      <c r="F11" s="17">
        <v>0</v>
      </c>
      <c r="G11" s="17">
        <v>4</v>
      </c>
      <c r="H11" s="17">
        <f t="shared" si="0"/>
        <v>0</v>
      </c>
      <c r="I11" s="79">
        <f t="shared" si="1"/>
        <v>0</v>
      </c>
      <c r="J11" s="17">
        <v>13</v>
      </c>
      <c r="K11" s="17">
        <v>26</v>
      </c>
      <c r="L11" s="17">
        <f t="shared" si="2"/>
        <v>-13</v>
      </c>
      <c r="M11" s="58" t="s">
        <v>1707</v>
      </c>
      <c r="O11" s="58" t="s">
        <v>1315</v>
      </c>
    </row>
    <row r="12" spans="1:15" x14ac:dyDescent="0.25">
      <c r="A12" s="17" t="s">
        <v>1335</v>
      </c>
      <c r="B12" s="17">
        <v>1</v>
      </c>
      <c r="C12" s="17">
        <v>0</v>
      </c>
      <c r="D12" s="17">
        <v>0</v>
      </c>
      <c r="E12" s="17">
        <v>0</v>
      </c>
      <c r="F12" s="17">
        <v>0</v>
      </c>
      <c r="G12" s="17">
        <v>1</v>
      </c>
      <c r="H12" s="17">
        <f t="shared" si="0"/>
        <v>0</v>
      </c>
      <c r="I12" s="79">
        <f t="shared" si="1"/>
        <v>0</v>
      </c>
      <c r="J12" s="17">
        <v>3</v>
      </c>
      <c r="K12" s="17">
        <v>10</v>
      </c>
      <c r="L12" s="17">
        <f t="shared" si="2"/>
        <v>-7</v>
      </c>
      <c r="M12" s="58" t="s">
        <v>1224</v>
      </c>
      <c r="O12" s="58" t="s">
        <v>1336</v>
      </c>
    </row>
    <row r="13" spans="1:15" x14ac:dyDescent="0.25">
      <c r="A13" s="17" t="s">
        <v>1341</v>
      </c>
      <c r="B13" s="17">
        <v>2</v>
      </c>
      <c r="C13" s="17">
        <v>0</v>
      </c>
      <c r="D13" s="17">
        <v>0</v>
      </c>
      <c r="E13" s="17">
        <v>0</v>
      </c>
      <c r="F13" s="17">
        <v>0</v>
      </c>
      <c r="G13" s="17">
        <v>2</v>
      </c>
      <c r="H13" s="17">
        <f t="shared" si="0"/>
        <v>0</v>
      </c>
      <c r="I13" s="79">
        <f t="shared" si="1"/>
        <v>0</v>
      </c>
      <c r="J13" s="17">
        <v>6</v>
      </c>
      <c r="K13" s="17">
        <v>20</v>
      </c>
      <c r="L13" s="17">
        <f t="shared" si="2"/>
        <v>-14</v>
      </c>
      <c r="M13" s="58" t="s">
        <v>1342</v>
      </c>
      <c r="O13" s="58" t="s">
        <v>1343</v>
      </c>
    </row>
    <row r="14" spans="1:15" x14ac:dyDescent="0.25">
      <c r="A14" s="17" t="s">
        <v>1366</v>
      </c>
      <c r="B14" s="17">
        <v>1</v>
      </c>
      <c r="C14" s="17">
        <v>0</v>
      </c>
      <c r="D14" s="17">
        <v>0</v>
      </c>
      <c r="E14" s="17">
        <v>0</v>
      </c>
      <c r="F14" s="17">
        <v>0</v>
      </c>
      <c r="G14" s="17">
        <v>1</v>
      </c>
      <c r="H14" s="17">
        <f t="shared" si="0"/>
        <v>0</v>
      </c>
      <c r="I14" s="79">
        <f t="shared" si="1"/>
        <v>0</v>
      </c>
      <c r="J14" s="17">
        <v>4</v>
      </c>
      <c r="K14" s="17">
        <v>6</v>
      </c>
      <c r="L14" s="17">
        <f t="shared" si="2"/>
        <v>-2</v>
      </c>
      <c r="M14" s="58" t="s">
        <v>1367</v>
      </c>
      <c r="O14" s="58" t="s">
        <v>1368</v>
      </c>
    </row>
    <row r="15" spans="1:15" x14ac:dyDescent="0.25">
      <c r="A15" s="17" t="s">
        <v>1361</v>
      </c>
      <c r="B15" s="17">
        <v>2</v>
      </c>
      <c r="C15" s="17">
        <v>1</v>
      </c>
      <c r="D15" s="17">
        <v>0</v>
      </c>
      <c r="E15" s="17">
        <v>0</v>
      </c>
      <c r="F15" s="17">
        <v>0</v>
      </c>
      <c r="G15" s="17">
        <v>1</v>
      </c>
      <c r="H15" s="17">
        <f t="shared" si="0"/>
        <v>3</v>
      </c>
      <c r="I15" s="79">
        <f t="shared" si="1"/>
        <v>50</v>
      </c>
      <c r="J15" s="17">
        <v>6</v>
      </c>
      <c r="K15" s="17">
        <v>7</v>
      </c>
      <c r="L15" s="17">
        <f t="shared" si="2"/>
        <v>-1</v>
      </c>
      <c r="M15" s="58" t="s">
        <v>1751</v>
      </c>
      <c r="N15" s="58" t="s">
        <v>1752</v>
      </c>
      <c r="O15" s="58" t="s">
        <v>1753</v>
      </c>
    </row>
  </sheetData>
  <sortState xmlns:xlrd2="http://schemas.microsoft.com/office/spreadsheetml/2017/richdata2" ref="A2:O14">
    <sortCondition descending="1" ref="I2:I14"/>
  </sortState>
  <pageMargins left="0.7" right="0.7" top="0.78740157499999996" bottom="0.78740157499999996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AA84"/>
  <sheetViews>
    <sheetView zoomScaleNormal="100" workbookViewId="0">
      <selection activeCell="K10" sqref="K10"/>
    </sheetView>
  </sheetViews>
  <sheetFormatPr defaultRowHeight="15" x14ac:dyDescent="0.25"/>
  <cols>
    <col min="1" max="1" width="8.140625" customWidth="1"/>
    <col min="2" max="2" width="3" bestFit="1" customWidth="1"/>
    <col min="3" max="3" width="2.7109375" customWidth="1"/>
    <col min="4" max="4" width="22" bestFit="1" customWidth="1"/>
    <col min="5" max="5" width="5.140625" style="17" customWidth="1"/>
    <col min="6" max="6" width="5.85546875" style="17" customWidth="1"/>
    <col min="7" max="7" width="6.140625" style="17" customWidth="1"/>
    <col min="8" max="8" width="6" style="31" customWidth="1"/>
    <col min="9" max="9" width="5.5703125" style="17" customWidth="1"/>
    <col min="10" max="10" width="8.28515625" style="17" customWidth="1"/>
    <col min="11" max="11" width="6.85546875" style="17" customWidth="1"/>
    <col min="12" max="12" width="5.85546875" style="17" customWidth="1"/>
    <col min="13" max="13" width="7.28515625" style="17" customWidth="1"/>
    <col min="14" max="15" width="6.7109375" style="17" customWidth="1"/>
    <col min="16" max="16" width="6.85546875" style="17" customWidth="1"/>
    <col min="18" max="18" width="11.140625" customWidth="1"/>
    <col min="19" max="19" width="17.42578125" customWidth="1"/>
    <col min="20" max="20" width="16.7109375" customWidth="1"/>
    <col min="21" max="21" width="20.28515625" customWidth="1"/>
    <col min="22" max="22" width="19.7109375" bestFit="1" customWidth="1"/>
    <col min="23" max="23" width="15.28515625" bestFit="1" customWidth="1"/>
  </cols>
  <sheetData>
    <row r="3" spans="2:27" x14ac:dyDescent="0.25">
      <c r="D3" s="1" t="s">
        <v>412</v>
      </c>
    </row>
    <row r="6" spans="2:27" x14ac:dyDescent="0.25">
      <c r="D6" s="8" t="s">
        <v>0</v>
      </c>
      <c r="E6" s="18" t="s">
        <v>1</v>
      </c>
      <c r="F6" s="18" t="s">
        <v>2</v>
      </c>
      <c r="G6" s="18" t="s">
        <v>3</v>
      </c>
      <c r="H6" s="32" t="s">
        <v>4</v>
      </c>
      <c r="I6" s="18" t="s">
        <v>5</v>
      </c>
      <c r="J6" s="18" t="s">
        <v>38</v>
      </c>
      <c r="K6" s="18" t="s">
        <v>41</v>
      </c>
      <c r="L6" s="18" t="s">
        <v>42</v>
      </c>
      <c r="M6" s="18" t="s">
        <v>45</v>
      </c>
      <c r="N6" s="18" t="s">
        <v>46</v>
      </c>
      <c r="O6" s="18" t="s">
        <v>44</v>
      </c>
      <c r="P6" s="18" t="s">
        <v>43</v>
      </c>
      <c r="T6" s="8" t="s">
        <v>1</v>
      </c>
      <c r="U6" s="8" t="s">
        <v>53</v>
      </c>
      <c r="V6" s="8" t="s">
        <v>54</v>
      </c>
      <c r="W6" s="8" t="s">
        <v>55</v>
      </c>
      <c r="X6" s="8" t="s">
        <v>4</v>
      </c>
      <c r="Y6" s="8" t="s">
        <v>56</v>
      </c>
      <c r="Z6" s="8" t="s">
        <v>57</v>
      </c>
      <c r="AA6" s="8" t="s">
        <v>58</v>
      </c>
    </row>
    <row r="7" spans="2:27" x14ac:dyDescent="0.25">
      <c r="B7" s="9">
        <v>1</v>
      </c>
      <c r="D7" t="s">
        <v>13</v>
      </c>
      <c r="E7" s="17">
        <v>15</v>
      </c>
      <c r="F7" s="17">
        <v>18</v>
      </c>
      <c r="G7" s="17">
        <v>14</v>
      </c>
      <c r="H7" s="31">
        <f t="shared" ref="H7:H27" si="0">F7+G7</f>
        <v>32</v>
      </c>
      <c r="I7" s="17">
        <v>6</v>
      </c>
      <c r="J7" s="25">
        <f t="shared" ref="J7:J27" si="1">H7/E7</f>
        <v>2.1333333333333333</v>
      </c>
      <c r="K7" s="17">
        <v>0</v>
      </c>
      <c r="L7" s="17">
        <v>3</v>
      </c>
      <c r="M7" s="17">
        <v>1</v>
      </c>
      <c r="N7" s="17">
        <v>0</v>
      </c>
      <c r="O7" s="17">
        <v>0</v>
      </c>
      <c r="P7" s="17">
        <v>0</v>
      </c>
      <c r="S7" s="8" t="s">
        <v>50</v>
      </c>
      <c r="T7">
        <v>15</v>
      </c>
      <c r="U7">
        <v>3</v>
      </c>
      <c r="V7">
        <v>1</v>
      </c>
      <c r="W7">
        <v>11</v>
      </c>
      <c r="X7">
        <f>(3*U7)+V7</f>
        <v>10</v>
      </c>
      <c r="Y7">
        <v>77</v>
      </c>
      <c r="Z7">
        <v>123</v>
      </c>
      <c r="AA7">
        <f>Y7-Z7</f>
        <v>-46</v>
      </c>
    </row>
    <row r="8" spans="2:27" x14ac:dyDescent="0.25">
      <c r="B8" s="9">
        <v>2</v>
      </c>
      <c r="D8" t="s">
        <v>30</v>
      </c>
      <c r="E8" s="17">
        <v>15</v>
      </c>
      <c r="F8" s="17">
        <v>13</v>
      </c>
      <c r="G8" s="17">
        <v>10</v>
      </c>
      <c r="H8" s="31">
        <f t="shared" si="0"/>
        <v>23</v>
      </c>
      <c r="I8" s="17">
        <v>4</v>
      </c>
      <c r="J8" s="25">
        <f t="shared" si="1"/>
        <v>1.5333333333333334</v>
      </c>
      <c r="K8" s="17">
        <v>1</v>
      </c>
      <c r="L8" s="17">
        <v>0</v>
      </c>
      <c r="M8" s="17">
        <v>1</v>
      </c>
      <c r="N8" s="17">
        <v>0</v>
      </c>
      <c r="O8" s="17">
        <v>0</v>
      </c>
      <c r="P8" s="17">
        <v>0</v>
      </c>
      <c r="T8" s="8" t="s">
        <v>61</v>
      </c>
      <c r="U8" s="8" t="s">
        <v>68</v>
      </c>
      <c r="V8" s="8" t="s">
        <v>63</v>
      </c>
      <c r="W8" s="8" t="s">
        <v>64</v>
      </c>
    </row>
    <row r="9" spans="2:27" x14ac:dyDescent="0.25">
      <c r="B9" s="9">
        <v>3</v>
      </c>
      <c r="D9" t="s">
        <v>7</v>
      </c>
      <c r="E9" s="17">
        <v>13</v>
      </c>
      <c r="F9" s="17">
        <v>10</v>
      </c>
      <c r="G9" s="17">
        <v>8</v>
      </c>
      <c r="H9" s="31">
        <f t="shared" si="0"/>
        <v>18</v>
      </c>
      <c r="I9" s="17">
        <v>0</v>
      </c>
      <c r="J9" s="25">
        <f t="shared" si="1"/>
        <v>1.3846153846153846</v>
      </c>
      <c r="K9" s="17">
        <v>0</v>
      </c>
      <c r="L9" s="17">
        <v>0</v>
      </c>
      <c r="M9" s="17">
        <v>1</v>
      </c>
      <c r="N9" s="17">
        <v>0</v>
      </c>
      <c r="O9" s="17">
        <v>0</v>
      </c>
      <c r="P9" s="17">
        <v>0</v>
      </c>
      <c r="S9" s="8" t="s">
        <v>51</v>
      </c>
      <c r="T9" s="3">
        <v>23</v>
      </c>
      <c r="U9" s="3">
        <v>6</v>
      </c>
      <c r="V9" s="4">
        <f>100*U9/T9</f>
        <v>26.086956521739129</v>
      </c>
      <c r="W9" s="3">
        <v>4</v>
      </c>
    </row>
    <row r="10" spans="2:27" x14ac:dyDescent="0.25">
      <c r="B10" s="9">
        <v>4</v>
      </c>
      <c r="D10" t="s">
        <v>39</v>
      </c>
      <c r="E10" s="17">
        <v>7</v>
      </c>
      <c r="F10" s="17">
        <v>7</v>
      </c>
      <c r="G10" s="17">
        <v>6</v>
      </c>
      <c r="H10" s="31">
        <f t="shared" si="0"/>
        <v>13</v>
      </c>
      <c r="I10" s="17">
        <v>0</v>
      </c>
      <c r="J10" s="25">
        <f t="shared" si="1"/>
        <v>1.8571428571428572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T10" s="8" t="s">
        <v>65</v>
      </c>
      <c r="U10" s="8" t="s">
        <v>64</v>
      </c>
      <c r="V10" s="8" t="s">
        <v>66</v>
      </c>
      <c r="W10" s="8" t="s">
        <v>67</v>
      </c>
    </row>
    <row r="11" spans="2:27" x14ac:dyDescent="0.25">
      <c r="B11" s="9">
        <v>5</v>
      </c>
      <c r="D11" t="s">
        <v>8</v>
      </c>
      <c r="E11" s="17">
        <v>10</v>
      </c>
      <c r="F11" s="17">
        <v>5</v>
      </c>
      <c r="G11" s="17">
        <v>8</v>
      </c>
      <c r="H11" s="31">
        <f t="shared" si="0"/>
        <v>13</v>
      </c>
      <c r="I11" s="17">
        <v>12</v>
      </c>
      <c r="J11" s="25">
        <f t="shared" si="1"/>
        <v>1.3</v>
      </c>
      <c r="K11" s="17">
        <v>1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S11" s="8" t="s">
        <v>52</v>
      </c>
      <c r="T11" s="3">
        <v>19</v>
      </c>
      <c r="U11" s="3">
        <v>9</v>
      </c>
      <c r="V11" s="4">
        <f>100-(100*U11/T11)</f>
        <v>52.631578947368418</v>
      </c>
      <c r="W11" s="3">
        <v>3</v>
      </c>
    </row>
    <row r="12" spans="2:27" x14ac:dyDescent="0.25">
      <c r="B12" s="9">
        <v>6</v>
      </c>
      <c r="D12" t="s">
        <v>10</v>
      </c>
      <c r="E12" s="17">
        <v>14</v>
      </c>
      <c r="F12" s="17">
        <v>5</v>
      </c>
      <c r="G12" s="17">
        <v>8</v>
      </c>
      <c r="H12" s="31">
        <f t="shared" si="0"/>
        <v>13</v>
      </c>
      <c r="I12" s="17">
        <v>2</v>
      </c>
      <c r="J12" s="25">
        <f t="shared" si="1"/>
        <v>0.9285714285714286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</row>
    <row r="13" spans="2:27" x14ac:dyDescent="0.25">
      <c r="B13" s="9">
        <v>7</v>
      </c>
      <c r="D13" t="s">
        <v>324</v>
      </c>
      <c r="E13" s="17">
        <v>10</v>
      </c>
      <c r="F13" s="17">
        <v>6</v>
      </c>
      <c r="G13" s="17">
        <v>3</v>
      </c>
      <c r="H13" s="31">
        <f t="shared" si="0"/>
        <v>9</v>
      </c>
      <c r="I13" s="17">
        <v>2</v>
      </c>
      <c r="J13" s="25">
        <f t="shared" si="1"/>
        <v>0.9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1</v>
      </c>
    </row>
    <row r="14" spans="2:27" x14ac:dyDescent="0.25">
      <c r="B14" s="9">
        <v>8</v>
      </c>
      <c r="D14" t="s">
        <v>356</v>
      </c>
      <c r="E14" s="17">
        <v>4</v>
      </c>
      <c r="F14" s="17">
        <v>4</v>
      </c>
      <c r="G14" s="17">
        <v>3</v>
      </c>
      <c r="H14" s="31">
        <f t="shared" si="0"/>
        <v>7</v>
      </c>
      <c r="I14" s="17">
        <v>4</v>
      </c>
      <c r="J14" s="25">
        <f t="shared" si="1"/>
        <v>1.75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</row>
    <row r="15" spans="2:27" x14ac:dyDescent="0.25">
      <c r="B15" s="9">
        <v>9</v>
      </c>
      <c r="D15" t="s">
        <v>9</v>
      </c>
      <c r="E15" s="17">
        <v>4</v>
      </c>
      <c r="F15" s="17">
        <v>1</v>
      </c>
      <c r="G15" s="17">
        <v>3</v>
      </c>
      <c r="H15" s="31">
        <f t="shared" si="0"/>
        <v>4</v>
      </c>
      <c r="I15" s="17">
        <v>2</v>
      </c>
      <c r="J15" s="25">
        <f t="shared" si="1"/>
        <v>1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</row>
    <row r="16" spans="2:27" x14ac:dyDescent="0.25">
      <c r="B16" s="9">
        <v>10</v>
      </c>
      <c r="D16" t="s">
        <v>14</v>
      </c>
      <c r="E16" s="17">
        <v>7</v>
      </c>
      <c r="F16" s="17">
        <v>2</v>
      </c>
      <c r="G16" s="17">
        <v>1</v>
      </c>
      <c r="H16" s="31">
        <f t="shared" si="0"/>
        <v>3</v>
      </c>
      <c r="I16" s="17">
        <v>0</v>
      </c>
      <c r="J16" s="25">
        <f t="shared" si="1"/>
        <v>0.42857142857142855</v>
      </c>
      <c r="K16" s="17">
        <v>1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</row>
    <row r="17" spans="2:16" x14ac:dyDescent="0.25">
      <c r="B17" s="9">
        <v>11</v>
      </c>
      <c r="D17" t="s">
        <v>12</v>
      </c>
      <c r="E17" s="17">
        <v>10</v>
      </c>
      <c r="F17" s="17">
        <v>2</v>
      </c>
      <c r="G17" s="17">
        <v>0</v>
      </c>
      <c r="H17" s="31">
        <f t="shared" si="0"/>
        <v>2</v>
      </c>
      <c r="I17" s="17">
        <v>2</v>
      </c>
      <c r="J17" s="25">
        <f t="shared" si="1"/>
        <v>0.2</v>
      </c>
      <c r="K17" s="17">
        <v>2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</row>
    <row r="18" spans="2:16" x14ac:dyDescent="0.25">
      <c r="B18" s="9">
        <v>12</v>
      </c>
      <c r="D18" t="s">
        <v>16</v>
      </c>
      <c r="E18" s="17">
        <v>7</v>
      </c>
      <c r="F18" s="17">
        <v>1</v>
      </c>
      <c r="G18" s="17">
        <v>1</v>
      </c>
      <c r="H18" s="31">
        <f t="shared" si="0"/>
        <v>2</v>
      </c>
      <c r="I18" s="17">
        <v>6</v>
      </c>
      <c r="J18" s="25">
        <f t="shared" si="1"/>
        <v>0.2857142857142857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</row>
    <row r="19" spans="2:16" x14ac:dyDescent="0.25">
      <c r="B19" s="9">
        <v>13</v>
      </c>
      <c r="D19" t="s">
        <v>35</v>
      </c>
      <c r="E19" s="17">
        <v>2</v>
      </c>
      <c r="F19" s="17">
        <v>1</v>
      </c>
      <c r="G19" s="17">
        <v>0</v>
      </c>
      <c r="H19" s="31">
        <f t="shared" si="0"/>
        <v>1</v>
      </c>
      <c r="I19" s="17">
        <v>0</v>
      </c>
      <c r="J19" s="25">
        <f t="shared" si="1"/>
        <v>0.5</v>
      </c>
      <c r="K19" s="17">
        <v>1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</row>
    <row r="20" spans="2:16" x14ac:dyDescent="0.25">
      <c r="B20" s="9">
        <v>14</v>
      </c>
      <c r="D20" t="s">
        <v>437</v>
      </c>
      <c r="E20" s="17">
        <v>3</v>
      </c>
      <c r="F20" s="17">
        <v>1</v>
      </c>
      <c r="G20" s="17">
        <v>0</v>
      </c>
      <c r="H20" s="31">
        <f t="shared" si="0"/>
        <v>1</v>
      </c>
      <c r="I20" s="17">
        <v>0</v>
      </c>
      <c r="J20" s="25">
        <f t="shared" si="1"/>
        <v>0.33333333333333331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</row>
    <row r="21" spans="2:16" x14ac:dyDescent="0.25">
      <c r="B21" s="9">
        <v>15</v>
      </c>
      <c r="D21" t="s">
        <v>225</v>
      </c>
      <c r="E21" s="17">
        <v>11</v>
      </c>
      <c r="F21" s="17">
        <v>1</v>
      </c>
      <c r="G21" s="17">
        <v>0</v>
      </c>
      <c r="H21" s="31">
        <f t="shared" si="0"/>
        <v>1</v>
      </c>
      <c r="I21" s="17">
        <v>2</v>
      </c>
      <c r="J21" s="25">
        <f t="shared" si="1"/>
        <v>9.0909090909090912E-2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</row>
    <row r="22" spans="2:16" x14ac:dyDescent="0.25">
      <c r="B22" s="9">
        <v>16</v>
      </c>
      <c r="D22" t="s">
        <v>18</v>
      </c>
      <c r="E22" s="17">
        <v>2</v>
      </c>
      <c r="F22" s="17">
        <v>0</v>
      </c>
      <c r="G22" s="17">
        <v>1</v>
      </c>
      <c r="H22" s="31">
        <f t="shared" si="0"/>
        <v>1</v>
      </c>
      <c r="I22" s="17">
        <v>0</v>
      </c>
      <c r="J22" s="25">
        <f t="shared" si="1"/>
        <v>0.5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</row>
    <row r="23" spans="2:16" x14ac:dyDescent="0.25">
      <c r="B23" s="9">
        <v>17</v>
      </c>
      <c r="D23" t="s">
        <v>438</v>
      </c>
      <c r="E23" s="17">
        <v>3</v>
      </c>
      <c r="F23" s="17">
        <v>0</v>
      </c>
      <c r="G23" s="17">
        <v>1</v>
      </c>
      <c r="H23" s="31">
        <f t="shared" si="0"/>
        <v>1</v>
      </c>
      <c r="I23" s="17">
        <v>0</v>
      </c>
      <c r="J23" s="25">
        <f t="shared" si="1"/>
        <v>0.33333333333333331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</row>
    <row r="24" spans="2:16" x14ac:dyDescent="0.25">
      <c r="B24" s="9">
        <v>18</v>
      </c>
      <c r="D24" t="s">
        <v>75</v>
      </c>
      <c r="E24" s="17">
        <v>15</v>
      </c>
      <c r="F24" s="17">
        <v>0</v>
      </c>
      <c r="G24" s="17">
        <v>1</v>
      </c>
      <c r="H24" s="31">
        <f t="shared" si="0"/>
        <v>1</v>
      </c>
      <c r="I24" s="17">
        <v>0</v>
      </c>
      <c r="J24" s="25">
        <f t="shared" si="1"/>
        <v>6.6666666666666666E-2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</row>
    <row r="25" spans="2:16" x14ac:dyDescent="0.25">
      <c r="B25" s="9">
        <v>19</v>
      </c>
      <c r="D25" t="s">
        <v>34</v>
      </c>
      <c r="E25" s="17">
        <v>3</v>
      </c>
      <c r="F25" s="17">
        <v>0</v>
      </c>
      <c r="G25" s="17">
        <v>0</v>
      </c>
      <c r="H25" s="31">
        <f t="shared" si="0"/>
        <v>0</v>
      </c>
      <c r="I25" s="17">
        <v>0</v>
      </c>
      <c r="J25" s="25">
        <f t="shared" si="1"/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</row>
    <row r="26" spans="2:16" x14ac:dyDescent="0.25">
      <c r="B26" s="9">
        <v>20</v>
      </c>
      <c r="D26" t="s">
        <v>17</v>
      </c>
      <c r="E26" s="17">
        <v>2</v>
      </c>
      <c r="F26" s="17">
        <v>0</v>
      </c>
      <c r="G26" s="17">
        <v>0</v>
      </c>
      <c r="H26" s="31">
        <f t="shared" si="0"/>
        <v>0</v>
      </c>
      <c r="I26" s="17">
        <v>0</v>
      </c>
      <c r="J26" s="25">
        <f t="shared" si="1"/>
        <v>0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</row>
    <row r="27" spans="2:16" x14ac:dyDescent="0.25">
      <c r="B27" s="9">
        <v>21</v>
      </c>
      <c r="D27" t="s">
        <v>358</v>
      </c>
      <c r="E27" s="17">
        <v>7</v>
      </c>
      <c r="F27" s="17">
        <v>0</v>
      </c>
      <c r="G27" s="17">
        <v>0</v>
      </c>
      <c r="H27" s="31">
        <f t="shared" si="0"/>
        <v>0</v>
      </c>
      <c r="I27" s="17">
        <v>0</v>
      </c>
      <c r="J27" s="25">
        <f t="shared" si="1"/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</row>
    <row r="29" spans="2:16" x14ac:dyDescent="0.25">
      <c r="D29" t="s">
        <v>47</v>
      </c>
    </row>
    <row r="32" spans="2:16" x14ac:dyDescent="0.25">
      <c r="D32" s="1" t="s">
        <v>473</v>
      </c>
    </row>
    <row r="34" spans="2:16" x14ac:dyDescent="0.25">
      <c r="D34" s="8" t="s">
        <v>0</v>
      </c>
      <c r="E34" s="18" t="s">
        <v>1</v>
      </c>
      <c r="F34" s="18" t="s">
        <v>2</v>
      </c>
      <c r="G34" s="18" t="s">
        <v>3</v>
      </c>
      <c r="H34" s="32" t="s">
        <v>4</v>
      </c>
      <c r="I34" s="18" t="s">
        <v>5</v>
      </c>
      <c r="J34" s="18" t="s">
        <v>38</v>
      </c>
      <c r="K34" s="18" t="s">
        <v>41</v>
      </c>
      <c r="L34" s="18" t="s">
        <v>42</v>
      </c>
      <c r="M34" s="18" t="s">
        <v>45</v>
      </c>
      <c r="N34" s="18" t="s">
        <v>46</v>
      </c>
      <c r="O34" s="18" t="s">
        <v>44</v>
      </c>
      <c r="P34" s="18" t="s">
        <v>43</v>
      </c>
    </row>
    <row r="35" spans="2:16" x14ac:dyDescent="0.25">
      <c r="B35" s="9">
        <v>1</v>
      </c>
      <c r="D35" s="5" t="s">
        <v>30</v>
      </c>
      <c r="E35" s="24">
        <v>5</v>
      </c>
      <c r="F35" s="24">
        <v>3</v>
      </c>
      <c r="G35" s="24">
        <v>5</v>
      </c>
      <c r="H35" s="33">
        <f t="shared" ref="H35:H51" si="2">F35+G35</f>
        <v>8</v>
      </c>
      <c r="I35" s="24">
        <v>2</v>
      </c>
      <c r="J35" s="26">
        <f t="shared" ref="J35:J51" si="3">H35/E35</f>
        <v>1.6</v>
      </c>
      <c r="K35" s="24">
        <v>1</v>
      </c>
      <c r="L35" s="24">
        <v>0</v>
      </c>
      <c r="M35" s="24">
        <v>1</v>
      </c>
      <c r="N35" s="24">
        <v>0</v>
      </c>
      <c r="O35" s="24">
        <v>0</v>
      </c>
      <c r="P35" s="24">
        <v>0</v>
      </c>
    </row>
    <row r="36" spans="2:16" x14ac:dyDescent="0.25">
      <c r="B36" s="9">
        <v>2</v>
      </c>
      <c r="D36" s="5" t="s">
        <v>356</v>
      </c>
      <c r="E36" s="24">
        <v>4</v>
      </c>
      <c r="F36" s="24">
        <v>4</v>
      </c>
      <c r="G36" s="24">
        <v>3</v>
      </c>
      <c r="H36" s="33">
        <f t="shared" si="2"/>
        <v>7</v>
      </c>
      <c r="I36" s="24">
        <v>4</v>
      </c>
      <c r="J36" s="26">
        <f t="shared" si="3"/>
        <v>1.75</v>
      </c>
      <c r="K36" s="24">
        <v>0</v>
      </c>
      <c r="L36" s="24">
        <v>0</v>
      </c>
      <c r="M36" s="24">
        <v>0</v>
      </c>
      <c r="N36" s="24">
        <v>0</v>
      </c>
      <c r="O36" s="24">
        <v>0</v>
      </c>
      <c r="P36" s="24">
        <v>0</v>
      </c>
    </row>
    <row r="37" spans="2:16" x14ac:dyDescent="0.25">
      <c r="B37" s="9">
        <v>3</v>
      </c>
      <c r="D37" s="5" t="s">
        <v>7</v>
      </c>
      <c r="E37" s="24">
        <v>5</v>
      </c>
      <c r="F37" s="24">
        <v>4</v>
      </c>
      <c r="G37" s="24">
        <v>3</v>
      </c>
      <c r="H37" s="33">
        <f t="shared" si="2"/>
        <v>7</v>
      </c>
      <c r="I37" s="24">
        <v>0</v>
      </c>
      <c r="J37" s="26">
        <f t="shared" si="3"/>
        <v>1.4</v>
      </c>
      <c r="K37" s="24">
        <v>0</v>
      </c>
      <c r="L37" s="24">
        <v>0</v>
      </c>
      <c r="M37" s="24">
        <v>0</v>
      </c>
      <c r="N37" s="24">
        <v>0</v>
      </c>
      <c r="O37" s="24">
        <v>0</v>
      </c>
      <c r="P37" s="24">
        <v>0</v>
      </c>
    </row>
    <row r="38" spans="2:16" x14ac:dyDescent="0.25">
      <c r="B38" s="9">
        <v>4</v>
      </c>
      <c r="D38" s="5" t="s">
        <v>13</v>
      </c>
      <c r="E38" s="24">
        <v>5</v>
      </c>
      <c r="F38" s="24">
        <v>3</v>
      </c>
      <c r="G38" s="24">
        <v>4</v>
      </c>
      <c r="H38" s="33">
        <f t="shared" si="2"/>
        <v>7</v>
      </c>
      <c r="I38" s="24">
        <v>0</v>
      </c>
      <c r="J38" s="26">
        <f t="shared" si="3"/>
        <v>1.4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</row>
    <row r="39" spans="2:16" x14ac:dyDescent="0.25">
      <c r="B39" s="9">
        <v>5</v>
      </c>
      <c r="D39" s="5" t="s">
        <v>10</v>
      </c>
      <c r="E39" s="24">
        <v>4</v>
      </c>
      <c r="F39" s="24">
        <v>3</v>
      </c>
      <c r="G39" s="24">
        <v>2</v>
      </c>
      <c r="H39" s="33">
        <f t="shared" si="2"/>
        <v>5</v>
      </c>
      <c r="I39" s="24">
        <v>0</v>
      </c>
      <c r="J39" s="26">
        <f t="shared" si="3"/>
        <v>1.25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</row>
    <row r="40" spans="2:16" x14ac:dyDescent="0.25">
      <c r="B40" s="9">
        <v>6</v>
      </c>
      <c r="D40" s="5" t="s">
        <v>8</v>
      </c>
      <c r="E40" s="24">
        <v>4</v>
      </c>
      <c r="F40" s="24">
        <v>2</v>
      </c>
      <c r="G40" s="24">
        <v>3</v>
      </c>
      <c r="H40" s="33">
        <f t="shared" si="2"/>
        <v>5</v>
      </c>
      <c r="I40" s="24">
        <v>4</v>
      </c>
      <c r="J40" s="26">
        <f t="shared" si="3"/>
        <v>1.25</v>
      </c>
      <c r="K40" s="24">
        <v>0</v>
      </c>
      <c r="L40" s="24">
        <v>0</v>
      </c>
      <c r="M40" s="24">
        <v>0</v>
      </c>
      <c r="N40" s="24">
        <v>0</v>
      </c>
      <c r="O40" s="24">
        <v>0</v>
      </c>
      <c r="P40" s="24">
        <v>0</v>
      </c>
    </row>
    <row r="41" spans="2:16" x14ac:dyDescent="0.25">
      <c r="B41" s="9">
        <v>7</v>
      </c>
      <c r="D41" s="5" t="s">
        <v>324</v>
      </c>
      <c r="E41" s="24">
        <v>4</v>
      </c>
      <c r="F41" s="24">
        <v>1</v>
      </c>
      <c r="G41" s="24">
        <v>1</v>
      </c>
      <c r="H41" s="33">
        <f t="shared" si="2"/>
        <v>2</v>
      </c>
      <c r="I41" s="24">
        <v>2</v>
      </c>
      <c r="J41" s="26">
        <f t="shared" si="3"/>
        <v>0.5</v>
      </c>
      <c r="K41" s="24">
        <v>0</v>
      </c>
      <c r="L41" s="24">
        <v>0</v>
      </c>
      <c r="M41" s="24">
        <v>0</v>
      </c>
      <c r="N41" s="24">
        <v>0</v>
      </c>
      <c r="O41" s="24">
        <v>0</v>
      </c>
      <c r="P41" s="24">
        <v>0</v>
      </c>
    </row>
    <row r="42" spans="2:16" x14ac:dyDescent="0.25">
      <c r="B42" s="9">
        <v>8</v>
      </c>
      <c r="D42" s="5" t="s">
        <v>39</v>
      </c>
      <c r="E42" s="24">
        <v>1</v>
      </c>
      <c r="F42" s="24">
        <v>1</v>
      </c>
      <c r="G42" s="24">
        <v>0</v>
      </c>
      <c r="H42" s="33">
        <f t="shared" si="2"/>
        <v>1</v>
      </c>
      <c r="I42" s="24">
        <v>0</v>
      </c>
      <c r="J42" s="24">
        <f t="shared" si="3"/>
        <v>1</v>
      </c>
      <c r="K42" s="24">
        <v>0</v>
      </c>
      <c r="L42" s="24">
        <v>0</v>
      </c>
      <c r="M42" s="24">
        <v>0</v>
      </c>
      <c r="N42" s="24">
        <v>0</v>
      </c>
      <c r="O42" s="24">
        <v>0</v>
      </c>
      <c r="P42" s="24">
        <v>0</v>
      </c>
    </row>
    <row r="43" spans="2:16" x14ac:dyDescent="0.25">
      <c r="B43" s="9">
        <v>9</v>
      </c>
      <c r="D43" s="5" t="s">
        <v>437</v>
      </c>
      <c r="E43" s="24">
        <v>3</v>
      </c>
      <c r="F43" s="24">
        <v>1</v>
      </c>
      <c r="G43" s="24">
        <v>0</v>
      </c>
      <c r="H43" s="33">
        <f t="shared" si="2"/>
        <v>1</v>
      </c>
      <c r="I43" s="24">
        <v>0</v>
      </c>
      <c r="J43" s="26">
        <f t="shared" si="3"/>
        <v>0.33333333333333331</v>
      </c>
      <c r="K43" s="24">
        <v>0</v>
      </c>
      <c r="L43" s="24">
        <v>0</v>
      </c>
      <c r="M43" s="24">
        <v>0</v>
      </c>
      <c r="N43" s="24">
        <v>0</v>
      </c>
      <c r="O43" s="24">
        <v>0</v>
      </c>
      <c r="P43" s="24">
        <v>0</v>
      </c>
    </row>
    <row r="44" spans="2:16" x14ac:dyDescent="0.25">
      <c r="B44" s="9">
        <v>10</v>
      </c>
      <c r="D44" s="5" t="s">
        <v>16</v>
      </c>
      <c r="E44" s="24">
        <v>3</v>
      </c>
      <c r="F44" s="24">
        <v>1</v>
      </c>
      <c r="G44" s="24">
        <v>0</v>
      </c>
      <c r="H44" s="33">
        <f t="shared" si="2"/>
        <v>1</v>
      </c>
      <c r="I44" s="24">
        <v>2</v>
      </c>
      <c r="J44" s="26">
        <f t="shared" si="3"/>
        <v>0.33333333333333331</v>
      </c>
      <c r="K44" s="24">
        <v>0</v>
      </c>
      <c r="L44" s="24">
        <v>0</v>
      </c>
      <c r="M44" s="24">
        <v>0</v>
      </c>
      <c r="N44" s="24">
        <v>0</v>
      </c>
      <c r="O44" s="24">
        <v>0</v>
      </c>
      <c r="P44" s="24">
        <v>0</v>
      </c>
    </row>
    <row r="45" spans="2:16" x14ac:dyDescent="0.25">
      <c r="B45" s="9">
        <v>11</v>
      </c>
      <c r="D45" s="5" t="s">
        <v>225</v>
      </c>
      <c r="E45" s="24">
        <v>5</v>
      </c>
      <c r="F45" s="24">
        <v>1</v>
      </c>
      <c r="G45" s="24">
        <v>0</v>
      </c>
      <c r="H45" s="33">
        <f t="shared" si="2"/>
        <v>1</v>
      </c>
      <c r="I45" s="24">
        <v>2</v>
      </c>
      <c r="J45" s="26">
        <f t="shared" si="3"/>
        <v>0.2</v>
      </c>
      <c r="K45" s="24">
        <v>0</v>
      </c>
      <c r="L45" s="24">
        <v>0</v>
      </c>
      <c r="M45" s="24">
        <v>0</v>
      </c>
      <c r="N45" s="24">
        <v>0</v>
      </c>
      <c r="O45" s="24">
        <v>0</v>
      </c>
      <c r="P45" s="24">
        <v>0</v>
      </c>
    </row>
    <row r="46" spans="2:16" x14ac:dyDescent="0.25">
      <c r="B46" s="9">
        <v>12</v>
      </c>
      <c r="D46" s="5" t="s">
        <v>438</v>
      </c>
      <c r="E46" s="24">
        <v>3</v>
      </c>
      <c r="F46" s="24">
        <v>0</v>
      </c>
      <c r="G46" s="24">
        <v>1</v>
      </c>
      <c r="H46" s="33">
        <f t="shared" si="2"/>
        <v>1</v>
      </c>
      <c r="I46" s="24">
        <v>0</v>
      </c>
      <c r="J46" s="26">
        <f t="shared" si="3"/>
        <v>0.33333333333333331</v>
      </c>
      <c r="K46" s="24">
        <v>0</v>
      </c>
      <c r="L46" s="24">
        <v>0</v>
      </c>
      <c r="M46" s="24">
        <v>0</v>
      </c>
      <c r="N46" s="24">
        <v>0</v>
      </c>
      <c r="O46" s="24">
        <v>0</v>
      </c>
      <c r="P46" s="24">
        <v>0</v>
      </c>
    </row>
    <row r="47" spans="2:16" x14ac:dyDescent="0.25">
      <c r="B47" s="9">
        <v>13</v>
      </c>
      <c r="D47" s="5" t="s">
        <v>358</v>
      </c>
      <c r="E47" s="24">
        <v>5</v>
      </c>
      <c r="F47" s="24">
        <v>0</v>
      </c>
      <c r="G47" s="24">
        <v>0</v>
      </c>
      <c r="H47" s="33">
        <f t="shared" si="2"/>
        <v>0</v>
      </c>
      <c r="I47" s="24">
        <v>0</v>
      </c>
      <c r="J47" s="26">
        <f t="shared" si="3"/>
        <v>0</v>
      </c>
      <c r="K47" s="24">
        <v>0</v>
      </c>
      <c r="L47" s="24">
        <v>0</v>
      </c>
      <c r="M47" s="24">
        <v>0</v>
      </c>
      <c r="N47" s="24">
        <v>0</v>
      </c>
      <c r="O47" s="24">
        <v>0</v>
      </c>
      <c r="P47" s="24">
        <v>0</v>
      </c>
    </row>
    <row r="48" spans="2:16" x14ac:dyDescent="0.25">
      <c r="B48" s="9">
        <v>14</v>
      </c>
      <c r="D48" s="5" t="s">
        <v>12</v>
      </c>
      <c r="E48" s="24">
        <v>4</v>
      </c>
      <c r="F48" s="24">
        <v>0</v>
      </c>
      <c r="G48" s="24">
        <v>0</v>
      </c>
      <c r="H48" s="33">
        <f t="shared" si="2"/>
        <v>0</v>
      </c>
      <c r="I48" s="24">
        <v>0</v>
      </c>
      <c r="J48" s="26">
        <f t="shared" si="3"/>
        <v>0</v>
      </c>
      <c r="K48" s="24">
        <v>0</v>
      </c>
      <c r="L48" s="24">
        <v>0</v>
      </c>
      <c r="M48" s="24">
        <v>0</v>
      </c>
      <c r="N48" s="24">
        <v>0</v>
      </c>
      <c r="O48" s="24">
        <v>0</v>
      </c>
      <c r="P48" s="24">
        <v>0</v>
      </c>
    </row>
    <row r="49" spans="2:17" x14ac:dyDescent="0.25">
      <c r="B49" s="9">
        <v>15</v>
      </c>
      <c r="D49" s="5" t="s">
        <v>9</v>
      </c>
      <c r="E49" s="24">
        <v>1</v>
      </c>
      <c r="F49" s="24">
        <v>0</v>
      </c>
      <c r="G49" s="24">
        <v>0</v>
      </c>
      <c r="H49" s="33">
        <f t="shared" si="2"/>
        <v>0</v>
      </c>
      <c r="I49" s="24">
        <v>0</v>
      </c>
      <c r="J49" s="26">
        <f t="shared" si="3"/>
        <v>0</v>
      </c>
      <c r="K49" s="24">
        <v>0</v>
      </c>
      <c r="L49" s="24">
        <v>0</v>
      </c>
      <c r="M49" s="24">
        <v>0</v>
      </c>
      <c r="N49" s="24">
        <v>0</v>
      </c>
      <c r="O49" s="24">
        <v>0</v>
      </c>
      <c r="P49" s="24">
        <v>0</v>
      </c>
    </row>
    <row r="50" spans="2:17" x14ac:dyDescent="0.25">
      <c r="B50" s="9">
        <v>16</v>
      </c>
      <c r="D50" s="5" t="s">
        <v>75</v>
      </c>
      <c r="E50" s="24">
        <v>5</v>
      </c>
      <c r="F50" s="24">
        <v>0</v>
      </c>
      <c r="G50" s="24">
        <v>0</v>
      </c>
      <c r="H50" s="33">
        <f t="shared" si="2"/>
        <v>0</v>
      </c>
      <c r="I50" s="24">
        <v>0</v>
      </c>
      <c r="J50" s="26">
        <f t="shared" si="3"/>
        <v>0</v>
      </c>
      <c r="K50" s="24">
        <v>0</v>
      </c>
      <c r="L50" s="24">
        <v>0</v>
      </c>
      <c r="M50" s="24">
        <v>0</v>
      </c>
      <c r="N50" s="24">
        <v>0</v>
      </c>
      <c r="O50" s="24">
        <v>0</v>
      </c>
      <c r="P50" s="24">
        <v>0</v>
      </c>
    </row>
    <row r="51" spans="2:17" x14ac:dyDescent="0.25">
      <c r="B51" s="9">
        <v>17</v>
      </c>
      <c r="D51" s="5" t="s">
        <v>14</v>
      </c>
      <c r="E51" s="24">
        <v>1</v>
      </c>
      <c r="F51" s="24">
        <v>0</v>
      </c>
      <c r="G51" s="24">
        <v>0</v>
      </c>
      <c r="H51" s="33">
        <f t="shared" si="2"/>
        <v>0</v>
      </c>
      <c r="I51" s="24">
        <v>0</v>
      </c>
      <c r="J51" s="24">
        <f t="shared" si="3"/>
        <v>0</v>
      </c>
      <c r="K51" s="24">
        <v>0</v>
      </c>
      <c r="L51" s="24">
        <v>0</v>
      </c>
      <c r="M51" s="24">
        <v>0</v>
      </c>
      <c r="N51" s="24">
        <v>0</v>
      </c>
      <c r="O51" s="24">
        <v>0</v>
      </c>
      <c r="P51" s="24">
        <v>0</v>
      </c>
      <c r="Q51" s="17"/>
    </row>
    <row r="54" spans="2:17" x14ac:dyDescent="0.25">
      <c r="D54" s="1" t="s">
        <v>403</v>
      </c>
    </row>
    <row r="56" spans="2:17" x14ac:dyDescent="0.25">
      <c r="D56" s="8" t="s">
        <v>0</v>
      </c>
      <c r="E56" s="18" t="s">
        <v>1</v>
      </c>
      <c r="F56" s="18" t="s">
        <v>2</v>
      </c>
      <c r="G56" s="18" t="s">
        <v>3</v>
      </c>
      <c r="H56" s="32" t="s">
        <v>4</v>
      </c>
      <c r="I56" s="18" t="s">
        <v>5</v>
      </c>
      <c r="J56" s="18" t="s">
        <v>38</v>
      </c>
      <c r="K56" s="18" t="s">
        <v>41</v>
      </c>
      <c r="L56" s="18" t="s">
        <v>42</v>
      </c>
      <c r="M56" s="18" t="s">
        <v>45</v>
      </c>
      <c r="N56" s="18" t="s">
        <v>46</v>
      </c>
      <c r="O56" s="18" t="s">
        <v>44</v>
      </c>
      <c r="P56" s="18" t="s">
        <v>43</v>
      </c>
    </row>
    <row r="57" spans="2:17" x14ac:dyDescent="0.25">
      <c r="B57" s="9">
        <v>1</v>
      </c>
      <c r="D57" s="5" t="s">
        <v>13</v>
      </c>
      <c r="E57" s="24">
        <v>6</v>
      </c>
      <c r="F57" s="24">
        <v>10</v>
      </c>
      <c r="G57" s="24">
        <v>6</v>
      </c>
      <c r="H57" s="33">
        <f t="shared" ref="H57:H70" si="4">F57+G57</f>
        <v>16</v>
      </c>
      <c r="I57" s="24">
        <v>6</v>
      </c>
      <c r="J57" s="26">
        <f t="shared" ref="J57:J70" si="5">H57/E57</f>
        <v>2.6666666666666665</v>
      </c>
      <c r="K57" s="24">
        <v>0</v>
      </c>
      <c r="L57" s="24">
        <v>3</v>
      </c>
      <c r="M57" s="24">
        <v>1</v>
      </c>
      <c r="N57" s="24">
        <v>0</v>
      </c>
      <c r="O57" s="24">
        <v>0</v>
      </c>
      <c r="P57" s="24">
        <v>0</v>
      </c>
    </row>
    <row r="58" spans="2:17" x14ac:dyDescent="0.25">
      <c r="B58" s="9">
        <v>2</v>
      </c>
      <c r="D58" s="5" t="s">
        <v>39</v>
      </c>
      <c r="E58" s="24">
        <v>6</v>
      </c>
      <c r="F58" s="24">
        <v>6</v>
      </c>
      <c r="G58" s="24">
        <v>6</v>
      </c>
      <c r="H58" s="33">
        <f t="shared" si="4"/>
        <v>12</v>
      </c>
      <c r="I58" s="24">
        <v>0</v>
      </c>
      <c r="J58" s="26">
        <f t="shared" si="5"/>
        <v>2</v>
      </c>
      <c r="K58" s="24">
        <v>0</v>
      </c>
      <c r="L58" s="24">
        <v>0</v>
      </c>
      <c r="M58" s="24">
        <v>0</v>
      </c>
      <c r="N58" s="24">
        <v>0</v>
      </c>
      <c r="O58" s="24">
        <v>0</v>
      </c>
      <c r="P58" s="24">
        <v>0</v>
      </c>
    </row>
    <row r="59" spans="2:17" x14ac:dyDescent="0.25">
      <c r="B59" s="9">
        <v>3</v>
      </c>
      <c r="D59" s="5" t="s">
        <v>30</v>
      </c>
      <c r="E59" s="24">
        <v>6</v>
      </c>
      <c r="F59" s="24">
        <v>5</v>
      </c>
      <c r="G59" s="24">
        <v>5</v>
      </c>
      <c r="H59" s="33">
        <f t="shared" si="4"/>
        <v>10</v>
      </c>
      <c r="I59" s="24">
        <v>0</v>
      </c>
      <c r="J59" s="26">
        <f t="shared" si="5"/>
        <v>1.6666666666666667</v>
      </c>
      <c r="K59" s="24">
        <v>0</v>
      </c>
      <c r="L59" s="24">
        <v>0</v>
      </c>
      <c r="M59" s="24">
        <v>0</v>
      </c>
      <c r="N59" s="24">
        <v>0</v>
      </c>
      <c r="O59" s="24">
        <v>0</v>
      </c>
      <c r="P59" s="24">
        <v>0</v>
      </c>
    </row>
    <row r="60" spans="2:17" x14ac:dyDescent="0.25">
      <c r="B60" s="9">
        <v>4</v>
      </c>
      <c r="D60" s="5" t="s">
        <v>8</v>
      </c>
      <c r="E60" s="24">
        <v>6</v>
      </c>
      <c r="F60" s="24">
        <v>3</v>
      </c>
      <c r="G60" s="24">
        <v>5</v>
      </c>
      <c r="H60" s="33">
        <f t="shared" si="4"/>
        <v>8</v>
      </c>
      <c r="I60" s="24">
        <v>8</v>
      </c>
      <c r="J60" s="26">
        <f t="shared" si="5"/>
        <v>1.3333333333333333</v>
      </c>
      <c r="K60" s="24">
        <v>1</v>
      </c>
      <c r="L60" s="24">
        <v>0</v>
      </c>
      <c r="M60" s="24">
        <v>0</v>
      </c>
      <c r="N60" s="24">
        <v>0</v>
      </c>
      <c r="O60" s="24">
        <v>0</v>
      </c>
      <c r="P60" s="24">
        <v>0</v>
      </c>
    </row>
    <row r="61" spans="2:17" x14ac:dyDescent="0.25">
      <c r="B61" s="9">
        <v>5</v>
      </c>
      <c r="D61" s="5" t="s">
        <v>324</v>
      </c>
      <c r="E61" s="24">
        <v>6</v>
      </c>
      <c r="F61" s="24">
        <v>5</v>
      </c>
      <c r="G61" s="24">
        <v>2</v>
      </c>
      <c r="H61" s="33">
        <f t="shared" si="4"/>
        <v>7</v>
      </c>
      <c r="I61" s="24">
        <v>0</v>
      </c>
      <c r="J61" s="26">
        <f t="shared" si="5"/>
        <v>1.1666666666666667</v>
      </c>
      <c r="K61" s="24">
        <v>0</v>
      </c>
      <c r="L61" s="24">
        <v>0</v>
      </c>
      <c r="M61" s="24">
        <v>0</v>
      </c>
      <c r="N61" s="24">
        <v>0</v>
      </c>
      <c r="O61" s="24">
        <v>0</v>
      </c>
      <c r="P61" s="24">
        <v>1</v>
      </c>
    </row>
    <row r="62" spans="2:17" x14ac:dyDescent="0.25">
      <c r="B62" s="9">
        <v>6</v>
      </c>
      <c r="D62" s="5" t="s">
        <v>10</v>
      </c>
      <c r="E62" s="24">
        <v>6</v>
      </c>
      <c r="F62" s="24">
        <v>1</v>
      </c>
      <c r="G62" s="24">
        <v>4</v>
      </c>
      <c r="H62" s="33">
        <f t="shared" si="4"/>
        <v>5</v>
      </c>
      <c r="I62" s="24">
        <v>2</v>
      </c>
      <c r="J62" s="26">
        <f t="shared" si="5"/>
        <v>0.83333333333333337</v>
      </c>
      <c r="K62" s="24">
        <v>0</v>
      </c>
      <c r="L62" s="24">
        <v>0</v>
      </c>
      <c r="M62" s="24">
        <v>0</v>
      </c>
      <c r="N62" s="24">
        <v>0</v>
      </c>
      <c r="O62" s="24">
        <v>0</v>
      </c>
      <c r="P62" s="24">
        <v>0</v>
      </c>
    </row>
    <row r="63" spans="2:17" x14ac:dyDescent="0.25">
      <c r="B63" s="9">
        <v>7</v>
      </c>
      <c r="D63" s="5" t="s">
        <v>9</v>
      </c>
      <c r="E63" s="24">
        <v>3</v>
      </c>
      <c r="F63" s="24">
        <v>1</v>
      </c>
      <c r="G63" s="24">
        <v>3</v>
      </c>
      <c r="H63" s="33">
        <f t="shared" si="4"/>
        <v>4</v>
      </c>
      <c r="I63" s="24">
        <v>2</v>
      </c>
      <c r="J63" s="26">
        <f t="shared" si="5"/>
        <v>1.3333333333333333</v>
      </c>
      <c r="K63" s="24">
        <v>0</v>
      </c>
      <c r="L63" s="24">
        <v>0</v>
      </c>
      <c r="M63" s="24">
        <v>0</v>
      </c>
      <c r="N63" s="24">
        <v>0</v>
      </c>
      <c r="O63" s="24">
        <v>0</v>
      </c>
      <c r="P63" s="24">
        <v>0</v>
      </c>
    </row>
    <row r="64" spans="2:17" x14ac:dyDescent="0.25">
      <c r="B64" s="9">
        <v>8</v>
      </c>
      <c r="D64" s="5" t="s">
        <v>7</v>
      </c>
      <c r="E64" s="24">
        <v>4</v>
      </c>
      <c r="F64" s="24">
        <v>2</v>
      </c>
      <c r="G64" s="24">
        <v>1</v>
      </c>
      <c r="H64" s="33">
        <f t="shared" si="4"/>
        <v>3</v>
      </c>
      <c r="I64" s="24">
        <v>0</v>
      </c>
      <c r="J64" s="26">
        <f t="shared" si="5"/>
        <v>0.75</v>
      </c>
      <c r="K64" s="24">
        <v>0</v>
      </c>
      <c r="L64" s="24">
        <v>0</v>
      </c>
      <c r="M64" s="24">
        <v>1</v>
      </c>
      <c r="N64" s="24">
        <v>0</v>
      </c>
      <c r="O64" s="24">
        <v>0</v>
      </c>
      <c r="P64" s="24">
        <v>0</v>
      </c>
    </row>
    <row r="65" spans="2:16" x14ac:dyDescent="0.25">
      <c r="B65" s="9">
        <v>9</v>
      </c>
      <c r="D65" s="5" t="s">
        <v>14</v>
      </c>
      <c r="E65" s="24">
        <v>6</v>
      </c>
      <c r="F65" s="24">
        <v>2</v>
      </c>
      <c r="G65" s="24">
        <v>1</v>
      </c>
      <c r="H65" s="33">
        <f t="shared" si="4"/>
        <v>3</v>
      </c>
      <c r="I65" s="24">
        <v>0</v>
      </c>
      <c r="J65" s="26">
        <f t="shared" si="5"/>
        <v>0.5</v>
      </c>
      <c r="K65" s="24">
        <v>1</v>
      </c>
      <c r="L65" s="24">
        <v>0</v>
      </c>
      <c r="M65" s="24">
        <v>0</v>
      </c>
      <c r="N65" s="24">
        <v>0</v>
      </c>
      <c r="O65" s="24">
        <v>0</v>
      </c>
      <c r="P65" s="24">
        <v>0</v>
      </c>
    </row>
    <row r="66" spans="2:16" x14ac:dyDescent="0.25">
      <c r="B66" s="9">
        <v>10</v>
      </c>
      <c r="D66" s="5" t="s">
        <v>12</v>
      </c>
      <c r="E66" s="24">
        <v>6</v>
      </c>
      <c r="F66" s="24">
        <v>2</v>
      </c>
      <c r="G66" s="24">
        <v>0</v>
      </c>
      <c r="H66" s="33">
        <f t="shared" si="4"/>
        <v>2</v>
      </c>
      <c r="I66" s="24">
        <v>2</v>
      </c>
      <c r="J66" s="26">
        <f t="shared" si="5"/>
        <v>0.33333333333333331</v>
      </c>
      <c r="K66" s="24">
        <v>2</v>
      </c>
      <c r="L66" s="24">
        <v>0</v>
      </c>
      <c r="M66" s="24">
        <v>0</v>
      </c>
      <c r="N66" s="24">
        <v>0</v>
      </c>
      <c r="O66" s="24">
        <v>0</v>
      </c>
      <c r="P66" s="24">
        <v>0</v>
      </c>
    </row>
    <row r="67" spans="2:16" x14ac:dyDescent="0.25">
      <c r="B67" s="9">
        <v>11</v>
      </c>
      <c r="D67" s="5" t="s">
        <v>16</v>
      </c>
      <c r="E67" s="24">
        <v>4</v>
      </c>
      <c r="F67" s="24">
        <v>0</v>
      </c>
      <c r="G67" s="24">
        <v>1</v>
      </c>
      <c r="H67" s="33">
        <f t="shared" si="4"/>
        <v>1</v>
      </c>
      <c r="I67" s="24">
        <v>4</v>
      </c>
      <c r="J67" s="26">
        <f t="shared" si="5"/>
        <v>0.25</v>
      </c>
      <c r="K67" s="24">
        <v>0</v>
      </c>
      <c r="L67" s="24">
        <v>0</v>
      </c>
      <c r="M67" s="24">
        <v>0</v>
      </c>
      <c r="N67" s="24">
        <v>0</v>
      </c>
      <c r="O67" s="24">
        <v>0</v>
      </c>
      <c r="P67" s="24">
        <v>0</v>
      </c>
    </row>
    <row r="68" spans="2:16" x14ac:dyDescent="0.25">
      <c r="B68" s="9">
        <v>12</v>
      </c>
      <c r="D68" s="5" t="s">
        <v>75</v>
      </c>
      <c r="E68" s="24">
        <v>6</v>
      </c>
      <c r="F68" s="24">
        <v>0</v>
      </c>
      <c r="G68" s="24">
        <v>1</v>
      </c>
      <c r="H68" s="33">
        <f t="shared" si="4"/>
        <v>1</v>
      </c>
      <c r="I68" s="24">
        <v>0</v>
      </c>
      <c r="J68" s="26">
        <f t="shared" si="5"/>
        <v>0.16666666666666666</v>
      </c>
      <c r="K68" s="24">
        <v>0</v>
      </c>
      <c r="L68" s="24">
        <v>0</v>
      </c>
      <c r="M68" s="24">
        <v>0</v>
      </c>
      <c r="N68" s="24">
        <v>0</v>
      </c>
      <c r="O68" s="24">
        <v>0</v>
      </c>
      <c r="P68" s="24">
        <v>0</v>
      </c>
    </row>
    <row r="69" spans="2:16" x14ac:dyDescent="0.25">
      <c r="B69" s="9">
        <v>13</v>
      </c>
      <c r="D69" s="5" t="s">
        <v>225</v>
      </c>
      <c r="E69" s="24">
        <v>6</v>
      </c>
      <c r="F69" s="24">
        <v>0</v>
      </c>
      <c r="G69" s="24">
        <v>0</v>
      </c>
      <c r="H69" s="33">
        <f t="shared" si="4"/>
        <v>0</v>
      </c>
      <c r="I69" s="24">
        <v>0</v>
      </c>
      <c r="J69" s="26">
        <f t="shared" si="5"/>
        <v>0</v>
      </c>
      <c r="K69" s="24">
        <v>0</v>
      </c>
      <c r="L69" s="24">
        <v>0</v>
      </c>
      <c r="M69" s="24">
        <v>0</v>
      </c>
      <c r="N69" s="24">
        <v>0</v>
      </c>
      <c r="O69" s="24">
        <v>0</v>
      </c>
      <c r="P69" s="24">
        <v>0</v>
      </c>
    </row>
    <row r="70" spans="2:16" x14ac:dyDescent="0.25">
      <c r="B70" s="9">
        <v>14</v>
      </c>
      <c r="D70" s="5" t="s">
        <v>358</v>
      </c>
      <c r="E70" s="24">
        <v>2</v>
      </c>
      <c r="F70" s="24">
        <v>0</v>
      </c>
      <c r="G70" s="24">
        <v>0</v>
      </c>
      <c r="H70" s="33">
        <f t="shared" si="4"/>
        <v>0</v>
      </c>
      <c r="I70" s="24">
        <v>0</v>
      </c>
      <c r="J70" s="26">
        <f t="shared" si="5"/>
        <v>0</v>
      </c>
      <c r="K70" s="24">
        <v>0</v>
      </c>
      <c r="L70" s="24">
        <v>0</v>
      </c>
      <c r="M70" s="24">
        <v>0</v>
      </c>
      <c r="N70" s="24">
        <v>0</v>
      </c>
      <c r="O70" s="24">
        <v>0</v>
      </c>
      <c r="P70" s="24">
        <v>0</v>
      </c>
    </row>
    <row r="73" spans="2:16" x14ac:dyDescent="0.25">
      <c r="D73" s="1" t="s">
        <v>40</v>
      </c>
    </row>
    <row r="75" spans="2:16" x14ac:dyDescent="0.25">
      <c r="D75" s="8" t="s">
        <v>0</v>
      </c>
      <c r="E75" s="18" t="s">
        <v>1</v>
      </c>
      <c r="F75" s="18" t="s">
        <v>2</v>
      </c>
      <c r="G75" s="18" t="s">
        <v>3</v>
      </c>
      <c r="H75" s="32" t="s">
        <v>4</v>
      </c>
      <c r="I75" s="18" t="s">
        <v>5</v>
      </c>
      <c r="J75" s="18" t="s">
        <v>38</v>
      </c>
      <c r="K75" s="18" t="s">
        <v>41</v>
      </c>
      <c r="L75" s="18" t="s">
        <v>42</v>
      </c>
      <c r="M75" s="18" t="s">
        <v>45</v>
      </c>
      <c r="N75" s="18" t="s">
        <v>46</v>
      </c>
      <c r="O75" s="18" t="s">
        <v>44</v>
      </c>
      <c r="P75" s="18" t="s">
        <v>43</v>
      </c>
    </row>
    <row r="76" spans="2:16" x14ac:dyDescent="0.25">
      <c r="B76" s="9">
        <v>1</v>
      </c>
      <c r="D76" s="5" t="s">
        <v>13</v>
      </c>
      <c r="E76" s="24">
        <v>4</v>
      </c>
      <c r="F76" s="24">
        <v>5</v>
      </c>
      <c r="G76" s="24">
        <v>4</v>
      </c>
      <c r="H76" s="33">
        <f t="shared" ref="H76:H84" si="6">F76+G76</f>
        <v>9</v>
      </c>
      <c r="I76" s="24">
        <v>0</v>
      </c>
      <c r="J76" s="26">
        <f t="shared" ref="J76:J84" si="7">H76/E76</f>
        <v>2.25</v>
      </c>
      <c r="K76" s="24">
        <v>0</v>
      </c>
      <c r="L76" s="24">
        <v>0</v>
      </c>
      <c r="M76" s="24">
        <v>0</v>
      </c>
      <c r="N76" s="24">
        <v>0</v>
      </c>
      <c r="O76" s="24">
        <v>0</v>
      </c>
      <c r="P76" s="24">
        <v>0</v>
      </c>
    </row>
    <row r="77" spans="2:16" x14ac:dyDescent="0.25">
      <c r="B77" s="9">
        <v>2</v>
      </c>
      <c r="D77" s="5" t="s">
        <v>7</v>
      </c>
      <c r="E77" s="24">
        <v>4</v>
      </c>
      <c r="F77" s="24">
        <v>4</v>
      </c>
      <c r="G77" s="24">
        <v>4</v>
      </c>
      <c r="H77" s="33">
        <f t="shared" si="6"/>
        <v>8</v>
      </c>
      <c r="I77" s="24">
        <v>0</v>
      </c>
      <c r="J77" s="26">
        <f t="shared" si="7"/>
        <v>2</v>
      </c>
      <c r="K77" s="24">
        <v>0</v>
      </c>
      <c r="L77" s="24">
        <v>0</v>
      </c>
      <c r="M77" s="24">
        <v>0</v>
      </c>
      <c r="N77" s="24">
        <v>0</v>
      </c>
      <c r="O77" s="24">
        <v>0</v>
      </c>
      <c r="P77" s="24">
        <v>0</v>
      </c>
    </row>
    <row r="78" spans="2:16" x14ac:dyDescent="0.25">
      <c r="B78" s="9">
        <v>3</v>
      </c>
      <c r="D78" s="5" t="s">
        <v>30</v>
      </c>
      <c r="E78" s="24">
        <v>4</v>
      </c>
      <c r="F78" s="24">
        <v>5</v>
      </c>
      <c r="G78" s="24">
        <v>0</v>
      </c>
      <c r="H78" s="33">
        <f t="shared" si="6"/>
        <v>5</v>
      </c>
      <c r="I78" s="24">
        <v>2</v>
      </c>
      <c r="J78" s="26">
        <f t="shared" si="7"/>
        <v>1.25</v>
      </c>
      <c r="K78" s="24">
        <v>0</v>
      </c>
      <c r="L78" s="24">
        <v>0</v>
      </c>
      <c r="M78" s="24">
        <v>0</v>
      </c>
      <c r="N78" s="24">
        <v>0</v>
      </c>
      <c r="O78" s="24">
        <v>0</v>
      </c>
      <c r="P78" s="24">
        <v>0</v>
      </c>
    </row>
    <row r="79" spans="2:16" x14ac:dyDescent="0.25">
      <c r="B79" s="9">
        <v>4</v>
      </c>
      <c r="D79" s="5" t="s">
        <v>10</v>
      </c>
      <c r="E79" s="24">
        <v>4</v>
      </c>
      <c r="F79" s="24">
        <v>1</v>
      </c>
      <c r="G79" s="24">
        <v>2</v>
      </c>
      <c r="H79" s="33">
        <f t="shared" si="6"/>
        <v>3</v>
      </c>
      <c r="I79" s="24">
        <v>0</v>
      </c>
      <c r="J79" s="26">
        <f t="shared" si="7"/>
        <v>0.75</v>
      </c>
      <c r="K79" s="24">
        <v>0</v>
      </c>
      <c r="L79" s="24">
        <v>0</v>
      </c>
      <c r="M79" s="24">
        <v>0</v>
      </c>
      <c r="N79" s="24">
        <v>0</v>
      </c>
      <c r="O79" s="24">
        <v>0</v>
      </c>
      <c r="P79" s="24">
        <v>0</v>
      </c>
    </row>
    <row r="80" spans="2:16" x14ac:dyDescent="0.25">
      <c r="B80" s="9">
        <v>5</v>
      </c>
      <c r="D80" s="5" t="s">
        <v>35</v>
      </c>
      <c r="E80" s="24">
        <v>2</v>
      </c>
      <c r="F80" s="24">
        <v>1</v>
      </c>
      <c r="G80" s="24">
        <v>0</v>
      </c>
      <c r="H80" s="33">
        <f t="shared" si="6"/>
        <v>1</v>
      </c>
      <c r="I80" s="24">
        <v>0</v>
      </c>
      <c r="J80" s="26">
        <f t="shared" si="7"/>
        <v>0.5</v>
      </c>
      <c r="K80" s="24">
        <v>1</v>
      </c>
      <c r="L80" s="24">
        <v>0</v>
      </c>
      <c r="M80" s="24">
        <v>0</v>
      </c>
      <c r="N80" s="24">
        <v>0</v>
      </c>
      <c r="O80" s="24">
        <v>0</v>
      </c>
      <c r="P80" s="24">
        <v>0</v>
      </c>
    </row>
    <row r="81" spans="2:16" x14ac:dyDescent="0.25">
      <c r="B81" s="9">
        <v>6</v>
      </c>
      <c r="D81" s="5" t="s">
        <v>18</v>
      </c>
      <c r="E81" s="24">
        <v>2</v>
      </c>
      <c r="F81" s="24">
        <v>0</v>
      </c>
      <c r="G81" s="24">
        <v>1</v>
      </c>
      <c r="H81" s="33">
        <f t="shared" si="6"/>
        <v>1</v>
      </c>
      <c r="I81" s="24">
        <v>0</v>
      </c>
      <c r="J81" s="26">
        <f t="shared" si="7"/>
        <v>0.5</v>
      </c>
      <c r="K81" s="24">
        <v>0</v>
      </c>
      <c r="L81" s="24">
        <v>0</v>
      </c>
      <c r="M81" s="24">
        <v>0</v>
      </c>
      <c r="N81" s="24">
        <v>0</v>
      </c>
      <c r="O81" s="24">
        <v>0</v>
      </c>
      <c r="P81" s="24">
        <v>0</v>
      </c>
    </row>
    <row r="82" spans="2:16" x14ac:dyDescent="0.25">
      <c r="B82" s="9">
        <v>7</v>
      </c>
      <c r="D82" s="5" t="s">
        <v>34</v>
      </c>
      <c r="E82" s="24">
        <v>3</v>
      </c>
      <c r="F82" s="24">
        <v>0</v>
      </c>
      <c r="G82" s="24">
        <v>0</v>
      </c>
      <c r="H82" s="33">
        <f t="shared" si="6"/>
        <v>0</v>
      </c>
      <c r="I82" s="24">
        <v>0</v>
      </c>
      <c r="J82" s="26">
        <f t="shared" si="7"/>
        <v>0</v>
      </c>
      <c r="K82" s="24">
        <v>0</v>
      </c>
      <c r="L82" s="24">
        <v>0</v>
      </c>
      <c r="M82" s="24">
        <v>0</v>
      </c>
      <c r="N82" s="24">
        <v>0</v>
      </c>
      <c r="O82" s="24">
        <v>0</v>
      </c>
      <c r="P82" s="24">
        <v>0</v>
      </c>
    </row>
    <row r="83" spans="2:16" x14ac:dyDescent="0.25">
      <c r="B83" s="9">
        <v>8</v>
      </c>
      <c r="D83" s="5" t="s">
        <v>17</v>
      </c>
      <c r="E83" s="24">
        <v>2</v>
      </c>
      <c r="F83" s="24">
        <v>0</v>
      </c>
      <c r="G83" s="24">
        <v>0</v>
      </c>
      <c r="H83" s="33">
        <f t="shared" si="6"/>
        <v>0</v>
      </c>
      <c r="I83" s="24">
        <v>0</v>
      </c>
      <c r="J83" s="26">
        <f t="shared" si="7"/>
        <v>0</v>
      </c>
      <c r="K83" s="24">
        <v>0</v>
      </c>
      <c r="L83" s="24">
        <v>0</v>
      </c>
      <c r="M83" s="24">
        <v>0</v>
      </c>
      <c r="N83" s="24">
        <v>0</v>
      </c>
      <c r="O83" s="24">
        <v>0</v>
      </c>
      <c r="P83" s="24">
        <v>0</v>
      </c>
    </row>
    <row r="84" spans="2:16" x14ac:dyDescent="0.25">
      <c r="B84" s="9">
        <v>9</v>
      </c>
      <c r="D84" s="5" t="s">
        <v>75</v>
      </c>
      <c r="E84" s="24">
        <v>4</v>
      </c>
      <c r="F84" s="24">
        <v>0</v>
      </c>
      <c r="G84" s="24">
        <v>0</v>
      </c>
      <c r="H84" s="33">
        <f t="shared" si="6"/>
        <v>0</v>
      </c>
      <c r="I84" s="24">
        <v>0</v>
      </c>
      <c r="J84" s="26">
        <f t="shared" si="7"/>
        <v>0</v>
      </c>
      <c r="K84" s="24">
        <v>0</v>
      </c>
      <c r="L84" s="24">
        <v>0</v>
      </c>
      <c r="M84" s="24">
        <v>0</v>
      </c>
      <c r="N84" s="24">
        <v>0</v>
      </c>
      <c r="O84" s="24">
        <v>0</v>
      </c>
      <c r="P84" s="24">
        <v>0</v>
      </c>
    </row>
  </sheetData>
  <sortState xmlns:xlrd2="http://schemas.microsoft.com/office/spreadsheetml/2017/richdata2" ref="D7:P27">
    <sortCondition descending="1" ref="H7:H27"/>
    <sortCondition descending="1" ref="F7:F27"/>
    <sortCondition descending="1" ref="J7:J27"/>
  </sortState>
  <pageMargins left="0.7" right="0.7" top="0.78740157499999996" bottom="0.78740157499999996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19A70-4A01-40E8-A38D-E8F33D414DBC}">
  <dimension ref="A1:L45"/>
  <sheetViews>
    <sheetView workbookViewId="0">
      <selection activeCell="U19" sqref="U19"/>
    </sheetView>
  </sheetViews>
  <sheetFormatPr defaultRowHeight="15" x14ac:dyDescent="0.25"/>
  <cols>
    <col min="1" max="1" width="19.85546875" bestFit="1" customWidth="1"/>
    <col min="2" max="2" width="6" style="22" customWidth="1"/>
    <col min="3" max="3" width="5.5703125" style="22" customWidth="1"/>
    <col min="4" max="4" width="6.140625" style="22" customWidth="1"/>
    <col min="5" max="5" width="5.7109375" style="22" customWidth="1"/>
    <col min="6" max="6" width="6" style="22" customWidth="1"/>
    <col min="7" max="7" width="5.5703125" style="22" customWidth="1"/>
    <col min="8" max="8" width="6.140625" style="22" customWidth="1"/>
    <col min="9" max="9" width="6.28515625" style="22" customWidth="1"/>
    <col min="10" max="10" width="6.5703125" style="22" customWidth="1"/>
    <col min="11" max="11" width="6.42578125" style="22" customWidth="1"/>
    <col min="12" max="12" width="8.42578125" style="23" customWidth="1"/>
  </cols>
  <sheetData>
    <row r="1" spans="1:12" x14ac:dyDescent="0.25">
      <c r="A1" s="11" t="s">
        <v>165</v>
      </c>
      <c r="B1" s="11" t="s">
        <v>1</v>
      </c>
      <c r="C1" s="11" t="s">
        <v>53</v>
      </c>
      <c r="D1" s="11" t="s">
        <v>287</v>
      </c>
      <c r="E1" s="11" t="s">
        <v>54</v>
      </c>
      <c r="F1" s="11" t="s">
        <v>288</v>
      </c>
      <c r="G1" s="11" t="s">
        <v>55</v>
      </c>
      <c r="H1" s="11" t="s">
        <v>4</v>
      </c>
      <c r="I1" s="11" t="s">
        <v>56</v>
      </c>
      <c r="J1" s="19" t="s">
        <v>57</v>
      </c>
      <c r="K1" s="11" t="s">
        <v>101</v>
      </c>
      <c r="L1" s="13" t="s">
        <v>102</v>
      </c>
    </row>
    <row r="2" spans="1:12" x14ac:dyDescent="0.25">
      <c r="A2" t="s">
        <v>424</v>
      </c>
      <c r="B2" s="22">
        <v>1</v>
      </c>
      <c r="C2" s="22">
        <v>0</v>
      </c>
      <c r="D2" s="22">
        <v>0</v>
      </c>
      <c r="E2" s="22">
        <v>0</v>
      </c>
      <c r="F2" s="22">
        <v>0</v>
      </c>
      <c r="G2" s="22">
        <v>1</v>
      </c>
      <c r="H2" s="22">
        <f>C2*3+D2*2+E2+F2</f>
        <v>0</v>
      </c>
      <c r="I2" s="22">
        <v>6</v>
      </c>
      <c r="J2" s="22">
        <v>13</v>
      </c>
      <c r="K2" s="22">
        <f>I2-J2</f>
        <v>-7</v>
      </c>
      <c r="L2" s="23" t="s">
        <v>425</v>
      </c>
    </row>
    <row r="3" spans="1:12" x14ac:dyDescent="0.25">
      <c r="A3" t="s">
        <v>423</v>
      </c>
      <c r="B3" s="22">
        <v>1</v>
      </c>
      <c r="C3" s="22">
        <v>0</v>
      </c>
      <c r="D3" s="22">
        <v>0</v>
      </c>
      <c r="E3" s="22">
        <v>0</v>
      </c>
      <c r="F3" s="22">
        <v>0</v>
      </c>
      <c r="G3" s="22">
        <v>1</v>
      </c>
      <c r="H3" s="22">
        <f>C3*3+D3*2+E3+F3</f>
        <v>0</v>
      </c>
      <c r="I3" s="22">
        <v>5</v>
      </c>
      <c r="J3" s="22">
        <v>11</v>
      </c>
      <c r="K3" s="22">
        <f>I3-J3</f>
        <v>-6</v>
      </c>
      <c r="L3" s="23" t="s">
        <v>418</v>
      </c>
    </row>
    <row r="4" spans="1:12" x14ac:dyDescent="0.25">
      <c r="A4" t="s">
        <v>419</v>
      </c>
      <c r="B4" s="22">
        <v>1</v>
      </c>
      <c r="C4" s="22">
        <v>1</v>
      </c>
      <c r="D4" s="22">
        <v>0</v>
      </c>
      <c r="E4" s="22">
        <v>0</v>
      </c>
      <c r="F4" s="22">
        <v>0</v>
      </c>
      <c r="G4" s="22">
        <v>0</v>
      </c>
      <c r="H4" s="22">
        <f>C4*3+D4*2+E4+F4</f>
        <v>3</v>
      </c>
      <c r="I4" s="22">
        <v>11</v>
      </c>
      <c r="J4" s="22">
        <v>9</v>
      </c>
      <c r="K4" s="22">
        <f>I4-J4</f>
        <v>2</v>
      </c>
      <c r="L4" s="23" t="s">
        <v>420</v>
      </c>
    </row>
    <row r="5" spans="1:12" x14ac:dyDescent="0.25">
      <c r="A5" t="s">
        <v>667</v>
      </c>
      <c r="B5" s="22">
        <v>1</v>
      </c>
      <c r="C5" s="22">
        <v>0</v>
      </c>
      <c r="D5" s="22">
        <v>0</v>
      </c>
      <c r="E5" s="22">
        <v>0</v>
      </c>
      <c r="F5" s="22">
        <v>0</v>
      </c>
      <c r="G5" s="22">
        <v>1</v>
      </c>
      <c r="H5" s="22">
        <f>C5*3+D5*2+E5+F5</f>
        <v>0</v>
      </c>
      <c r="I5" s="22">
        <v>1</v>
      </c>
      <c r="J5" s="22">
        <v>11</v>
      </c>
      <c r="K5" s="22">
        <f>I5-J5</f>
        <v>-10</v>
      </c>
      <c r="L5" s="23" t="s">
        <v>668</v>
      </c>
    </row>
    <row r="6" spans="1:12" x14ac:dyDescent="0.25">
      <c r="A6" t="s">
        <v>472</v>
      </c>
      <c r="B6" s="22">
        <v>1</v>
      </c>
      <c r="C6" s="22">
        <v>0</v>
      </c>
      <c r="D6" s="22">
        <v>0</v>
      </c>
      <c r="E6" s="22">
        <v>0</v>
      </c>
      <c r="F6" s="22">
        <v>0</v>
      </c>
      <c r="G6" s="22">
        <v>1</v>
      </c>
      <c r="H6" s="22">
        <f t="shared" ref="H6:H16" si="0">C6*3+D6*2+E6+F6</f>
        <v>0</v>
      </c>
      <c r="I6" s="22">
        <v>5</v>
      </c>
      <c r="J6" s="22">
        <v>12</v>
      </c>
      <c r="K6" s="22">
        <f t="shared" ref="K6:K16" si="1">I6-J6</f>
        <v>-7</v>
      </c>
      <c r="L6" s="23" t="s">
        <v>666</v>
      </c>
    </row>
    <row r="7" spans="1:12" x14ac:dyDescent="0.25">
      <c r="A7" t="s">
        <v>262</v>
      </c>
      <c r="B7" s="22">
        <v>1</v>
      </c>
      <c r="C7" s="22">
        <v>0</v>
      </c>
      <c r="D7" s="22">
        <v>0</v>
      </c>
      <c r="E7" s="22">
        <v>0</v>
      </c>
      <c r="F7" s="22">
        <v>0</v>
      </c>
      <c r="G7" s="22">
        <v>1</v>
      </c>
      <c r="H7" s="22">
        <f t="shared" si="0"/>
        <v>0</v>
      </c>
      <c r="I7" s="22">
        <v>2</v>
      </c>
      <c r="J7" s="22">
        <v>6</v>
      </c>
      <c r="K7" s="22">
        <f t="shared" si="1"/>
        <v>-4</v>
      </c>
      <c r="L7" s="23" t="s">
        <v>422</v>
      </c>
    </row>
    <row r="8" spans="1:12" x14ac:dyDescent="0.25">
      <c r="A8" t="s">
        <v>417</v>
      </c>
      <c r="B8" s="22">
        <v>1</v>
      </c>
      <c r="C8" s="22">
        <v>0</v>
      </c>
      <c r="D8" s="22">
        <v>0</v>
      </c>
      <c r="E8" s="22">
        <v>0</v>
      </c>
      <c r="F8" s="22">
        <v>0</v>
      </c>
      <c r="G8" s="22">
        <v>1</v>
      </c>
      <c r="H8" s="22">
        <f t="shared" si="0"/>
        <v>0</v>
      </c>
      <c r="I8" s="22">
        <v>5</v>
      </c>
      <c r="J8" s="22">
        <v>11</v>
      </c>
      <c r="K8" s="22">
        <f t="shared" si="1"/>
        <v>-6</v>
      </c>
      <c r="L8" s="23" t="s">
        <v>418</v>
      </c>
    </row>
    <row r="9" spans="1:12" x14ac:dyDescent="0.25">
      <c r="A9" t="s">
        <v>431</v>
      </c>
      <c r="B9" s="22">
        <v>1</v>
      </c>
      <c r="C9" s="22">
        <v>0</v>
      </c>
      <c r="D9" s="22">
        <v>0</v>
      </c>
      <c r="E9" s="22">
        <v>0</v>
      </c>
      <c r="F9" s="22">
        <v>0</v>
      </c>
      <c r="G9" s="22">
        <v>1</v>
      </c>
      <c r="H9" s="22">
        <f t="shared" si="0"/>
        <v>0</v>
      </c>
      <c r="I9" s="22">
        <v>5</v>
      </c>
      <c r="J9" s="22">
        <v>13</v>
      </c>
      <c r="K9" s="22">
        <f t="shared" si="1"/>
        <v>-8</v>
      </c>
      <c r="L9" s="23" t="s">
        <v>432</v>
      </c>
    </row>
    <row r="10" spans="1:12" x14ac:dyDescent="0.25">
      <c r="A10" t="s">
        <v>133</v>
      </c>
      <c r="B10" s="22">
        <v>1</v>
      </c>
      <c r="C10" s="22">
        <v>0</v>
      </c>
      <c r="D10" s="22">
        <v>0</v>
      </c>
      <c r="E10" s="22">
        <v>0</v>
      </c>
      <c r="F10" s="22">
        <v>0</v>
      </c>
      <c r="G10" s="22">
        <v>1</v>
      </c>
      <c r="H10" s="22">
        <f t="shared" si="0"/>
        <v>0</v>
      </c>
      <c r="I10" s="22">
        <v>5</v>
      </c>
      <c r="J10" s="22">
        <v>6</v>
      </c>
      <c r="K10" s="22">
        <f t="shared" si="1"/>
        <v>-1</v>
      </c>
      <c r="L10" s="23" t="s">
        <v>421</v>
      </c>
    </row>
    <row r="11" spans="1:12" x14ac:dyDescent="0.25">
      <c r="A11" t="s">
        <v>469</v>
      </c>
      <c r="B11" s="22">
        <v>1</v>
      </c>
      <c r="C11" s="22">
        <v>0</v>
      </c>
      <c r="D11" s="22">
        <v>0</v>
      </c>
      <c r="E11" s="22">
        <v>0</v>
      </c>
      <c r="F11" s="22">
        <v>0</v>
      </c>
      <c r="G11" s="22">
        <v>1</v>
      </c>
      <c r="H11" s="22">
        <f t="shared" si="0"/>
        <v>0</v>
      </c>
      <c r="I11" s="22">
        <v>2</v>
      </c>
      <c r="J11" s="22">
        <v>6</v>
      </c>
      <c r="K11" s="22">
        <f t="shared" si="1"/>
        <v>-4</v>
      </c>
      <c r="L11" s="23" t="s">
        <v>422</v>
      </c>
    </row>
    <row r="12" spans="1:12" x14ac:dyDescent="0.25">
      <c r="A12" t="s">
        <v>470</v>
      </c>
      <c r="B12" s="22">
        <v>1</v>
      </c>
      <c r="C12" s="22">
        <v>0</v>
      </c>
      <c r="D12" s="22">
        <v>0</v>
      </c>
      <c r="E12" s="22">
        <v>1</v>
      </c>
      <c r="F12" s="22">
        <v>0</v>
      </c>
      <c r="G12" s="22">
        <v>0</v>
      </c>
      <c r="H12" s="22">
        <f t="shared" si="0"/>
        <v>1</v>
      </c>
      <c r="I12" s="22">
        <v>6</v>
      </c>
      <c r="J12" s="22">
        <v>6</v>
      </c>
      <c r="K12" s="22">
        <f t="shared" si="1"/>
        <v>0</v>
      </c>
      <c r="L12" s="23" t="s">
        <v>664</v>
      </c>
    </row>
    <row r="13" spans="1:12" x14ac:dyDescent="0.25">
      <c r="A13" t="s">
        <v>413</v>
      </c>
      <c r="B13" s="22">
        <v>1</v>
      </c>
      <c r="C13" s="22">
        <v>0</v>
      </c>
      <c r="D13" s="22">
        <v>0</v>
      </c>
      <c r="E13" s="22">
        <v>0</v>
      </c>
      <c r="F13" s="22">
        <v>0</v>
      </c>
      <c r="G13" s="22">
        <v>1</v>
      </c>
      <c r="H13" s="22">
        <f t="shared" si="0"/>
        <v>0</v>
      </c>
      <c r="I13" s="22">
        <v>7</v>
      </c>
      <c r="J13" s="22">
        <v>9</v>
      </c>
      <c r="K13" s="22">
        <f t="shared" si="1"/>
        <v>-2</v>
      </c>
      <c r="L13" s="23" t="s">
        <v>414</v>
      </c>
    </row>
    <row r="14" spans="1:12" x14ac:dyDescent="0.25">
      <c r="A14" t="s">
        <v>471</v>
      </c>
      <c r="B14" s="22">
        <v>1</v>
      </c>
      <c r="C14" s="22">
        <v>1</v>
      </c>
      <c r="D14" s="22">
        <v>0</v>
      </c>
      <c r="E14" s="22">
        <v>0</v>
      </c>
      <c r="F14" s="22">
        <v>0</v>
      </c>
      <c r="G14" s="22">
        <v>0</v>
      </c>
      <c r="H14" s="22">
        <f t="shared" si="0"/>
        <v>3</v>
      </c>
      <c r="I14" s="22">
        <v>10</v>
      </c>
      <c r="J14" s="22">
        <v>3</v>
      </c>
      <c r="K14" s="22">
        <f t="shared" si="1"/>
        <v>7</v>
      </c>
      <c r="L14" s="23" t="s">
        <v>665</v>
      </c>
    </row>
    <row r="15" spans="1:12" x14ac:dyDescent="0.25">
      <c r="A15" t="s">
        <v>415</v>
      </c>
      <c r="B15" s="22">
        <v>1</v>
      </c>
      <c r="C15" s="22">
        <v>0</v>
      </c>
      <c r="D15" s="22">
        <v>0</v>
      </c>
      <c r="E15" s="22">
        <v>0</v>
      </c>
      <c r="F15" s="22">
        <v>0</v>
      </c>
      <c r="G15" s="22">
        <v>1</v>
      </c>
      <c r="H15" s="22">
        <f t="shared" si="0"/>
        <v>0</v>
      </c>
      <c r="I15" s="22">
        <v>2</v>
      </c>
      <c r="J15" s="22">
        <v>4</v>
      </c>
      <c r="K15" s="22">
        <f t="shared" si="1"/>
        <v>-2</v>
      </c>
      <c r="L15" s="23" t="s">
        <v>416</v>
      </c>
    </row>
    <row r="16" spans="1:12" x14ac:dyDescent="0.25">
      <c r="A16" t="s">
        <v>428</v>
      </c>
      <c r="B16" s="22">
        <v>1</v>
      </c>
      <c r="C16" s="22">
        <v>1</v>
      </c>
      <c r="D16" s="22">
        <v>0</v>
      </c>
      <c r="E16" s="22">
        <v>0</v>
      </c>
      <c r="F16" s="22">
        <v>0</v>
      </c>
      <c r="G16" s="22">
        <v>0</v>
      </c>
      <c r="H16" s="22">
        <f t="shared" si="0"/>
        <v>3</v>
      </c>
      <c r="I16" s="22">
        <v>7</v>
      </c>
      <c r="J16" s="22">
        <v>3</v>
      </c>
      <c r="K16" s="22">
        <f t="shared" si="1"/>
        <v>4</v>
      </c>
      <c r="L16" s="23" t="s">
        <v>429</v>
      </c>
    </row>
    <row r="28" spans="1:10" x14ac:dyDescent="0.25">
      <c r="A28" s="11" t="s">
        <v>165</v>
      </c>
      <c r="B28" s="158" t="s">
        <v>615</v>
      </c>
      <c r="C28" s="158"/>
      <c r="D28" s="120" t="s">
        <v>206</v>
      </c>
      <c r="E28" s="120"/>
      <c r="F28" s="120" t="s">
        <v>426</v>
      </c>
      <c r="G28" s="120"/>
      <c r="H28" s="153" t="s">
        <v>1309</v>
      </c>
      <c r="I28" s="155"/>
      <c r="J28" s="156"/>
    </row>
    <row r="29" spans="1:10" x14ac:dyDescent="0.25">
      <c r="A29" t="s">
        <v>471</v>
      </c>
      <c r="B29" s="159" t="s">
        <v>665</v>
      </c>
      <c r="C29" s="159"/>
      <c r="D29" s="103" t="s">
        <v>473</v>
      </c>
      <c r="E29" s="103"/>
      <c r="F29" s="103" t="s">
        <v>427</v>
      </c>
      <c r="G29" s="103"/>
      <c r="H29" s="128" t="s">
        <v>1502</v>
      </c>
      <c r="I29" s="128"/>
      <c r="J29" s="128"/>
    </row>
    <row r="30" spans="1:10" x14ac:dyDescent="0.25">
      <c r="A30" t="s">
        <v>472</v>
      </c>
      <c r="B30" s="159" t="s">
        <v>666</v>
      </c>
      <c r="C30" s="159"/>
      <c r="D30" s="103" t="s">
        <v>473</v>
      </c>
      <c r="E30" s="103"/>
      <c r="F30" s="103" t="s">
        <v>427</v>
      </c>
      <c r="G30" s="103"/>
      <c r="H30" s="108" t="s">
        <v>1502</v>
      </c>
      <c r="I30" s="108"/>
      <c r="J30" s="108"/>
    </row>
    <row r="31" spans="1:10" x14ac:dyDescent="0.25">
      <c r="A31" t="s">
        <v>469</v>
      </c>
      <c r="B31" s="159" t="s">
        <v>422</v>
      </c>
      <c r="C31" s="159"/>
      <c r="D31" s="103" t="s">
        <v>473</v>
      </c>
      <c r="E31" s="103"/>
      <c r="F31" s="103" t="s">
        <v>427</v>
      </c>
      <c r="G31" s="103"/>
      <c r="H31" s="108" t="s">
        <v>1502</v>
      </c>
      <c r="I31" s="108"/>
      <c r="J31" s="108"/>
    </row>
    <row r="32" spans="1:10" x14ac:dyDescent="0.25">
      <c r="A32" t="s">
        <v>470</v>
      </c>
      <c r="B32" s="159" t="s">
        <v>664</v>
      </c>
      <c r="C32" s="159"/>
      <c r="D32" s="103" t="s">
        <v>473</v>
      </c>
      <c r="E32" s="103"/>
      <c r="F32" s="103" t="s">
        <v>427</v>
      </c>
      <c r="G32" s="103"/>
      <c r="H32" s="108" t="s">
        <v>1502</v>
      </c>
      <c r="I32" s="108"/>
      <c r="J32" s="108"/>
    </row>
    <row r="33" spans="1:10" x14ac:dyDescent="0.25">
      <c r="A33" t="s">
        <v>667</v>
      </c>
      <c r="B33" s="159" t="s">
        <v>668</v>
      </c>
      <c r="C33" s="159"/>
      <c r="D33" s="103" t="s">
        <v>473</v>
      </c>
      <c r="E33" s="103"/>
      <c r="F33" s="103" t="s">
        <v>430</v>
      </c>
      <c r="G33" s="103"/>
      <c r="H33" s="108" t="s">
        <v>1310</v>
      </c>
      <c r="I33" s="108"/>
      <c r="J33" s="108"/>
    </row>
    <row r="35" spans="1:10" x14ac:dyDescent="0.25">
      <c r="A35" t="s">
        <v>413</v>
      </c>
      <c r="B35" s="157" t="s">
        <v>414</v>
      </c>
      <c r="C35" s="157"/>
      <c r="D35" s="103" t="s">
        <v>403</v>
      </c>
      <c r="E35" s="103"/>
      <c r="F35" s="103" t="s">
        <v>427</v>
      </c>
      <c r="G35" s="103"/>
      <c r="H35" s="108" t="s">
        <v>1501</v>
      </c>
      <c r="I35" s="108"/>
      <c r="J35" s="108"/>
    </row>
    <row r="36" spans="1:10" x14ac:dyDescent="0.25">
      <c r="A36" t="s">
        <v>415</v>
      </c>
      <c r="B36" s="157" t="s">
        <v>416</v>
      </c>
      <c r="C36" s="157"/>
      <c r="D36" s="103" t="s">
        <v>403</v>
      </c>
      <c r="E36" s="103"/>
      <c r="F36" s="103" t="s">
        <v>427</v>
      </c>
      <c r="G36" s="103"/>
      <c r="H36" s="108" t="s">
        <v>1501</v>
      </c>
      <c r="I36" s="108"/>
      <c r="J36" s="108"/>
    </row>
    <row r="37" spans="1:10" x14ac:dyDescent="0.25">
      <c r="A37" t="s">
        <v>417</v>
      </c>
      <c r="B37" s="157" t="s">
        <v>418</v>
      </c>
      <c r="C37" s="157"/>
      <c r="D37" s="103" t="s">
        <v>403</v>
      </c>
      <c r="E37" s="103"/>
      <c r="F37" s="103" t="s">
        <v>427</v>
      </c>
      <c r="G37" s="103"/>
      <c r="H37" s="108" t="s">
        <v>1501</v>
      </c>
      <c r="I37" s="108"/>
      <c r="J37" s="108"/>
    </row>
    <row r="38" spans="1:10" x14ac:dyDescent="0.25">
      <c r="A38" t="s">
        <v>419</v>
      </c>
      <c r="B38" s="157" t="s">
        <v>420</v>
      </c>
      <c r="C38" s="157"/>
      <c r="D38" s="103" t="s">
        <v>403</v>
      </c>
      <c r="E38" s="103"/>
      <c r="F38" s="103" t="s">
        <v>427</v>
      </c>
      <c r="G38" s="103"/>
      <c r="H38" s="108" t="s">
        <v>1501</v>
      </c>
      <c r="I38" s="108"/>
      <c r="J38" s="108"/>
    </row>
    <row r="39" spans="1:10" x14ac:dyDescent="0.25">
      <c r="A39" t="s">
        <v>428</v>
      </c>
      <c r="B39" s="157" t="s">
        <v>429</v>
      </c>
      <c r="C39" s="157"/>
      <c r="D39" s="103" t="s">
        <v>403</v>
      </c>
      <c r="E39" s="103"/>
      <c r="F39" s="103" t="s">
        <v>430</v>
      </c>
      <c r="G39" s="103"/>
      <c r="H39" s="108" t="s">
        <v>1310</v>
      </c>
      <c r="I39" s="108"/>
      <c r="J39" s="108"/>
    </row>
    <row r="40" spans="1:10" x14ac:dyDescent="0.25">
      <c r="A40" t="s">
        <v>431</v>
      </c>
      <c r="B40" s="157" t="s">
        <v>432</v>
      </c>
      <c r="C40" s="157"/>
      <c r="D40" s="103" t="s">
        <v>403</v>
      </c>
      <c r="E40" s="103"/>
      <c r="F40" s="103" t="s">
        <v>433</v>
      </c>
      <c r="G40" s="103"/>
      <c r="H40" s="108" t="s">
        <v>1310</v>
      </c>
      <c r="I40" s="108"/>
      <c r="J40" s="108"/>
    </row>
    <row r="41" spans="1:10" x14ac:dyDescent="0.25">
      <c r="B41" s="23"/>
      <c r="D41"/>
      <c r="E41"/>
      <c r="F41"/>
      <c r="G41"/>
    </row>
    <row r="42" spans="1:10" x14ac:dyDescent="0.25">
      <c r="A42" t="s">
        <v>133</v>
      </c>
      <c r="B42" s="157" t="s">
        <v>421</v>
      </c>
      <c r="C42" s="157"/>
      <c r="D42" s="103" t="s">
        <v>40</v>
      </c>
      <c r="E42" s="103"/>
      <c r="F42" s="103" t="s">
        <v>427</v>
      </c>
      <c r="G42" s="103"/>
      <c r="H42" s="108" t="s">
        <v>1500</v>
      </c>
      <c r="I42" s="108"/>
      <c r="J42" s="108"/>
    </row>
    <row r="43" spans="1:10" x14ac:dyDescent="0.25">
      <c r="A43" t="s">
        <v>262</v>
      </c>
      <c r="B43" s="157" t="s">
        <v>422</v>
      </c>
      <c r="C43" s="157"/>
      <c r="D43" s="103" t="s">
        <v>40</v>
      </c>
      <c r="E43" s="103"/>
      <c r="F43" s="103" t="s">
        <v>427</v>
      </c>
      <c r="G43" s="103"/>
      <c r="H43" s="108" t="s">
        <v>1500</v>
      </c>
      <c r="I43" s="108"/>
      <c r="J43" s="108"/>
    </row>
    <row r="44" spans="1:10" x14ac:dyDescent="0.25">
      <c r="A44" t="s">
        <v>423</v>
      </c>
      <c r="B44" s="157" t="s">
        <v>418</v>
      </c>
      <c r="C44" s="157"/>
      <c r="D44" s="103" t="s">
        <v>40</v>
      </c>
      <c r="E44" s="103"/>
      <c r="F44" s="103" t="s">
        <v>427</v>
      </c>
      <c r="G44" s="103"/>
      <c r="H44" s="108" t="s">
        <v>1500</v>
      </c>
      <c r="I44" s="108"/>
      <c r="J44" s="108"/>
    </row>
    <row r="45" spans="1:10" x14ac:dyDescent="0.25">
      <c r="A45" t="s">
        <v>424</v>
      </c>
      <c r="B45" s="157" t="s">
        <v>425</v>
      </c>
      <c r="C45" s="157"/>
      <c r="D45" s="103" t="s">
        <v>40</v>
      </c>
      <c r="E45" s="103"/>
      <c r="F45" s="103" t="s">
        <v>427</v>
      </c>
      <c r="G45" s="103"/>
      <c r="H45" s="108" t="s">
        <v>1500</v>
      </c>
      <c r="I45" s="108"/>
      <c r="J45" s="108"/>
    </row>
  </sheetData>
  <sortState xmlns:xlrd2="http://schemas.microsoft.com/office/spreadsheetml/2017/richdata2" ref="A2:L16">
    <sortCondition ref="A2:A16"/>
  </sortState>
  <mergeCells count="64">
    <mergeCell ref="B35:C35"/>
    <mergeCell ref="D42:E42"/>
    <mergeCell ref="D29:E29"/>
    <mergeCell ref="D30:E30"/>
    <mergeCell ref="D31:E31"/>
    <mergeCell ref="D32:E32"/>
    <mergeCell ref="B36:C36"/>
    <mergeCell ref="B37:C37"/>
    <mergeCell ref="B38:C38"/>
    <mergeCell ref="B39:C39"/>
    <mergeCell ref="B33:C33"/>
    <mergeCell ref="B28:C28"/>
    <mergeCell ref="B29:C29"/>
    <mergeCell ref="B30:C30"/>
    <mergeCell ref="B31:C31"/>
    <mergeCell ref="B32:C32"/>
    <mergeCell ref="D45:E45"/>
    <mergeCell ref="D40:E40"/>
    <mergeCell ref="B40:C40"/>
    <mergeCell ref="B42:C42"/>
    <mergeCell ref="B43:C43"/>
    <mergeCell ref="B44:C44"/>
    <mergeCell ref="B45:C45"/>
    <mergeCell ref="F28:G28"/>
    <mergeCell ref="F42:G42"/>
    <mergeCell ref="F43:G43"/>
    <mergeCell ref="F44:G44"/>
    <mergeCell ref="D35:E35"/>
    <mergeCell ref="D36:E36"/>
    <mergeCell ref="D37:E37"/>
    <mergeCell ref="D38:E38"/>
    <mergeCell ref="D39:E39"/>
    <mergeCell ref="D43:E43"/>
    <mergeCell ref="D44:E44"/>
    <mergeCell ref="D28:E28"/>
    <mergeCell ref="D33:E33"/>
    <mergeCell ref="F45:G45"/>
    <mergeCell ref="F29:G29"/>
    <mergeCell ref="F30:G30"/>
    <mergeCell ref="F31:G31"/>
    <mergeCell ref="F32:G32"/>
    <mergeCell ref="F35:G35"/>
    <mergeCell ref="F36:G36"/>
    <mergeCell ref="F37:G37"/>
    <mergeCell ref="F38:G38"/>
    <mergeCell ref="F39:G39"/>
    <mergeCell ref="F40:G40"/>
    <mergeCell ref="F33:G33"/>
    <mergeCell ref="H28:J28"/>
    <mergeCell ref="H33:J33"/>
    <mergeCell ref="H39:J39"/>
    <mergeCell ref="H40:J40"/>
    <mergeCell ref="H42:J42"/>
    <mergeCell ref="H29:J29"/>
    <mergeCell ref="H30:J30"/>
    <mergeCell ref="H31:J31"/>
    <mergeCell ref="H32:J32"/>
    <mergeCell ref="H43:J43"/>
    <mergeCell ref="H44:J44"/>
    <mergeCell ref="H45:J45"/>
    <mergeCell ref="H35:J35"/>
    <mergeCell ref="H36:J36"/>
    <mergeCell ref="H37:J37"/>
    <mergeCell ref="H38:J38"/>
  </mergeCells>
  <phoneticPr fontId="10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28</vt:i4>
      </vt:variant>
    </vt:vector>
  </HeadingPairs>
  <TitlesOfParts>
    <vt:vector size="28" baseType="lpstr">
      <vt:lpstr>A</vt:lpstr>
      <vt:lpstr>B</vt:lpstr>
      <vt:lpstr>C</vt:lpstr>
      <vt:lpstr>A+B+C</vt:lpstr>
      <vt:lpstr>Ligy</vt:lpstr>
      <vt:lpstr>A-Z,P,O</vt:lpstr>
      <vt:lpstr>B-Z,P,O</vt:lpstr>
      <vt:lpstr>C-Z,P,O</vt:lpstr>
      <vt:lpstr>Brankáři A</vt:lpstr>
      <vt:lpstr>Brankáři B</vt:lpstr>
      <vt:lpstr>Brankáři C</vt:lpstr>
      <vt:lpstr>Rekordy A</vt:lpstr>
      <vt:lpstr>A-série</vt:lpstr>
      <vt:lpstr>Rekordy B</vt:lpstr>
      <vt:lpstr>B-série</vt:lpstr>
      <vt:lpstr>Rekordy C</vt:lpstr>
      <vt:lpstr>C-série</vt:lpstr>
      <vt:lpstr>Tým. rekordy A</vt:lpstr>
      <vt:lpstr>Tým. rekordy B</vt:lpstr>
      <vt:lpstr>Tým. rekordy C</vt:lpstr>
      <vt:lpstr>Zápasy A</vt:lpstr>
      <vt:lpstr>Haly A</vt:lpstr>
      <vt:lpstr>Zápasy B</vt:lpstr>
      <vt:lpstr>Haly B</vt:lpstr>
      <vt:lpstr>Zápasy C</vt:lpstr>
      <vt:lpstr>Haly C</vt:lpstr>
      <vt:lpstr>Pohár Českého florbalu</vt:lpstr>
      <vt:lpstr>Zápasy Pohár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</dc:creator>
  <cp:lastModifiedBy>Jakub Drexler</cp:lastModifiedBy>
  <dcterms:created xsi:type="dcterms:W3CDTF">2014-09-01T11:28:30Z</dcterms:created>
  <dcterms:modified xsi:type="dcterms:W3CDTF">2025-11-05T11:50:48Z</dcterms:modified>
</cp:coreProperties>
</file>